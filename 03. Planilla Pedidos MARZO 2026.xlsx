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h4UyIe_57Y4XNtmfMmZdPHi9SLiYa3H\RRHH 2022\FLOR\2025-2026\"/>
    </mc:Choice>
  </mc:AlternateContent>
  <xr:revisionPtr revIDLastSave="0" documentId="13_ncr:1_{13FD59E3-9B7D-4725-AD2F-978FC4EA8613}" xr6:coauthVersionLast="47" xr6:coauthVersionMax="47" xr10:uidLastSave="{00000000-0000-0000-0000-000000000000}"/>
  <bookViews>
    <workbookView xWindow="-120" yWindow="-120" windowWidth="25440" windowHeight="15270" tabRatio="1000" firstSheet="67" activeTab="70" xr2:uid="{00000000-000D-0000-FFFF-FFFF00000000}"/>
  </bookViews>
  <sheets>
    <sheet name="Hoja1" sheetId="307" r:id="rId1"/>
    <sheet name="Catamaran SET - MARTES" sheetId="241" r:id="rId2"/>
    <sheet name="Adm Puerto de Frutos - MARTES " sheetId="123" r:id="rId3"/>
    <sheet name="Turismo - MARTES" sheetId="270" r:id="rId4"/>
    <sheet name="Biblioteca Tigre - MARTES" sheetId="124" r:id="rId5"/>
    <sheet name="Casa de las Culturas - MARTES" sheetId="281" r:id="rId6"/>
    <sheet name="CS Río Carapachay - MARTES" sheetId="144" r:id="rId7"/>
    <sheet name="Ed Azul P2 - MARTES" sheetId="297" r:id="rId8"/>
    <sheet name="Ed Azul P11 - MARTES" sheetId="282" r:id="rId9"/>
    <sheet name="Ed Azul P13 - MARTES" sheetId="289" r:id="rId10"/>
    <sheet name="Estación Fluvial - MARTES" sheetId="157" r:id="rId11"/>
    <sheet name="Hispano - MARTES" sheetId="305" r:id="rId12"/>
    <sheet name="Nutrición - IMANS -MARTES" sheetId="174" r:id="rId13"/>
    <sheet name="Poli Dique Lujan - MARTES" sheetId="255" r:id="rId14"/>
    <sheet name="Puerto Ambiental - MARTES" sheetId="179" r:id="rId15"/>
    <sheet name="ECOSOL- MARTES" sheetId="155" r:id="rId16"/>
    <sheet name="Biblioteca Rincon - MARTES" sheetId="290" r:id="rId17"/>
    <sheet name="C. S.  Dique Luján - MARTES" sheetId="134" r:id="rId18"/>
    <sheet name="Del.Nuevo Delta - MARTES" sheetId="230" r:id="rId19"/>
    <sheet name="C.S. Juana Manzo - MARTES" sheetId="137" r:id="rId20"/>
    <sheet name="POLID RINCON - MARTES" sheetId="192" r:id="rId21"/>
    <sheet name="Desarrollo Economico - MARTES" sheetId="265" r:id="rId22"/>
    <sheet name="CAP Carupa - MARTES" sheetId="129" r:id="rId23"/>
    <sheet name="SET CARUPÁ - MARTES" sheetId="209" r:id="rId24"/>
    <sheet name="Fundación Crecer - MARTES" sheetId="164" r:id="rId25"/>
    <sheet name="CORRALON - MARTES" sheetId="152" r:id="rId26"/>
    <sheet name="Cs.Canal - MARTES" sheetId="178" r:id="rId27"/>
    <sheet name="C.U.T. - MARTES" sheetId="148" r:id="rId28"/>
    <sheet name="C.S. Río Capitán - MARTES" sheetId="143" r:id="rId29"/>
    <sheet name="C. S.  Calcuta - MARTES" sheetId="142" r:id="rId30"/>
    <sheet name=" PRENSA - MARTES" sheetId="239" r:id="rId31"/>
    <sheet name="Fiscalía Rincón - MARTES" sheetId="162" r:id="rId32"/>
    <sheet name="Area Hombres - MARTES" sheetId="280" r:id="rId33"/>
    <sheet name=" SET PUERTO - MARTES" sheetId="301" r:id="rId34"/>
    <sheet name="HDI - Benavidez - LUNES" sheetId="166" r:id="rId35"/>
    <sheet name="Poli La Mascota - LUNES " sheetId="211" r:id="rId36"/>
    <sheet name="Cafys El Arco - LUNES" sheetId="126" r:id="rId37"/>
    <sheet name="Delegacion Benavidez - LUNES" sheetId="296" r:id="rId38"/>
    <sheet name="Teatro Benavidez - LUNES" sheetId="226" r:id="rId39"/>
    <sheet name="Poli Güemes Benav. - LUNES" sheetId="187" r:id="rId40"/>
    <sheet name="C.S. Benavidez - LUNES" sheetId="133" r:id="rId41"/>
    <sheet name="Poli Benavidez- Zabala - LUNES" sheetId="185" r:id="rId42"/>
    <sheet name="Poli General Pacheco - LUNES" sheetId="186" r:id="rId43"/>
    <sheet name="C.S. Las Tunas - LUNES" sheetId="139" r:id="rId44"/>
    <sheet name="Automotores - LUNES" sheetId="284" r:id="rId45"/>
    <sheet name="C.S  Ricardo Rojas - LUNES" sheetId="204" r:id="rId46"/>
    <sheet name="Poli Ricardo Rojas - LUNES" sheetId="191" r:id="rId47"/>
    <sheet name="CASA EVA PERON FONDO - LUNES" sheetId="243" r:id="rId48"/>
    <sheet name="C.S. Alte Brown - LUNES " sheetId="125" r:id="rId49"/>
    <sheet name="Poli Almte Brown - LUNES" sheetId="184" r:id="rId50"/>
    <sheet name="Polid. Gutierrez - LUNES" sheetId="287" r:id="rId51"/>
    <sheet name="C. S. Belgrano - LUNES" sheetId="135" r:id="rId52"/>
    <sheet name="Comando Torcuato - LUNES" sheetId="304" r:id="rId53"/>
    <sheet name="CS Don Torcuato - LUNES" sheetId="130" r:id="rId54"/>
    <sheet name="Poli San Martin TORC. - LUNES" sheetId="295" r:id="rId55"/>
    <sheet name="Micro Est. Torcuato -LUNES" sheetId="291" r:id="rId56"/>
    <sheet name="C. S.  Baires - LUNES" sheetId="128" r:id="rId57"/>
    <sheet name="Poli Zanon - LUNES" sheetId="196" r:id="rId58"/>
    <sheet name="Fiscalía Talar - LUNES" sheetId="163" r:id="rId59"/>
    <sheet name="C. S.Mental - LUNES" sheetId="273" r:id="rId60"/>
    <sheet name="Fiscalía Benavidez - LUNES" sheetId="158" r:id="rId61"/>
    <sheet name="Comisaría Benavidez - LUNES" sheetId="151" r:id="rId62"/>
    <sheet name="Higiene Urbana - LUNES" sheetId="266" r:id="rId63"/>
    <sheet name="Posta Cement Benav - LUNES" sheetId="293" r:id="rId64"/>
    <sheet name="Posta Esperanza Benav. - LUNES" sheetId="294" r:id="rId65"/>
    <sheet name="CEPAN - LUNES" sheetId="149" r:id="rId66"/>
    <sheet name="Casa Eva Peron A - LUNES" sheetId="238" r:id="rId67"/>
    <sheet name="Fiscalía Don Torcuato - LUNES" sheetId="160" r:id="rId68"/>
    <sheet name="CIDI Bancalari - LUNES" sheetId="150" r:id="rId69"/>
    <sheet name="Poli Talar - LUNES" sheetId="195" r:id="rId70"/>
    <sheet name="MICRO ESTADIO POLI BENAV -LUNES" sheetId="315" r:id="rId71"/>
    <sheet name="UTN - JUEVES" sheetId="256" r:id="rId72"/>
    <sheet name="Poli Sarmiento central - JUEVES" sheetId="194" r:id="rId73"/>
    <sheet name=" Transito adelante - JUEVES " sheetId="154" r:id="rId74"/>
    <sheet name="Faltas De Transito JUEVES" sheetId="259" r:id="rId75"/>
    <sheet name="Hospital Oftalmologico - JUEVES" sheetId="171" r:id="rId76"/>
    <sheet name="S.E.T - JUEVES" sheetId="198" r:id="rId77"/>
    <sheet name="Poli  Moreno Los Troncos - JUEV" sheetId="190" r:id="rId78"/>
    <sheet name="Fiscalia Los Troncos - JUEVES" sheetId="159" r:id="rId79"/>
    <sheet name="C. S. Troncos - JUEVES" sheetId="145" r:id="rId80"/>
    <sheet name="Fiscalía Pacheco - JUEVES" sheetId="161" r:id="rId81"/>
    <sheet name="C. S. Pacheco - JUEVES" sheetId="141" r:id="rId82"/>
    <sheet name="Delegacion Pacheco - JUEVES" sheetId="261" r:id="rId83"/>
    <sheet name="Poli Zorzal - JUEVES" sheetId="254" r:id="rId84"/>
    <sheet name="Poli M. Bel. La Paloma - JUEVES" sheetId="189" r:id="rId85"/>
    <sheet name=" C. S. La Paloma - JUEVES" sheetId="138" r:id="rId86"/>
    <sheet name="Centro Reh. Frida K - JUEVES" sheetId="132" r:id="rId87"/>
    <sheet name="Hospital Odontológico - JUEVES" sheetId="169" r:id="rId88"/>
    <sheet name="Cafys Eva Perón - JUEVES" sheetId="127" r:id="rId89"/>
    <sheet name="Zoonosis  - JUEVES" sheetId="201" r:id="rId90"/>
    <sheet name="Hosp Odonto Coordinac - JUEVES" sheetId="170" r:id="rId91"/>
    <sheet name="NATATORIO - JUEVES" sheetId="308" r:id="rId92"/>
    <sheet name="C.S. Juan Urio Tabanos -JUEVES" sheetId="136" r:id="rId93"/>
    <sheet name="Fort. Familiar - JUEVES" sheetId="177" r:id="rId94"/>
    <sheet name="HCD - VIERNES" sheetId="165" r:id="rId95"/>
    <sheet name="MOVIL SANITARIO - VIERNES" sheetId="206" r:id="rId96"/>
    <sheet name="Secretaria Operativa - VIERNES" sheetId="279" r:id="rId97"/>
    <sheet name="Protec. Ciudadana -COT -VIERNES" sheetId="197" r:id="rId98"/>
    <sheet name="At. al vecino - VIERNES" sheetId="147" r:id="rId99"/>
    <sheet name="OMIC - VIERNES" sheetId="182" r:id="rId100"/>
    <sheet name="COT CHICO - VIERNES" sheetId="180" r:id="rId101"/>
    <sheet name="Comisaria Tigre - VIERNES" sheetId="299" r:id="rId102"/>
    <sheet name="Obras Particulares - VIERNES" sheetId="240" r:id="rId103"/>
    <sheet name="Obras Públicas - VIERNES" sheetId="175" r:id="rId104"/>
    <sheet name="Museo Reconquista - VIERNES" sheetId="173" r:id="rId105"/>
    <sheet name="C.S. Nores - VIERNES" sheetId="140" r:id="rId106"/>
    <sheet name="Farmacia Nores - VIERNES" sheetId="258" r:id="rId107"/>
    <sheet name="F. Kahlo Nores - VIERNES" sheetId="288" r:id="rId108"/>
    <sheet name="M.A.T. - VIERNES" sheetId="172" r:id="rId109"/>
    <sheet name="Cardiologia - VIERNES" sheetId="310" r:id="rId110"/>
    <sheet name="HDI - Don Torcuato - VIERNES" sheetId="167" r:id="rId111"/>
    <sheet name="HDI TORCU RESO - VIERNES " sheetId="268" r:id="rId112"/>
    <sheet name="Control Urbana - VIERNES" sheetId="278" r:id="rId113"/>
    <sheet name="A. C. A.  " sheetId="210" r:id="rId114"/>
    <sheet name="Edificio Ciro" sheetId="269" r:id="rId115"/>
    <sheet name="Oficina - CABA" sheetId="181" r:id="rId116"/>
    <sheet name="Edificio 0800" sheetId="208" r:id="rId117"/>
    <sheet name="Palacio Municipal" sheetId="183" r:id="rId118"/>
    <sheet name="Hospital Materno Infantil " sheetId="168" r:id="rId119"/>
    <sheet name="SET 197" sheetId="314" r:id="rId120"/>
    <sheet name="Set Benavidez" sheetId="264" r:id="rId121"/>
    <sheet name="Depósito de Promoción Social" sheetId="153" r:id="rId122"/>
    <sheet name="POLID. R. ROJAS" sheetId="312" r:id="rId123"/>
    <sheet name="C.S. BAIRES" sheetId="313" r:id="rId124"/>
    <sheet name="NATATORIO P" sheetId="311" r:id="rId125"/>
    <sheet name="Hispano Club" sheetId="263" r:id="rId126"/>
    <sheet name=" - VENICE OFICINAS - MARTES" sheetId="200" r:id="rId127"/>
    <sheet name="Estadio Benavidez" sheetId="292" r:id="rId128"/>
    <sheet name="Huergo" sheetId="306" r:id="rId129"/>
    <sheet name="Hoja2" sheetId="309" r:id="rId130"/>
  </sheets>
  <definedNames>
    <definedName name="_xlnm._FilterDatabase" localSheetId="2" hidden="1">'Adm Puerto de Frutos - MARTES '!$A$2:$B$35</definedName>
    <definedName name="_xlnm._FilterDatabase" localSheetId="92" hidden="1">'C.S. Juan Urio Tabanos -JUEVES'!$A$5:$D$27</definedName>
    <definedName name="_xlnm._FilterDatabase" localSheetId="19" hidden="1">'C.S. Juana Manzo - MARTES'!$A$5:$D$28</definedName>
    <definedName name="_xlnm._FilterDatabase" localSheetId="66" hidden="1">'Casa Eva Peron A - LUNES'!$A$2:$B$32</definedName>
    <definedName name="_xlnm._FilterDatabase" localSheetId="68" hidden="1">'CIDI Bancalari - LUNES'!$A$4:$D$28</definedName>
    <definedName name="_xlnm._FilterDatabase" localSheetId="121" hidden="1">'Depósito de Promoción Social'!$A$2:$B$22</definedName>
    <definedName name="_xlnm._FilterDatabase" localSheetId="24" hidden="1">'Fundación Crecer - MARTES'!$A$5:$D$27</definedName>
    <definedName name="_xlnm._FilterDatabase" localSheetId="90" hidden="1">'Hosp Odonto Coordinac - JUEVES'!$A$2:$D$14</definedName>
    <definedName name="_xlnm._FilterDatabase" localSheetId="118" hidden="1">'Hospital Materno Infantil '!$A$2:$B$45</definedName>
    <definedName name="_xlnm._FilterDatabase" localSheetId="115" hidden="1">'Oficina - CABA'!$A$5:$D$40</definedName>
    <definedName name="_xlnm._FilterDatabase" localSheetId="42" hidden="1">'Poli General Pacheco - LUNES'!$A$5:$D$31</definedName>
    <definedName name="_xlnm._FilterDatabase" localSheetId="57" hidden="1">'Poli Zanon - LUNES'!$A$5:$D$41</definedName>
    <definedName name="_xlnm._FilterDatabase" localSheetId="14" hidden="1">'Puerto Ambiental - MARTES'!$A$6:$D$21</definedName>
    <definedName name="_xlnm.Print_Area" localSheetId="2">'Adm Puerto de Frutos - MARTES '!$K$11</definedName>
    <definedName name="_xlnm.Print_Area" localSheetId="26">'Cs.Canal - MARTES'!$A$1:$P$38</definedName>
    <definedName name="_xlnm.Print_Area" localSheetId="115">'Oficina - CABA'!$A$1:$X$52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315" l="1"/>
  <c r="N26" i="315"/>
  <c r="N24" i="315"/>
  <c r="N20" i="315"/>
  <c r="N19" i="315"/>
  <c r="N15" i="315"/>
  <c r="N11" i="315"/>
  <c r="N43" i="315"/>
  <c r="N52" i="315"/>
  <c r="N53" i="315"/>
  <c r="N54" i="315"/>
  <c r="P27" i="195"/>
  <c r="P25" i="195"/>
  <c r="P14" i="195"/>
  <c r="P15" i="195"/>
  <c r="P9" i="195"/>
  <c r="P51" i="195"/>
  <c r="P5" i="150"/>
  <c r="P10" i="150"/>
  <c r="P8" i="150"/>
  <c r="P21" i="150"/>
  <c r="P25" i="150"/>
  <c r="P31" i="150"/>
  <c r="P43" i="150"/>
  <c r="P51" i="160"/>
  <c r="P52" i="160"/>
  <c r="P53" i="160"/>
  <c r="P54" i="160"/>
  <c r="P35" i="160"/>
  <c r="P15" i="160"/>
  <c r="P16" i="160"/>
  <c r="P12" i="160"/>
  <c r="P8" i="160"/>
  <c r="P46" i="238"/>
  <c r="P44" i="238"/>
  <c r="P39" i="238"/>
  <c r="P26" i="238"/>
  <c r="P21" i="238"/>
  <c r="P12" i="238"/>
  <c r="P13" i="149"/>
  <c r="P19" i="149"/>
  <c r="P18" i="149"/>
  <c r="P23" i="149"/>
  <c r="P24" i="149"/>
  <c r="P25" i="149"/>
  <c r="P26" i="149"/>
  <c r="P27" i="149"/>
  <c r="P28" i="149"/>
  <c r="P29" i="149"/>
  <c r="P30" i="149"/>
  <c r="P31" i="149"/>
  <c r="P32" i="149"/>
  <c r="P33" i="149"/>
  <c r="P34" i="149"/>
  <c r="P35" i="149"/>
  <c r="P36" i="149"/>
  <c r="P37" i="149"/>
  <c r="P38" i="149"/>
  <c r="P39" i="149"/>
  <c r="P40" i="149"/>
  <c r="P41" i="149"/>
  <c r="P42" i="149"/>
  <c r="P43" i="149"/>
  <c r="P44" i="149"/>
  <c r="P45" i="149"/>
  <c r="P46" i="149"/>
  <c r="P47" i="149"/>
  <c r="P48" i="149"/>
  <c r="P49" i="149"/>
  <c r="P50" i="149"/>
  <c r="P11" i="294"/>
  <c r="P10" i="294"/>
  <c r="P7" i="294"/>
  <c r="P35" i="294"/>
  <c r="P34" i="293"/>
  <c r="P15" i="293"/>
  <c r="P11" i="293"/>
  <c r="P10" i="293"/>
  <c r="P7" i="293"/>
  <c r="P27" i="266"/>
  <c r="P28" i="266"/>
  <c r="P33" i="266"/>
  <c r="P14" i="266"/>
  <c r="P11" i="266"/>
  <c r="P12" i="266"/>
  <c r="P24" i="266"/>
  <c r="P49" i="266"/>
  <c r="P5" i="151"/>
  <c r="P23" i="151"/>
  <c r="P25" i="151"/>
  <c r="P26" i="151"/>
  <c r="P27" i="151"/>
  <c r="P28" i="151"/>
  <c r="P29" i="151"/>
  <c r="P30" i="151"/>
  <c r="P34" i="151"/>
  <c r="P39" i="151"/>
  <c r="P40" i="151"/>
  <c r="P42" i="151"/>
  <c r="P44" i="151"/>
  <c r="P50" i="151"/>
  <c r="P5" i="158"/>
  <c r="P6" i="158"/>
  <c r="P10" i="158"/>
  <c r="P8" i="158"/>
  <c r="P19" i="158"/>
  <c r="P20" i="158"/>
  <c r="P22" i="158"/>
  <c r="P23" i="158"/>
  <c r="P26" i="158"/>
  <c r="P27" i="158"/>
  <c r="P33" i="158"/>
  <c r="P36" i="158"/>
  <c r="P47" i="158"/>
  <c r="P31" i="273"/>
  <c r="P11" i="273"/>
  <c r="P22" i="163"/>
  <c r="P23" i="163"/>
  <c r="P35" i="163"/>
  <c r="P36" i="163"/>
  <c r="P40" i="163"/>
  <c r="P45" i="163"/>
  <c r="P58" i="196"/>
  <c r="P48" i="196"/>
  <c r="P37" i="196"/>
  <c r="P34" i="196"/>
  <c r="P21" i="196"/>
  <c r="P22" i="196"/>
  <c r="P50" i="128"/>
  <c r="P47" i="128"/>
  <c r="P39" i="128"/>
  <c r="P27" i="128"/>
  <c r="P28" i="128"/>
  <c r="P23" i="128"/>
  <c r="P15" i="128"/>
  <c r="P9" i="128"/>
  <c r="P5" i="128"/>
  <c r="P56" i="128"/>
  <c r="P44" i="291"/>
  <c r="P46" i="291"/>
  <c r="P47" i="291"/>
  <c r="P48" i="291"/>
  <c r="P49" i="291"/>
  <c r="P45" i="291"/>
  <c r="P42" i="291"/>
  <c r="P43" i="291"/>
  <c r="P40" i="291"/>
  <c r="P34" i="291"/>
  <c r="P18" i="291"/>
  <c r="P52" i="295"/>
  <c r="P53" i="295"/>
  <c r="P48" i="295"/>
  <c r="P44" i="295"/>
  <c r="P31" i="295"/>
  <c r="P32" i="295"/>
  <c r="P30" i="295"/>
  <c r="P26" i="295"/>
  <c r="P20" i="295"/>
  <c r="P22" i="130"/>
  <c r="P29" i="130"/>
  <c r="P36" i="130"/>
  <c r="P39" i="130"/>
  <c r="P42" i="130"/>
  <c r="P45" i="130"/>
  <c r="P46" i="130"/>
  <c r="P44" i="130"/>
  <c r="P34" i="304"/>
  <c r="P28" i="304"/>
  <c r="P6" i="304"/>
  <c r="P7" i="304"/>
  <c r="P32" i="304"/>
  <c r="P36" i="304"/>
  <c r="P41" i="304"/>
  <c r="P48" i="304"/>
  <c r="P9" i="135"/>
  <c r="P40" i="135"/>
  <c r="P42" i="135"/>
  <c r="P39" i="135"/>
  <c r="P37" i="135"/>
  <c r="P34" i="135"/>
  <c r="P27" i="135"/>
  <c r="P19" i="135"/>
  <c r="P15" i="135"/>
  <c r="P10" i="287"/>
  <c r="P17" i="287"/>
  <c r="P23" i="287"/>
  <c r="P29" i="287"/>
  <c r="P30" i="287"/>
  <c r="P31" i="287"/>
  <c r="P32" i="287"/>
  <c r="P56" i="287"/>
  <c r="P52" i="287"/>
  <c r="P53" i="287"/>
  <c r="P45" i="287"/>
  <c r="P46" i="287"/>
  <c r="P47" i="287"/>
  <c r="P42" i="287"/>
  <c r="P43" i="287"/>
  <c r="P39" i="287"/>
  <c r="P50" i="184"/>
  <c r="P42" i="184"/>
  <c r="P39" i="184"/>
  <c r="P34" i="184"/>
  <c r="P22" i="184"/>
  <c r="P19" i="184"/>
  <c r="P48" i="125"/>
  <c r="P46" i="125"/>
  <c r="P45" i="125"/>
  <c r="P36" i="125"/>
  <c r="P37" i="125"/>
  <c r="P34" i="125"/>
  <c r="P27" i="125"/>
  <c r="P17" i="125"/>
  <c r="P18" i="125"/>
  <c r="P5" i="125"/>
  <c r="P12" i="125"/>
  <c r="P23" i="125"/>
  <c r="P57" i="243"/>
  <c r="P58" i="243"/>
  <c r="P35" i="243"/>
  <c r="P31" i="243"/>
  <c r="P18" i="243"/>
  <c r="P16" i="243"/>
  <c r="P63" i="243"/>
  <c r="P54" i="191"/>
  <c r="P55" i="191"/>
  <c r="P48" i="191"/>
  <c r="P42" i="191"/>
  <c r="P43" i="191"/>
  <c r="P36" i="191"/>
  <c r="P34" i="191"/>
  <c r="P30" i="191"/>
  <c r="P31" i="191"/>
  <c r="P19" i="191"/>
  <c r="P15" i="191"/>
  <c r="P53" i="204"/>
  <c r="P27" i="204"/>
  <c r="P22" i="204"/>
  <c r="P14" i="204"/>
  <c r="P54" i="284"/>
  <c r="P46" i="284"/>
  <c r="P47" i="284"/>
  <c r="P37" i="284"/>
  <c r="P31" i="139"/>
  <c r="P32" i="139"/>
  <c r="P29" i="139"/>
  <c r="P19" i="139"/>
  <c r="P16" i="139"/>
  <c r="P46" i="139"/>
  <c r="P47" i="139"/>
  <c r="P38" i="139"/>
  <c r="P40" i="139"/>
  <c r="P59" i="186"/>
  <c r="P60" i="186"/>
  <c r="P61" i="186"/>
  <c r="P62" i="186"/>
  <c r="P48" i="186"/>
  <c r="P34" i="186"/>
  <c r="P32" i="186"/>
  <c r="P24" i="186"/>
  <c r="P5" i="186"/>
  <c r="P55" i="185"/>
  <c r="P46" i="185"/>
  <c r="P38" i="185"/>
  <c r="P34" i="185"/>
  <c r="P33" i="185"/>
  <c r="P28" i="185"/>
  <c r="P25" i="185"/>
  <c r="P14" i="185"/>
  <c r="P15" i="185"/>
  <c r="P5" i="133"/>
  <c r="P33" i="133"/>
  <c r="P28" i="133"/>
  <c r="P29" i="133"/>
  <c r="P15" i="133"/>
  <c r="P16" i="133"/>
  <c r="P10" i="133"/>
  <c r="P50" i="133"/>
  <c r="P51" i="133"/>
  <c r="P52" i="133"/>
  <c r="P47" i="187"/>
  <c r="P45" i="187"/>
  <c r="P42" i="187"/>
  <c r="P32" i="187"/>
  <c r="P30" i="187"/>
  <c r="P21" i="187"/>
  <c r="P22" i="187"/>
  <c r="P15" i="187"/>
  <c r="P41" i="226"/>
  <c r="P30" i="226"/>
  <c r="P11" i="226"/>
  <c r="P55" i="226"/>
  <c r="P53" i="296"/>
  <c r="P54" i="296"/>
  <c r="P47" i="296"/>
  <c r="P37" i="296"/>
  <c r="P26" i="296"/>
  <c r="P24" i="296"/>
  <c r="P20" i="296"/>
  <c r="P8" i="296"/>
  <c r="P53" i="126"/>
  <c r="P34" i="126"/>
  <c r="P31" i="126"/>
  <c r="P20" i="126"/>
  <c r="P21" i="126"/>
  <c r="P12" i="126"/>
  <c r="P13" i="126"/>
  <c r="P37" i="211"/>
  <c r="P31" i="211"/>
  <c r="P22" i="211"/>
  <c r="P21" i="211"/>
  <c r="P14" i="264"/>
  <c r="P22" i="264"/>
  <c r="P27" i="264"/>
  <c r="P28" i="264"/>
  <c r="P50" i="264"/>
  <c r="P34" i="301"/>
  <c r="P10" i="301"/>
  <c r="P18" i="301"/>
  <c r="P30" i="301"/>
  <c r="P27" i="301"/>
  <c r="P28" i="301"/>
  <c r="P49" i="301"/>
  <c r="P50" i="301"/>
  <c r="P62" i="301"/>
  <c r="P61" i="301"/>
  <c r="P13" i="280"/>
  <c r="P28" i="280"/>
  <c r="P26" i="280"/>
  <c r="P20" i="280"/>
  <c r="P21" i="280"/>
  <c r="P19" i="162"/>
  <c r="P20" i="162"/>
  <c r="P39" i="162"/>
  <c r="P34" i="162"/>
  <c r="P35" i="162"/>
  <c r="P36" i="162"/>
  <c r="P37" i="162"/>
  <c r="P49" i="162"/>
  <c r="P59" i="239"/>
  <c r="P34" i="239"/>
  <c r="P26" i="239"/>
  <c r="P21" i="239"/>
  <c r="P17" i="239"/>
  <c r="P15" i="239"/>
  <c r="P38" i="142"/>
  <c r="P39" i="142"/>
  <c r="P40" i="142"/>
  <c r="P41" i="142"/>
  <c r="P24" i="142"/>
  <c r="P13" i="142"/>
  <c r="P11" i="142"/>
  <c r="P47" i="143"/>
  <c r="P26" i="143"/>
  <c r="P21" i="143"/>
  <c r="P13" i="143"/>
  <c r="P12" i="143"/>
  <c r="P8" i="143"/>
  <c r="P57" i="148"/>
  <c r="P44" i="148"/>
  <c r="P45" i="148"/>
  <c r="P46" i="148"/>
  <c r="P39" i="148"/>
  <c r="P35" i="148"/>
  <c r="P27" i="148"/>
  <c r="P28" i="148"/>
  <c r="P29" i="148"/>
  <c r="P30" i="148"/>
  <c r="P31" i="148"/>
  <c r="P32" i="148"/>
  <c r="P48" i="178"/>
  <c r="P41" i="152"/>
  <c r="P42" i="152"/>
  <c r="P43" i="152"/>
  <c r="P44" i="152"/>
  <c r="P45" i="152"/>
  <c r="P32" i="152"/>
  <c r="P33" i="152"/>
  <c r="P26" i="152"/>
  <c r="P25" i="152"/>
  <c r="P23" i="152"/>
  <c r="P17" i="152"/>
  <c r="P13" i="152"/>
  <c r="P49" i="164"/>
  <c r="P50" i="164"/>
  <c r="P51" i="209"/>
  <c r="P52" i="209"/>
  <c r="P53" i="209"/>
  <c r="P54" i="209"/>
  <c r="P31" i="209"/>
  <c r="P29" i="209"/>
  <c r="P21" i="209"/>
  <c r="P14" i="209"/>
  <c r="P25" i="129"/>
  <c r="P22" i="129"/>
  <c r="P12" i="129"/>
  <c r="P8" i="129"/>
  <c r="P9" i="129"/>
  <c r="P10" i="129"/>
  <c r="P20" i="265"/>
  <c r="P14" i="265"/>
  <c r="P16" i="265"/>
  <c r="P25" i="265"/>
  <c r="P26" i="265"/>
  <c r="P27" i="265"/>
  <c r="P28" i="265"/>
  <c r="P55" i="265"/>
  <c r="P50" i="265"/>
  <c r="P47" i="265"/>
  <c r="P46" i="265"/>
  <c r="P41" i="137"/>
  <c r="P31" i="137"/>
  <c r="P25" i="137"/>
  <c r="P57" i="230"/>
  <c r="P30" i="230"/>
  <c r="P31" i="230"/>
  <c r="P13" i="230"/>
  <c r="P24" i="134"/>
  <c r="P52" i="134"/>
  <c r="P53" i="134"/>
  <c r="P48" i="134"/>
  <c r="P45" i="134"/>
  <c r="P43" i="134"/>
  <c r="P36" i="134"/>
  <c r="P30" i="134"/>
  <c r="P16" i="134"/>
  <c r="P15" i="290"/>
  <c r="P6" i="290"/>
  <c r="P17" i="290"/>
  <c r="P18" i="290"/>
  <c r="P19" i="290"/>
  <c r="P20" i="290"/>
  <c r="P21" i="290"/>
  <c r="P22" i="290"/>
  <c r="P23" i="290"/>
  <c r="P24" i="290"/>
  <c r="P25" i="290"/>
  <c r="P26" i="290"/>
  <c r="P27" i="290"/>
  <c r="P30" i="290"/>
  <c r="P41" i="290"/>
  <c r="P42" i="290"/>
  <c r="P43" i="290"/>
  <c r="P44" i="290"/>
  <c r="P45" i="290"/>
  <c r="P46" i="290"/>
  <c r="P47" i="290"/>
  <c r="P48" i="290"/>
  <c r="P10" i="155"/>
  <c r="P55" i="155"/>
  <c r="P56" i="155"/>
  <c r="P57" i="155"/>
  <c r="P21" i="155"/>
  <c r="P22" i="155"/>
  <c r="P23" i="155"/>
  <c r="P24" i="155"/>
  <c r="P20" i="155"/>
  <c r="P15" i="155"/>
  <c r="P7" i="155"/>
  <c r="P30" i="179"/>
  <c r="P42" i="179"/>
  <c r="P16" i="255"/>
  <c r="P52" i="255"/>
  <c r="P53" i="255"/>
  <c r="P54" i="255"/>
  <c r="P55" i="255"/>
  <c r="P56" i="255"/>
  <c r="P57" i="255"/>
  <c r="P58" i="255"/>
  <c r="P59" i="255"/>
  <c r="P61" i="255"/>
  <c r="P66" i="255"/>
  <c r="P67" i="255"/>
  <c r="P53" i="174"/>
  <c r="P56" i="305"/>
  <c r="P46" i="305"/>
  <c r="P41" i="305"/>
  <c r="P33" i="305"/>
  <c r="P29" i="305"/>
  <c r="P30" i="305"/>
  <c r="P23" i="305"/>
  <c r="P6" i="305"/>
  <c r="P10" i="305"/>
  <c r="P31" i="157"/>
  <c r="P48" i="282"/>
  <c r="P44" i="282"/>
  <c r="P41" i="282"/>
  <c r="P42" i="282"/>
  <c r="P28" i="282"/>
  <c r="P21" i="282"/>
  <c r="P22" i="282"/>
  <c r="P17" i="282"/>
  <c r="P9" i="297"/>
  <c r="P18" i="297"/>
  <c r="P19" i="297"/>
  <c r="P20" i="297"/>
  <c r="P21" i="297"/>
  <c r="P22" i="297"/>
  <c r="P23" i="297"/>
  <c r="P24" i="297"/>
  <c r="P25" i="297"/>
  <c r="P26" i="297"/>
  <c r="P27" i="297"/>
  <c r="P28" i="297"/>
  <c r="P41" i="144"/>
  <c r="P24" i="144"/>
  <c r="P12" i="281"/>
  <c r="P7" i="281"/>
  <c r="P16" i="281"/>
  <c r="P17" i="281"/>
  <c r="P22" i="281"/>
  <c r="P23" i="281"/>
  <c r="P33" i="124"/>
  <c r="P26" i="124"/>
  <c r="P27" i="124"/>
  <c r="P28" i="124"/>
  <c r="P24" i="124"/>
  <c r="P19" i="124"/>
  <c r="P17" i="124"/>
  <c r="P12" i="124"/>
  <c r="P10" i="124"/>
  <c r="P7" i="124"/>
  <c r="P6" i="124"/>
  <c r="P28" i="270"/>
  <c r="P29" i="270"/>
  <c r="P17" i="270"/>
  <c r="P14" i="270"/>
  <c r="P11" i="270"/>
  <c r="P29" i="123"/>
  <c r="P15" i="123"/>
  <c r="P16" i="123"/>
  <c r="P23" i="241"/>
  <c r="P24" i="241"/>
  <c r="P22" i="241"/>
  <c r="P15" i="241"/>
  <c r="P13" i="241"/>
  <c r="P41" i="241"/>
  <c r="P42" i="241"/>
  <c r="P40" i="241"/>
  <c r="P30" i="241"/>
  <c r="P31" i="241"/>
  <c r="P32" i="241"/>
  <c r="P33" i="241"/>
  <c r="P34" i="241"/>
  <c r="P35" i="241"/>
  <c r="P36" i="241"/>
  <c r="P37" i="241"/>
  <c r="P14" i="183"/>
  <c r="P15" i="183"/>
  <c r="P35" i="183"/>
  <c r="P34" i="183"/>
  <c r="P38" i="183"/>
  <c r="P42" i="183"/>
  <c r="P49" i="183"/>
  <c r="P50" i="183"/>
  <c r="P5" i="208"/>
  <c r="P12" i="208"/>
  <c r="P11" i="208"/>
  <c r="P13" i="208"/>
  <c r="P34" i="208"/>
  <c r="P38" i="208"/>
  <c r="P36" i="208"/>
  <c r="P23" i="181"/>
  <c r="P6" i="181"/>
  <c r="P41" i="181"/>
  <c r="P52" i="181"/>
  <c r="P19" i="177"/>
  <c r="P38" i="177"/>
  <c r="P50" i="177"/>
  <c r="P56" i="177"/>
  <c r="N6" i="308"/>
  <c r="N7" i="308"/>
  <c r="N8" i="308"/>
  <c r="N9" i="308"/>
  <c r="N10" i="308"/>
  <c r="N11" i="308"/>
  <c r="N12" i="308"/>
  <c r="N13" i="308"/>
  <c r="N14" i="308"/>
  <c r="N15" i="308"/>
  <c r="N16" i="308"/>
  <c r="N17" i="308"/>
  <c r="N18" i="308"/>
  <c r="N19" i="308"/>
  <c r="N20" i="308"/>
  <c r="N21" i="308"/>
  <c r="N22" i="308"/>
  <c r="N23" i="308"/>
  <c r="N24" i="308"/>
  <c r="N25" i="308"/>
  <c r="N26" i="308"/>
  <c r="N27" i="308"/>
  <c r="N28" i="308"/>
  <c r="N29" i="308"/>
  <c r="N30" i="308"/>
  <c r="N31" i="308"/>
  <c r="N32" i="308"/>
  <c r="N33" i="308"/>
  <c r="N34" i="308"/>
  <c r="N35" i="308"/>
  <c r="N36" i="308"/>
  <c r="N37" i="308"/>
  <c r="N38" i="308"/>
  <c r="N39" i="308"/>
  <c r="N40" i="308"/>
  <c r="N41" i="308"/>
  <c r="N42" i="308"/>
  <c r="N43" i="308"/>
  <c r="N44" i="308"/>
  <c r="N45" i="308"/>
  <c r="N46" i="308"/>
  <c r="N47" i="308"/>
  <c r="N48" i="308"/>
  <c r="N49" i="308"/>
  <c r="N50" i="308"/>
  <c r="N51" i="308"/>
  <c r="N52" i="308"/>
  <c r="N53" i="308"/>
  <c r="N54" i="308"/>
  <c r="N55" i="308"/>
  <c r="N56" i="308"/>
  <c r="N57" i="308"/>
  <c r="P18" i="127"/>
  <c r="P20" i="127"/>
  <c r="P21" i="127"/>
  <c r="P25" i="127"/>
  <c r="P26" i="127"/>
  <c r="P27" i="127"/>
  <c r="P29" i="127"/>
  <c r="P32" i="127"/>
  <c r="P33" i="127"/>
  <c r="P35" i="127"/>
  <c r="P34" i="127"/>
  <c r="P48" i="127"/>
  <c r="P49" i="127"/>
  <c r="P10" i="138"/>
  <c r="P27" i="138"/>
  <c r="P25" i="138"/>
  <c r="P29" i="138"/>
  <c r="P30" i="138"/>
  <c r="P31" i="138"/>
  <c r="P32" i="138"/>
  <c r="P33" i="138"/>
  <c r="P34" i="138"/>
  <c r="P35" i="138"/>
  <c r="P36" i="138"/>
  <c r="P43" i="138"/>
  <c r="P52" i="189"/>
  <c r="P37" i="189"/>
  <c r="P38" i="189"/>
  <c r="P39" i="189"/>
  <c r="P40" i="189"/>
  <c r="P41" i="189"/>
  <c r="P42" i="189"/>
  <c r="P43" i="189"/>
  <c r="P44" i="189"/>
  <c r="P32" i="189"/>
  <c r="P29" i="189"/>
  <c r="P18" i="189"/>
  <c r="P19" i="189"/>
  <c r="P20" i="189"/>
  <c r="P21" i="189"/>
  <c r="P22" i="189"/>
  <c r="P23" i="189"/>
  <c r="P24" i="189"/>
  <c r="P16" i="189"/>
  <c r="P6" i="189"/>
  <c r="P7" i="189"/>
  <c r="P8" i="189"/>
  <c r="P5" i="189"/>
  <c r="P31" i="254"/>
  <c r="P30" i="254"/>
  <c r="P29" i="254"/>
  <c r="P23" i="254"/>
  <c r="P24" i="254"/>
  <c r="P25" i="254"/>
  <c r="P26" i="254"/>
  <c r="P27" i="254"/>
  <c r="P28" i="254"/>
  <c r="P16" i="254"/>
  <c r="P13" i="254"/>
  <c r="P10" i="254"/>
  <c r="P50" i="261"/>
  <c r="P25" i="261"/>
  <c r="P19" i="261"/>
  <c r="P16" i="261"/>
  <c r="P14" i="261"/>
  <c r="P12" i="261"/>
  <c r="P7" i="261"/>
  <c r="P62" i="190"/>
  <c r="P63" i="190"/>
  <c r="P52" i="190"/>
  <c r="P48" i="190"/>
  <c r="P38" i="190"/>
  <c r="P25" i="190"/>
  <c r="P21" i="190"/>
  <c r="P22" i="190"/>
  <c r="P23" i="190"/>
  <c r="P17" i="190"/>
  <c r="P55" i="159"/>
  <c r="P52" i="159"/>
  <c r="P48" i="159"/>
  <c r="P49" i="159"/>
  <c r="P50" i="159"/>
  <c r="P51" i="159"/>
  <c r="P53" i="159"/>
  <c r="P54" i="159"/>
  <c r="P21" i="159"/>
  <c r="P22" i="159"/>
  <c r="P19" i="159"/>
  <c r="P15" i="159"/>
  <c r="P16" i="159"/>
  <c r="P17" i="159"/>
  <c r="P9" i="159"/>
  <c r="P38" i="145"/>
  <c r="P21" i="145"/>
  <c r="P14" i="145"/>
  <c r="P7" i="123"/>
  <c r="P8" i="123"/>
  <c r="P9" i="123"/>
  <c r="P10" i="123"/>
  <c r="P11" i="123"/>
  <c r="P12" i="123"/>
  <c r="P13" i="123"/>
  <c r="P14" i="123"/>
  <c r="P17" i="123"/>
  <c r="P18" i="123"/>
  <c r="P19" i="123"/>
  <c r="P20" i="123"/>
  <c r="P21" i="123"/>
  <c r="P22" i="123"/>
  <c r="P23" i="123"/>
  <c r="P24" i="123"/>
  <c r="P25" i="123"/>
  <c r="P26" i="123"/>
  <c r="P27" i="123"/>
  <c r="P28" i="123"/>
  <c r="P30" i="123"/>
  <c r="P31" i="123"/>
  <c r="P32" i="123"/>
  <c r="P33" i="123"/>
  <c r="P34" i="123"/>
  <c r="P35" i="123"/>
  <c r="P36" i="123"/>
  <c r="P37" i="123"/>
  <c r="P38" i="123"/>
  <c r="P39" i="123"/>
  <c r="P40" i="123"/>
  <c r="P41" i="123"/>
  <c r="P42" i="123"/>
  <c r="P12" i="141"/>
  <c r="P13" i="141"/>
  <c r="P9" i="141"/>
  <c r="P10" i="141"/>
  <c r="P7" i="141"/>
  <c r="P8" i="141"/>
  <c r="P14" i="141"/>
  <c r="P15" i="141"/>
  <c r="P16" i="141"/>
  <c r="P19" i="141"/>
  <c r="P20" i="141"/>
  <c r="P21" i="141"/>
  <c r="P22" i="141"/>
  <c r="P35" i="141"/>
  <c r="P36" i="141"/>
  <c r="P24" i="141"/>
  <c r="P25" i="141"/>
  <c r="P26" i="141"/>
  <c r="P27" i="141"/>
  <c r="P28" i="141"/>
  <c r="P29" i="141"/>
  <c r="P30" i="141"/>
  <c r="P31" i="141"/>
  <c r="P32" i="141"/>
  <c r="P33" i="141"/>
  <c r="P5" i="201"/>
  <c r="P29" i="201"/>
  <c r="P30" i="201"/>
  <c r="P31" i="201"/>
  <c r="P32" i="201"/>
  <c r="P36" i="201"/>
  <c r="P34" i="201"/>
  <c r="P38" i="201"/>
  <c r="P44" i="136"/>
  <c r="P32" i="136"/>
  <c r="P26" i="136"/>
  <c r="P15" i="136"/>
  <c r="P21" i="170"/>
  <c r="P16" i="170"/>
  <c r="P10" i="170"/>
  <c r="P7" i="170"/>
  <c r="P6" i="170"/>
  <c r="P40" i="170"/>
  <c r="P32" i="170"/>
  <c r="P33" i="170"/>
  <c r="P59" i="169"/>
  <c r="P60" i="169"/>
  <c r="P53" i="169"/>
  <c r="P41" i="169"/>
  <c r="P28" i="169"/>
  <c r="P29" i="169"/>
  <c r="P30" i="169"/>
  <c r="P27" i="169"/>
  <c r="P24" i="169"/>
  <c r="P19" i="169"/>
  <c r="P7" i="169"/>
  <c r="P5" i="169"/>
  <c r="P45" i="132"/>
  <c r="P26" i="132"/>
  <c r="P20" i="132"/>
  <c r="P21" i="132"/>
  <c r="P14" i="132"/>
  <c r="P34" i="198"/>
  <c r="P40" i="198"/>
  <c r="P22" i="198"/>
  <c r="P23" i="198"/>
  <c r="P24" i="198"/>
  <c r="P25" i="198"/>
  <c r="P26" i="198"/>
  <c r="P27" i="198"/>
  <c r="P28" i="198"/>
  <c r="P29" i="198"/>
  <c r="P30" i="198"/>
  <c r="P31" i="198"/>
  <c r="P6" i="198"/>
  <c r="P9" i="171"/>
  <c r="P5" i="171"/>
  <c r="P13" i="171"/>
  <c r="P14" i="171"/>
  <c r="P15" i="171"/>
  <c r="P16" i="171"/>
  <c r="P17" i="171"/>
  <c r="P18" i="171"/>
  <c r="P19" i="171"/>
  <c r="P44" i="171"/>
  <c r="P45" i="171"/>
  <c r="P46" i="171"/>
  <c r="P47" i="171"/>
  <c r="P48" i="171"/>
  <c r="P49" i="171"/>
  <c r="P50" i="171"/>
  <c r="P51" i="171"/>
  <c r="P52" i="171"/>
  <c r="P53" i="171"/>
  <c r="P54" i="171"/>
  <c r="P38" i="171"/>
  <c r="P13" i="259"/>
  <c r="P25" i="259"/>
  <c r="P29" i="259"/>
  <c r="P30" i="259"/>
  <c r="P38" i="259"/>
  <c r="P35" i="259"/>
  <c r="P30" i="154"/>
  <c r="P20" i="194"/>
  <c r="P19" i="194"/>
  <c r="P59" i="194"/>
  <c r="P43" i="194"/>
  <c r="P44" i="194"/>
  <c r="P45" i="194"/>
  <c r="P46" i="194"/>
  <c r="P39" i="194"/>
  <c r="P40" i="194"/>
  <c r="P35" i="194"/>
  <c r="P32" i="194"/>
  <c r="P33" i="194"/>
  <c r="P30" i="194"/>
  <c r="P16" i="194"/>
  <c r="P15" i="256"/>
  <c r="P10" i="256"/>
  <c r="P11" i="256"/>
  <c r="P28" i="256"/>
  <c r="P29" i="256"/>
  <c r="P30" i="256"/>
  <c r="N65" i="310"/>
  <c r="N59" i="310"/>
  <c r="N60" i="310"/>
  <c r="N61" i="310"/>
  <c r="N47" i="310"/>
  <c r="N48" i="310"/>
  <c r="N49" i="310"/>
  <c r="N41" i="310"/>
  <c r="N38" i="310"/>
  <c r="N39" i="310"/>
  <c r="N35" i="310"/>
  <c r="N32" i="310"/>
  <c r="N33" i="310"/>
  <c r="N23" i="310"/>
  <c r="N24" i="310"/>
  <c r="N25" i="310"/>
  <c r="N16" i="310"/>
  <c r="N9" i="310"/>
  <c r="N10" i="310"/>
  <c r="P21" i="172"/>
  <c r="P29" i="172"/>
  <c r="P23" i="258"/>
  <c r="P24" i="258"/>
  <c r="P13" i="258"/>
  <c r="P46" i="140"/>
  <c r="P47" i="140"/>
  <c r="P48" i="140"/>
  <c r="P30" i="140"/>
  <c r="P19" i="140"/>
  <c r="P20" i="140"/>
  <c r="P13" i="140"/>
  <c r="P46" i="173"/>
  <c r="P34" i="173"/>
  <c r="P29" i="173"/>
  <c r="P30" i="173"/>
  <c r="P31" i="173"/>
  <c r="P25" i="173"/>
  <c r="P17" i="173"/>
  <c r="P18" i="173"/>
  <c r="P15" i="173"/>
  <c r="P38" i="175"/>
  <c r="P39" i="175"/>
  <c r="P31" i="175"/>
  <c r="P24" i="175"/>
  <c r="P15" i="175"/>
  <c r="P7" i="175"/>
  <c r="P8" i="175"/>
  <c r="P9" i="175"/>
  <c r="P35" i="240"/>
  <c r="P32" i="240"/>
  <c r="P21" i="240"/>
  <c r="P15" i="240"/>
  <c r="P10" i="240"/>
  <c r="P8" i="240"/>
  <c r="P17" i="288"/>
  <c r="P28" i="288"/>
  <c r="P31" i="288"/>
  <c r="P29" i="288"/>
  <c r="P39" i="288"/>
  <c r="P40" i="288"/>
  <c r="P56" i="288"/>
  <c r="P57" i="288"/>
  <c r="P58" i="288"/>
  <c r="P41" i="299"/>
  <c r="P35" i="299"/>
  <c r="P36" i="299"/>
  <c r="P37" i="299"/>
  <c r="P38" i="299"/>
  <c r="P39" i="299"/>
  <c r="P40" i="299"/>
  <c r="P42" i="299"/>
  <c r="P43" i="299"/>
  <c r="P33" i="299"/>
  <c r="P23" i="299"/>
  <c r="P14" i="299"/>
  <c r="P5" i="299"/>
  <c r="P50" i="299"/>
  <c r="P15" i="182"/>
  <c r="P29" i="182"/>
  <c r="P30" i="182"/>
  <c r="P31" i="182"/>
  <c r="P9" i="182"/>
  <c r="P6" i="182"/>
  <c r="P16" i="147"/>
  <c r="P17" i="147"/>
  <c r="P14" i="147"/>
  <c r="P13" i="147"/>
  <c r="P10" i="147"/>
  <c r="P11" i="147"/>
  <c r="P5" i="147"/>
  <c r="P27" i="147"/>
  <c r="P35" i="147"/>
  <c r="P30" i="147"/>
  <c r="P31" i="147"/>
  <c r="P32" i="147"/>
  <c r="P33" i="147"/>
  <c r="P34" i="147"/>
  <c r="P41" i="147"/>
  <c r="P55" i="147"/>
  <c r="P56" i="147"/>
  <c r="P28" i="278"/>
  <c r="P29" i="278"/>
  <c r="P20" i="278"/>
  <c r="P17" i="278"/>
  <c r="P14" i="278"/>
  <c r="P10" i="278"/>
  <c r="P11" i="278"/>
  <c r="P44" i="278"/>
  <c r="P44" i="268"/>
  <c r="P36" i="268"/>
  <c r="P32" i="268"/>
  <c r="P33" i="268"/>
  <c r="P23" i="268"/>
  <c r="P24" i="268"/>
  <c r="P25" i="268"/>
  <c r="P26" i="268"/>
  <c r="P21" i="268"/>
  <c r="P19" i="268"/>
  <c r="P20" i="268"/>
  <c r="P10" i="268"/>
  <c r="P19" i="167"/>
  <c r="P8" i="167"/>
  <c r="P5" i="167"/>
  <c r="P25" i="167"/>
  <c r="P23" i="167"/>
  <c r="P34" i="167"/>
  <c r="P35" i="167"/>
  <c r="P41" i="167"/>
  <c r="P64" i="167"/>
  <c r="P52" i="167"/>
  <c r="P49" i="167"/>
  <c r="P50" i="167"/>
  <c r="P51" i="167"/>
  <c r="P56" i="197"/>
  <c r="P30" i="197"/>
  <c r="P31" i="197"/>
  <c r="P32" i="197"/>
  <c r="P23" i="197"/>
  <c r="P18" i="197"/>
  <c r="P9" i="197"/>
  <c r="P6" i="197"/>
  <c r="P57" i="197"/>
  <c r="P44" i="180"/>
  <c r="P39" i="180"/>
  <c r="P36" i="180"/>
  <c r="P27" i="180"/>
  <c r="P15" i="180"/>
  <c r="P11" i="180"/>
  <c r="P47" i="279"/>
  <c r="P28" i="279"/>
  <c r="P11" i="279"/>
  <c r="P7" i="206"/>
  <c r="P8" i="206"/>
  <c r="P5" i="206"/>
  <c r="P26" i="206"/>
  <c r="P13" i="206"/>
  <c r="P14" i="206"/>
  <c r="P44" i="206"/>
  <c r="P45" i="206"/>
  <c r="P35" i="206"/>
  <c r="P36" i="206"/>
  <c r="P37" i="206"/>
  <c r="P38" i="206"/>
  <c r="P34" i="206"/>
  <c r="P19" i="165"/>
  <c r="P5" i="165"/>
  <c r="P37" i="165"/>
  <c r="P57" i="165"/>
  <c r="P49" i="177"/>
  <c r="P47" i="177"/>
  <c r="P44" i="177"/>
  <c r="P45" i="177"/>
  <c r="P31" i="177"/>
  <c r="P18" i="177"/>
  <c r="P12" i="177"/>
  <c r="P46" i="201"/>
  <c r="P39" i="201"/>
  <c r="P37" i="201"/>
  <c r="P26" i="201"/>
  <c r="P27" i="201"/>
  <c r="P22" i="201"/>
  <c r="P15" i="201"/>
  <c r="P47" i="136"/>
  <c r="P48" i="136"/>
  <c r="P49" i="136"/>
  <c r="P50" i="136"/>
  <c r="P28" i="136"/>
  <c r="P29" i="136"/>
  <c r="P20" i="136"/>
  <c r="P14" i="170"/>
  <c r="P18" i="170"/>
  <c r="P39" i="170"/>
  <c r="P27" i="170"/>
  <c r="P28" i="170"/>
  <c r="P29" i="170"/>
  <c r="P30" i="170"/>
  <c r="P31" i="170"/>
  <c r="P39" i="127"/>
  <c r="P40" i="127"/>
  <c r="P41" i="127"/>
  <c r="P28" i="127"/>
  <c r="P22" i="127"/>
  <c r="P23" i="127"/>
  <c r="P17" i="127"/>
  <c r="P14" i="127"/>
  <c r="P11" i="127"/>
  <c r="P12" i="127"/>
  <c r="P35" i="169"/>
  <c r="P32" i="169"/>
  <c r="P23" i="169"/>
  <c r="P25" i="169"/>
  <c r="P16" i="169"/>
  <c r="P42" i="169"/>
  <c r="P48" i="169"/>
  <c r="P43" i="132"/>
  <c r="P31" i="132"/>
  <c r="P16" i="132"/>
  <c r="P17" i="132"/>
  <c r="P7" i="138"/>
  <c r="P12" i="138"/>
  <c r="P13" i="138"/>
  <c r="P17" i="138"/>
  <c r="P18" i="138"/>
  <c r="P26" i="138"/>
  <c r="P25" i="189"/>
  <c r="P26" i="189"/>
  <c r="P17" i="189"/>
  <c r="P31" i="189"/>
  <c r="P48" i="189"/>
  <c r="P49" i="189"/>
  <c r="P50" i="189"/>
  <c r="P53" i="189"/>
  <c r="P8" i="254"/>
  <c r="P57" i="254"/>
  <c r="P50" i="254"/>
  <c r="P47" i="254"/>
  <c r="P18" i="261"/>
  <c r="P22" i="261"/>
  <c r="P23" i="261"/>
  <c r="P24" i="261"/>
  <c r="P52" i="261"/>
  <c r="P17" i="141"/>
  <c r="P53" i="161"/>
  <c r="P44" i="161"/>
  <c r="P33" i="161"/>
  <c r="P34" i="161"/>
  <c r="P35" i="161"/>
  <c r="P36" i="161"/>
  <c r="P37" i="161"/>
  <c r="P23" i="161"/>
  <c r="P24" i="161"/>
  <c r="P12" i="161"/>
  <c r="P6" i="161"/>
  <c r="P51" i="145"/>
  <c r="P44" i="145"/>
  <c r="P32" i="145"/>
  <c r="P28" i="145"/>
  <c r="P44" i="159"/>
  <c r="P45" i="159"/>
  <c r="P27" i="159"/>
  <c r="P28" i="159"/>
  <c r="P29" i="159"/>
  <c r="P30" i="159"/>
  <c r="P31" i="159"/>
  <c r="P32" i="159"/>
  <c r="P33" i="159"/>
  <c r="P34" i="159"/>
  <c r="P35" i="159"/>
  <c r="P36" i="159"/>
  <c r="P37" i="159"/>
  <c r="P38" i="159"/>
  <c r="P23" i="159"/>
  <c r="P24" i="159"/>
  <c r="P13" i="159"/>
  <c r="P10" i="159"/>
  <c r="P11" i="159"/>
  <c r="P6" i="159"/>
  <c r="P7" i="159"/>
  <c r="P46" i="190"/>
  <c r="P40" i="190"/>
  <c r="P16" i="190"/>
  <c r="P18" i="190"/>
  <c r="P61" i="190"/>
  <c r="P50" i="190"/>
  <c r="P14" i="198"/>
  <c r="P12" i="198"/>
  <c r="P32" i="198"/>
  <c r="P33" i="198"/>
  <c r="P41" i="171"/>
  <c r="P31" i="171"/>
  <c r="P10" i="171"/>
  <c r="P20" i="171"/>
  <c r="P51" i="259"/>
  <c r="P52" i="259"/>
  <c r="P39" i="259"/>
  <c r="P40" i="259"/>
  <c r="P36" i="259"/>
  <c r="P20" i="259"/>
  <c r="P15" i="259"/>
  <c r="P57" i="154"/>
  <c r="P40" i="154"/>
  <c r="P41" i="154"/>
  <c r="P32" i="154"/>
  <c r="P33" i="154"/>
  <c r="P34" i="154"/>
  <c r="P58" i="194"/>
  <c r="P41" i="194"/>
  <c r="P37" i="194"/>
  <c r="P38" i="194"/>
  <c r="P23" i="194"/>
  <c r="P48" i="256"/>
  <c r="P49" i="256"/>
  <c r="P37" i="256"/>
  <c r="P38" i="256"/>
  <c r="P39" i="256"/>
  <c r="P40" i="256"/>
  <c r="P41" i="256"/>
  <c r="P42" i="256"/>
  <c r="P43" i="256"/>
  <c r="P27" i="256"/>
  <c r="P31" i="256"/>
  <c r="P32" i="256"/>
  <c r="P33" i="256"/>
  <c r="P34" i="256"/>
  <c r="P35" i="256"/>
  <c r="P36" i="256"/>
  <c r="P20" i="256"/>
  <c r="P5" i="256"/>
  <c r="P46" i="183"/>
  <c r="P48" i="183"/>
  <c r="P63" i="183"/>
  <c r="P45" i="183"/>
  <c r="P16" i="208"/>
  <c r="P17" i="208"/>
  <c r="P23" i="208"/>
  <c r="P24" i="208"/>
  <c r="P45" i="269"/>
  <c r="P22" i="269"/>
  <c r="P23" i="269"/>
  <c r="P55" i="269"/>
  <c r="P45" i="306"/>
  <c r="P29" i="306"/>
  <c r="P30" i="306"/>
  <c r="P31" i="306"/>
  <c r="P32" i="306"/>
  <c r="P26" i="306"/>
  <c r="P23" i="306"/>
  <c r="P24" i="306"/>
  <c r="P25" i="306"/>
  <c r="P6" i="306"/>
  <c r="P7" i="306"/>
  <c r="P8" i="306"/>
  <c r="P9" i="306"/>
  <c r="P10" i="306"/>
  <c r="P11" i="306"/>
  <c r="P12" i="306"/>
  <c r="P13" i="306"/>
  <c r="P14" i="306"/>
  <c r="P15" i="306"/>
  <c r="P12" i="153"/>
  <c r="P13" i="153"/>
  <c r="P55" i="153"/>
  <c r="N15" i="314"/>
  <c r="N30" i="314"/>
  <c r="P6" i="210"/>
  <c r="P7" i="210"/>
  <c r="P12" i="210"/>
  <c r="P14" i="210"/>
  <c r="P16" i="210"/>
  <c r="P37" i="210"/>
  <c r="P45" i="210"/>
  <c r="P49" i="210"/>
  <c r="P24" i="278"/>
  <c r="P25" i="278"/>
  <c r="P26" i="278"/>
  <c r="P27" i="278"/>
  <c r="P30" i="278"/>
  <c r="P31" i="278"/>
  <c r="P32" i="278"/>
  <c r="P39" i="278"/>
  <c r="P40" i="278"/>
  <c r="P41" i="278"/>
  <c r="P42" i="278"/>
  <c r="P51" i="278"/>
  <c r="P50" i="268"/>
  <c r="P12" i="268"/>
  <c r="P7" i="268"/>
  <c r="P5" i="268"/>
  <c r="P33" i="167"/>
  <c r="N37" i="310"/>
  <c r="N52" i="310"/>
  <c r="N56" i="310"/>
  <c r="N64" i="310"/>
  <c r="N15" i="310"/>
  <c r="N11" i="310"/>
  <c r="P12" i="172"/>
  <c r="P11" i="172"/>
  <c r="P37" i="172"/>
  <c r="P38" i="172"/>
  <c r="P39" i="172"/>
  <c r="P40" i="172"/>
  <c r="P31" i="172"/>
  <c r="P32" i="172"/>
  <c r="P20" i="172"/>
  <c r="P22" i="172"/>
  <c r="P28" i="258"/>
  <c r="P21" i="140"/>
  <c r="P22" i="140"/>
  <c r="P57" i="173"/>
  <c r="P49" i="173"/>
  <c r="P50" i="173"/>
  <c r="P51" i="173"/>
  <c r="P52" i="173"/>
  <c r="P53" i="173"/>
  <c r="P45" i="173"/>
  <c r="P41" i="173"/>
  <c r="P7" i="173"/>
  <c r="P8" i="173"/>
  <c r="P9" i="173"/>
  <c r="P10" i="173"/>
  <c r="P11" i="173"/>
  <c r="P12" i="173"/>
  <c r="P13" i="173"/>
  <c r="P26" i="175"/>
  <c r="P29" i="175"/>
  <c r="P50" i="175"/>
  <c r="P29" i="147"/>
  <c r="P23" i="147"/>
  <c r="P36" i="147"/>
  <c r="P37" i="147"/>
  <c r="P38" i="147"/>
  <c r="P39" i="147"/>
  <c r="P38" i="240"/>
  <c r="P34" i="240"/>
  <c r="P9" i="240"/>
  <c r="P11" i="299"/>
  <c r="P7" i="299"/>
  <c r="P42" i="182"/>
  <c r="P43" i="182"/>
  <c r="P44" i="182"/>
  <c r="P45" i="182"/>
  <c r="P46" i="182"/>
  <c r="P47" i="182"/>
  <c r="P48" i="182"/>
  <c r="P49" i="182"/>
  <c r="P23" i="182"/>
  <c r="P24" i="182"/>
  <c r="P37" i="197"/>
  <c r="P38" i="197"/>
  <c r="P39" i="197"/>
  <c r="P29" i="197"/>
  <c r="P33" i="197"/>
  <c r="P27" i="197"/>
  <c r="P11" i="197"/>
  <c r="P47" i="180"/>
  <c r="P38" i="180"/>
  <c r="P33" i="180"/>
  <c r="P34" i="180"/>
  <c r="P29" i="180"/>
  <c r="P30" i="180"/>
  <c r="P17" i="180"/>
  <c r="P37" i="279"/>
  <c r="P10" i="279"/>
  <c r="P9" i="206"/>
  <c r="P21" i="206"/>
  <c r="P22" i="206"/>
  <c r="P33" i="206"/>
  <c r="P48" i="165"/>
  <c r="P49" i="165"/>
  <c r="P36" i="165"/>
  <c r="P31" i="165"/>
  <c r="P26" i="165"/>
  <c r="P12" i="165"/>
  <c r="P13" i="165"/>
  <c r="P14" i="165"/>
  <c r="P10" i="165"/>
  <c r="P33" i="264"/>
  <c r="P26" i="264"/>
  <c r="P9" i="264"/>
  <c r="P10" i="264"/>
  <c r="P11" i="264"/>
  <c r="P6" i="264"/>
  <c r="P50" i="195"/>
  <c r="P47" i="195"/>
  <c r="P33" i="195"/>
  <c r="P34" i="195"/>
  <c r="P35" i="195"/>
  <c r="P23" i="195"/>
  <c r="P24" i="195"/>
  <c r="P11" i="195"/>
  <c r="P13" i="195"/>
  <c r="P10" i="195"/>
  <c r="P7" i="195"/>
  <c r="P8" i="195"/>
  <c r="P46" i="150"/>
  <c r="P44" i="150"/>
  <c r="P45" i="150"/>
  <c r="P19" i="150"/>
  <c r="P24" i="150"/>
  <c r="P40" i="150"/>
  <c r="P41" i="150"/>
  <c r="N10" i="315"/>
  <c r="N5" i="315"/>
  <c r="N27" i="315"/>
  <c r="N30" i="315"/>
  <c r="N60" i="315"/>
  <c r="N61" i="315"/>
  <c r="N62" i="315"/>
  <c r="N63" i="315"/>
  <c r="P32" i="160"/>
  <c r="P10" i="238"/>
  <c r="P17" i="238"/>
  <c r="P19" i="238"/>
  <c r="P47" i="238"/>
  <c r="P43" i="238"/>
  <c r="P11" i="168"/>
  <c r="P15" i="168"/>
  <c r="P22" i="168"/>
  <c r="P23" i="168"/>
  <c r="P24" i="168"/>
  <c r="P9" i="149"/>
  <c r="P8" i="151"/>
  <c r="P12" i="151"/>
  <c r="P18" i="151"/>
  <c r="P19" i="151"/>
  <c r="P20" i="151"/>
  <c r="P21" i="151"/>
  <c r="P22" i="151"/>
  <c r="P24" i="151"/>
  <c r="P31" i="151"/>
  <c r="P35" i="151"/>
  <c r="P36" i="151"/>
  <c r="P37" i="151"/>
  <c r="P49" i="151"/>
  <c r="P21" i="158"/>
  <c r="P11" i="158"/>
  <c r="P29" i="158"/>
  <c r="P38" i="158"/>
  <c r="P40" i="158"/>
  <c r="P45" i="158"/>
  <c r="P46" i="158"/>
  <c r="P45" i="266"/>
  <c r="P46" i="266"/>
  <c r="P47" i="266"/>
  <c r="P48" i="266"/>
  <c r="P46" i="273"/>
  <c r="P26" i="273"/>
  <c r="P37" i="163"/>
  <c r="P26" i="163"/>
  <c r="P27" i="163"/>
  <c r="P24" i="163"/>
  <c r="P25" i="196"/>
  <c r="P26" i="196"/>
  <c r="P42" i="128"/>
  <c r="P51" i="128"/>
  <c r="P54" i="128"/>
  <c r="P26" i="291"/>
  <c r="P35" i="291"/>
  <c r="P32" i="291"/>
  <c r="P33" i="291"/>
  <c r="P13" i="291"/>
  <c r="P11" i="291"/>
  <c r="P62" i="291"/>
  <c r="P59" i="295"/>
  <c r="P60" i="295"/>
  <c r="P61" i="295"/>
  <c r="P50" i="295"/>
  <c r="P43" i="295"/>
  <c r="P45" i="295"/>
  <c r="P40" i="295"/>
  <c r="P35" i="295"/>
  <c r="P24" i="295"/>
  <c r="P25" i="295"/>
  <c r="P11" i="295"/>
  <c r="P5" i="295"/>
  <c r="P18" i="130"/>
  <c r="P31" i="130"/>
  <c r="P32" i="130"/>
  <c r="P33" i="130"/>
  <c r="P34" i="130"/>
  <c r="P52" i="130"/>
  <c r="P33" i="304"/>
  <c r="P27" i="304"/>
  <c r="P57" i="135"/>
  <c r="P53" i="135"/>
  <c r="P6" i="135"/>
  <c r="P7" i="135"/>
  <c r="P8" i="135"/>
  <c r="P10" i="135"/>
  <c r="P54" i="287"/>
  <c r="P24" i="287"/>
  <c r="P25" i="287"/>
  <c r="P18" i="287"/>
  <c r="P19" i="287"/>
  <c r="P20" i="287"/>
  <c r="P15" i="287"/>
  <c r="P5" i="287"/>
  <c r="P51" i="184"/>
  <c r="P41" i="184"/>
  <c r="P43" i="184"/>
  <c r="P44" i="184"/>
  <c r="P32" i="184"/>
  <c r="P33" i="184"/>
  <c r="P27" i="184"/>
  <c r="P10" i="184"/>
  <c r="P11" i="184"/>
  <c r="P49" i="125"/>
  <c r="P40" i="125"/>
  <c r="P39" i="125"/>
  <c r="P28" i="125"/>
  <c r="P25" i="125"/>
  <c r="P14" i="125"/>
  <c r="P8" i="243"/>
  <c r="P17" i="243"/>
  <c r="P24" i="243"/>
  <c r="P36" i="243"/>
  <c r="P40" i="243"/>
  <c r="P41" i="243"/>
  <c r="P8" i="191"/>
  <c r="P17" i="191"/>
  <c r="P18" i="191"/>
  <c r="P28" i="191"/>
  <c r="P51" i="191"/>
  <c r="P52" i="191"/>
  <c r="P56" i="191"/>
  <c r="P33" i="204"/>
  <c r="P47" i="204"/>
  <c r="P27" i="284"/>
  <c r="P28" i="284"/>
  <c r="P29" i="284"/>
  <c r="P30" i="284"/>
  <c r="P40" i="284"/>
  <c r="P41" i="284"/>
  <c r="P42" i="284"/>
  <c r="P43" i="284"/>
  <c r="P44" i="284"/>
  <c r="P23" i="284"/>
  <c r="P24" i="284"/>
  <c r="P21" i="284"/>
  <c r="P10" i="284"/>
  <c r="P6" i="284"/>
  <c r="P39" i="139"/>
  <c r="P35" i="139"/>
  <c r="P33" i="139"/>
  <c r="P28" i="139"/>
  <c r="P14" i="139"/>
  <c r="P10" i="139"/>
  <c r="P11" i="139"/>
  <c r="P52" i="186"/>
  <c r="P53" i="186"/>
  <c r="P20" i="186"/>
  <c r="P17" i="186"/>
  <c r="P15" i="186"/>
  <c r="P24" i="185"/>
  <c r="P22" i="185"/>
  <c r="P40" i="185"/>
  <c r="P36" i="133"/>
  <c r="P37" i="133"/>
  <c r="P38" i="133"/>
  <c r="P27" i="133"/>
  <c r="P40" i="133"/>
  <c r="P34" i="187"/>
  <c r="P35" i="187"/>
  <c r="P66" i="187"/>
  <c r="P58" i="187"/>
  <c r="P48" i="187"/>
  <c r="P46" i="187"/>
  <c r="P41" i="187"/>
  <c r="P36" i="226"/>
  <c r="P40" i="226"/>
  <c r="P42" i="226"/>
  <c r="P43" i="226"/>
  <c r="P44" i="226"/>
  <c r="P45" i="226"/>
  <c r="P46" i="226"/>
  <c r="P47" i="226"/>
  <c r="P48" i="226"/>
  <c r="P49" i="226"/>
  <c r="P50" i="226"/>
  <c r="P51" i="226"/>
  <c r="P38" i="226"/>
  <c r="P37" i="226"/>
  <c r="P53" i="226"/>
  <c r="P17" i="296"/>
  <c r="P15" i="296"/>
  <c r="P28" i="296"/>
  <c r="P29" i="296"/>
  <c r="P45" i="296"/>
  <c r="P22" i="126"/>
  <c r="P23" i="126"/>
  <c r="P26" i="126"/>
  <c r="P27" i="126"/>
  <c r="P28" i="126"/>
  <c r="P29" i="126"/>
  <c r="P30" i="126"/>
  <c r="P32" i="126"/>
  <c r="P33" i="126"/>
  <c r="P35" i="126"/>
  <c r="P36" i="126"/>
  <c r="P37" i="126"/>
  <c r="P38" i="126"/>
  <c r="P39" i="126"/>
  <c r="P40" i="126"/>
  <c r="P41" i="126"/>
  <c r="P42" i="126"/>
  <c r="P43" i="126"/>
  <c r="P44" i="126"/>
  <c r="P45" i="126"/>
  <c r="P46" i="126"/>
  <c r="P47" i="126"/>
  <c r="P51" i="126"/>
  <c r="P52" i="126"/>
  <c r="P60" i="126"/>
  <c r="P51" i="211"/>
  <c r="P52" i="211"/>
  <c r="P34" i="211"/>
  <c r="P42" i="166"/>
  <c r="P33" i="301"/>
  <c r="P13" i="301"/>
  <c r="P14" i="301"/>
  <c r="P45" i="200"/>
  <c r="P40" i="200"/>
  <c r="P39" i="200"/>
  <c r="P36" i="200"/>
  <c r="P14" i="200"/>
  <c r="P22" i="280"/>
  <c r="P27" i="280"/>
  <c r="P29" i="280"/>
  <c r="P47" i="280"/>
  <c r="P48" i="280"/>
  <c r="P51" i="280"/>
  <c r="P27" i="162"/>
  <c r="P11" i="162"/>
  <c r="P14" i="162"/>
  <c r="P28" i="162"/>
  <c r="P22" i="162"/>
  <c r="P30" i="162"/>
  <c r="P50" i="162"/>
  <c r="P28" i="239"/>
  <c r="P36" i="239"/>
  <c r="P18" i="142"/>
  <c r="P17" i="142"/>
  <c r="P22" i="142"/>
  <c r="P6" i="143"/>
  <c r="P7" i="143"/>
  <c r="P9" i="143"/>
  <c r="P10" i="143"/>
  <c r="P11" i="143"/>
  <c r="P14" i="143"/>
  <c r="P15" i="143"/>
  <c r="P16" i="143"/>
  <c r="P17" i="143"/>
  <c r="P18" i="143"/>
  <c r="P19" i="143"/>
  <c r="P20" i="143"/>
  <c r="P22" i="143"/>
  <c r="P23" i="143"/>
  <c r="P24" i="143"/>
  <c r="P25" i="143"/>
  <c r="P27" i="143"/>
  <c r="P28" i="143"/>
  <c r="P29" i="143"/>
  <c r="P30" i="143"/>
  <c r="P31" i="143"/>
  <c r="P32" i="143"/>
  <c r="P33" i="143"/>
  <c r="P34" i="143"/>
  <c r="P35" i="143"/>
  <c r="P36" i="143"/>
  <c r="P37" i="143"/>
  <c r="P38" i="143"/>
  <c r="P39" i="143"/>
  <c r="P40" i="143"/>
  <c r="P41" i="143"/>
  <c r="P42" i="143"/>
  <c r="P43" i="143"/>
  <c r="P44" i="143"/>
  <c r="P45" i="143"/>
  <c r="P46" i="143"/>
  <c r="P48" i="143"/>
  <c r="P49" i="143"/>
  <c r="P50" i="143"/>
  <c r="P23" i="148"/>
  <c r="P24" i="148"/>
  <c r="P25" i="148"/>
  <c r="P26" i="148"/>
  <c r="P19" i="148"/>
  <c r="P13" i="148"/>
  <c r="P14" i="148"/>
  <c r="P15" i="148"/>
  <c r="P16" i="148"/>
  <c r="P8" i="148"/>
  <c r="P9" i="148"/>
  <c r="P10" i="148"/>
  <c r="P49" i="148"/>
  <c r="P50" i="148"/>
  <c r="P7" i="148"/>
  <c r="P11" i="148"/>
  <c r="P12" i="148"/>
  <c r="P17" i="148"/>
  <c r="P18" i="148"/>
  <c r="P20" i="148"/>
  <c r="P21" i="148"/>
  <c r="P22" i="148"/>
  <c r="P33" i="148"/>
  <c r="P34" i="148"/>
  <c r="P36" i="148"/>
  <c r="P37" i="148"/>
  <c r="P38" i="148"/>
  <c r="P40" i="148"/>
  <c r="P41" i="148"/>
  <c r="P42" i="148"/>
  <c r="P43" i="148"/>
  <c r="P5" i="148"/>
  <c r="P8" i="178"/>
  <c r="P9" i="178"/>
  <c r="P10" i="178"/>
  <c r="P11" i="178"/>
  <c r="P12" i="178"/>
  <c r="P13" i="178"/>
  <c r="P14" i="178"/>
  <c r="P15" i="178"/>
  <c r="P16" i="178"/>
  <c r="P17" i="178"/>
  <c r="P18" i="178"/>
  <c r="P19" i="178"/>
  <c r="P20" i="178"/>
  <c r="P21" i="178"/>
  <c r="P22" i="178"/>
  <c r="P23" i="178"/>
  <c r="P24" i="178"/>
  <c r="P25" i="178"/>
  <c r="P26" i="178"/>
  <c r="P27" i="178"/>
  <c r="P28" i="178"/>
  <c r="P29" i="178"/>
  <c r="P30" i="178"/>
  <c r="P31" i="178"/>
  <c r="P32" i="178"/>
  <c r="P33" i="178"/>
  <c r="P34" i="178"/>
  <c r="P35" i="178"/>
  <c r="P36" i="178"/>
  <c r="P37" i="178"/>
  <c r="P38" i="178"/>
  <c r="P39" i="178"/>
  <c r="P40" i="178"/>
  <c r="P41" i="178"/>
  <c r="P42" i="178"/>
  <c r="P43" i="178"/>
  <c r="P44" i="178"/>
  <c r="P45" i="178"/>
  <c r="P46" i="178"/>
  <c r="P47" i="178"/>
  <c r="P19" i="152"/>
  <c r="P27" i="152"/>
  <c r="P39" i="152"/>
  <c r="P40" i="152"/>
  <c r="P13" i="164"/>
  <c r="P19" i="164"/>
  <c r="P24" i="164"/>
  <c r="P47" i="164"/>
  <c r="P48" i="164"/>
  <c r="P20" i="209"/>
  <c r="P5" i="209"/>
  <c r="P24" i="129"/>
  <c r="P21" i="129"/>
  <c r="P7" i="129"/>
  <c r="P6" i="129"/>
  <c r="P11" i="129"/>
  <c r="P13" i="129"/>
  <c r="P14" i="129"/>
  <c r="P15" i="129"/>
  <c r="P16" i="129"/>
  <c r="P17" i="129"/>
  <c r="P18" i="129"/>
  <c r="P19" i="129"/>
  <c r="P20" i="129"/>
  <c r="P23" i="129"/>
  <c r="P26" i="129"/>
  <c r="P27" i="129"/>
  <c r="P28" i="129"/>
  <c r="P29" i="129"/>
  <c r="P30" i="129"/>
  <c r="P31" i="129"/>
  <c r="P32" i="129"/>
  <c r="P33" i="129"/>
  <c r="P34" i="129"/>
  <c r="P35" i="129"/>
  <c r="P36" i="129"/>
  <c r="P37" i="129"/>
  <c r="P38" i="129"/>
  <c r="P39" i="129"/>
  <c r="P40" i="129"/>
  <c r="P41" i="129"/>
  <c r="P42" i="129"/>
  <c r="P43" i="129"/>
  <c r="P44" i="129"/>
  <c r="P45" i="129"/>
  <c r="P46" i="129"/>
  <c r="P47" i="129"/>
  <c r="P48" i="129"/>
  <c r="P49" i="129"/>
  <c r="P50" i="129"/>
  <c r="P45" i="265"/>
  <c r="P5" i="265"/>
  <c r="P21" i="192"/>
  <c r="P22" i="192"/>
  <c r="P23" i="192"/>
  <c r="P8" i="192"/>
  <c r="P9" i="192"/>
  <c r="P10" i="192"/>
  <c r="P11" i="192"/>
  <c r="P12" i="192"/>
  <c r="P13" i="192"/>
  <c r="P14" i="192"/>
  <c r="P15" i="192"/>
  <c r="P16" i="192"/>
  <c r="P6" i="192"/>
  <c r="P7" i="192"/>
  <c r="P17" i="192"/>
  <c r="P18" i="192"/>
  <c r="P19" i="192"/>
  <c r="P20" i="192"/>
  <c r="P24" i="192"/>
  <c r="P25" i="192"/>
  <c r="P26" i="192"/>
  <c r="P27" i="192"/>
  <c r="P28" i="192"/>
  <c r="P29" i="192"/>
  <c r="P30" i="192"/>
  <c r="P31" i="192"/>
  <c r="P32" i="192"/>
  <c r="P33" i="192"/>
  <c r="P34" i="192"/>
  <c r="P35" i="192"/>
  <c r="P36" i="192"/>
  <c r="P37" i="192"/>
  <c r="P38" i="192"/>
  <c r="P39" i="192"/>
  <c r="P40" i="192"/>
  <c r="P41" i="192"/>
  <c r="P42" i="192"/>
  <c r="P43" i="192"/>
  <c r="P44" i="192"/>
  <c r="P45" i="192"/>
  <c r="P46" i="192"/>
  <c r="P47" i="192"/>
  <c r="P48" i="192"/>
  <c r="P49" i="192"/>
  <c r="P21" i="137"/>
  <c r="P22" i="137"/>
  <c r="P23" i="137"/>
  <c r="P24" i="137"/>
  <c r="P11" i="137"/>
  <c r="P12" i="137"/>
  <c r="P13" i="137"/>
  <c r="P14" i="137"/>
  <c r="P15" i="137"/>
  <c r="P16" i="137"/>
  <c r="P6" i="137"/>
  <c r="P7" i="137"/>
  <c r="P8" i="137"/>
  <c r="P10" i="137"/>
  <c r="P17" i="137"/>
  <c r="P18" i="137"/>
  <c r="P19" i="137"/>
  <c r="P20" i="137"/>
  <c r="P26" i="137"/>
  <c r="P27" i="137"/>
  <c r="P28" i="137"/>
  <c r="P29" i="137"/>
  <c r="P30" i="137"/>
  <c r="P32" i="137"/>
  <c r="P33" i="137"/>
  <c r="P34" i="137"/>
  <c r="P35" i="137"/>
  <c r="P36" i="137"/>
  <c r="P37" i="137"/>
  <c r="P38" i="137"/>
  <c r="P39" i="137"/>
  <c r="P40" i="137"/>
  <c r="P42" i="137"/>
  <c r="P43" i="137"/>
  <c r="P44" i="137"/>
  <c r="P45" i="137"/>
  <c r="P46" i="137"/>
  <c r="P47" i="137"/>
  <c r="P48" i="137"/>
  <c r="P49" i="137"/>
  <c r="P50" i="137"/>
  <c r="P51" i="137"/>
  <c r="P52" i="137"/>
  <c r="P53" i="137"/>
  <c r="P5" i="137"/>
  <c r="P40" i="230"/>
  <c r="P41" i="230"/>
  <c r="P14" i="230"/>
  <c r="P15" i="230"/>
  <c r="P16" i="230"/>
  <c r="P12" i="230"/>
  <c r="P9" i="230"/>
  <c r="P19" i="134"/>
  <c r="P15" i="134"/>
  <c r="P28" i="134"/>
  <c r="P29" i="134"/>
  <c r="P60" i="255"/>
  <c r="P28" i="255"/>
  <c r="P29" i="255"/>
  <c r="P30" i="255"/>
  <c r="P31" i="255"/>
  <c r="P32" i="255"/>
  <c r="P33" i="255"/>
  <c r="P34" i="255"/>
  <c r="P19" i="255"/>
  <c r="P8" i="255"/>
  <c r="P9" i="255"/>
  <c r="P10" i="255"/>
  <c r="P11" i="255"/>
  <c r="P12" i="255"/>
  <c r="P13" i="255"/>
  <c r="P14" i="255"/>
  <c r="P15" i="255"/>
  <c r="P7" i="255"/>
  <c r="P17" i="255"/>
  <c r="P18" i="255"/>
  <c r="P20" i="255"/>
  <c r="P21" i="255"/>
  <c r="P22" i="255"/>
  <c r="P23" i="255"/>
  <c r="P24" i="255"/>
  <c r="P25" i="255"/>
  <c r="P26" i="255"/>
  <c r="P27" i="255"/>
  <c r="P35" i="255"/>
  <c r="P36" i="255"/>
  <c r="P37" i="255"/>
  <c r="P38" i="255"/>
  <c r="P39" i="255"/>
  <c r="P40" i="255"/>
  <c r="P41" i="255"/>
  <c r="P42" i="255"/>
  <c r="P43" i="255"/>
  <c r="P44" i="255"/>
  <c r="P45" i="255"/>
  <c r="P46" i="255"/>
  <c r="P47" i="255"/>
  <c r="P48" i="255"/>
  <c r="P49" i="255"/>
  <c r="P50" i="255"/>
  <c r="P51" i="255"/>
  <c r="P62" i="255"/>
  <c r="P63" i="255"/>
  <c r="P64" i="255"/>
  <c r="P65" i="255"/>
  <c r="P10" i="290"/>
  <c r="P11" i="290"/>
  <c r="P12" i="290"/>
  <c r="P13" i="290"/>
  <c r="P14" i="290"/>
  <c r="P7" i="290"/>
  <c r="P26" i="155"/>
  <c r="P27" i="155"/>
  <c r="P28" i="155"/>
  <c r="P29" i="155"/>
  <c r="P30" i="155"/>
  <c r="P31" i="155"/>
  <c r="P9" i="155"/>
  <c r="P11" i="155"/>
  <c r="P12" i="155"/>
  <c r="P13" i="155"/>
  <c r="P14" i="155"/>
  <c r="P6" i="155"/>
  <c r="P50" i="155"/>
  <c r="P51" i="155"/>
  <c r="P52" i="155"/>
  <c r="P53" i="155"/>
  <c r="P54" i="155"/>
  <c r="P58" i="155"/>
  <c r="P32" i="155"/>
  <c r="P33" i="155"/>
  <c r="P34" i="155"/>
  <c r="P35" i="155"/>
  <c r="P36" i="155"/>
  <c r="P37" i="155"/>
  <c r="P38" i="155"/>
  <c r="P39" i="155"/>
  <c r="P40" i="155"/>
  <c r="P41" i="155"/>
  <c r="P16" i="155"/>
  <c r="P17" i="155"/>
  <c r="P18" i="155"/>
  <c r="P19" i="155"/>
  <c r="P25" i="155"/>
  <c r="P5" i="155"/>
  <c r="P8" i="155"/>
  <c r="P31" i="179"/>
  <c r="P12" i="179"/>
  <c r="P14" i="179"/>
  <c r="P17" i="179"/>
  <c r="P27" i="179"/>
  <c r="P28" i="179"/>
  <c r="P43" i="174"/>
  <c r="P44" i="174"/>
  <c r="P9" i="174"/>
  <c r="P8" i="174"/>
  <c r="P7" i="174"/>
  <c r="P10" i="174"/>
  <c r="P11" i="174"/>
  <c r="P12" i="174"/>
  <c r="P13" i="174"/>
  <c r="P14" i="174"/>
  <c r="P15" i="174"/>
  <c r="P16" i="174"/>
  <c r="P17" i="174"/>
  <c r="P18" i="174"/>
  <c r="P19" i="174"/>
  <c r="P20" i="174"/>
  <c r="P21" i="174"/>
  <c r="P22" i="174"/>
  <c r="P23" i="174"/>
  <c r="P24" i="174"/>
  <c r="P25" i="174"/>
  <c r="P26" i="174"/>
  <c r="P27" i="174"/>
  <c r="P28" i="174"/>
  <c r="P29" i="174"/>
  <c r="P30" i="174"/>
  <c r="P31" i="174"/>
  <c r="P32" i="174"/>
  <c r="P33" i="174"/>
  <c r="P34" i="174"/>
  <c r="P35" i="174"/>
  <c r="P36" i="174"/>
  <c r="P37" i="174"/>
  <c r="P38" i="174"/>
  <c r="P39" i="174"/>
  <c r="P40" i="174"/>
  <c r="P41" i="174"/>
  <c r="P42" i="174"/>
  <c r="P45" i="174"/>
  <c r="P46" i="174"/>
  <c r="P47" i="174"/>
  <c r="P48" i="174"/>
  <c r="P49" i="174"/>
  <c r="P50" i="174"/>
  <c r="P51" i="174"/>
  <c r="P52" i="174"/>
  <c r="P25" i="305"/>
  <c r="P26" i="305"/>
  <c r="P27" i="305"/>
  <c r="P28" i="305"/>
  <c r="P12" i="305"/>
  <c r="P13" i="305"/>
  <c r="P31" i="305"/>
  <c r="P32" i="305"/>
  <c r="P34" i="305"/>
  <c r="P35" i="305"/>
  <c r="P36" i="305"/>
  <c r="P37" i="305"/>
  <c r="P38" i="305"/>
  <c r="P39" i="305"/>
  <c r="P40" i="305"/>
  <c r="P42" i="305"/>
  <c r="P43" i="305"/>
  <c r="P44" i="305"/>
  <c r="P45" i="305"/>
  <c r="P47" i="305"/>
  <c r="P48" i="305"/>
  <c r="P49" i="305"/>
  <c r="P50" i="305"/>
  <c r="P51" i="305"/>
  <c r="P52" i="305"/>
  <c r="P53" i="305"/>
  <c r="P54" i="305"/>
  <c r="P55" i="305"/>
  <c r="P57" i="305"/>
  <c r="P58" i="305"/>
  <c r="P59" i="305"/>
  <c r="P7" i="305"/>
  <c r="P8" i="305"/>
  <c r="P9" i="305"/>
  <c r="P11" i="305"/>
  <c r="P29" i="157"/>
  <c r="P30" i="157"/>
  <c r="P20" i="157"/>
  <c r="P21" i="157"/>
  <c r="P12" i="157"/>
  <c r="P13" i="157"/>
  <c r="P14" i="157"/>
  <c r="P15" i="157"/>
  <c r="P16" i="157"/>
  <c r="P17" i="157"/>
  <c r="P9" i="157"/>
  <c r="P8" i="157"/>
  <c r="P10" i="157"/>
  <c r="P11" i="157"/>
  <c r="P18" i="157"/>
  <c r="P19" i="157"/>
  <c r="P22" i="157"/>
  <c r="P23" i="157"/>
  <c r="P24" i="157"/>
  <c r="P25" i="157"/>
  <c r="P26" i="157"/>
  <c r="P27" i="157"/>
  <c r="P28" i="157"/>
  <c r="P32" i="157"/>
  <c r="P33" i="157"/>
  <c r="P34" i="157"/>
  <c r="P35" i="157"/>
  <c r="P36" i="157"/>
  <c r="P37" i="157"/>
  <c r="P38" i="157"/>
  <c r="P39" i="157"/>
  <c r="P40" i="157"/>
  <c r="P41" i="157"/>
  <c r="P42" i="157"/>
  <c r="P43" i="157"/>
  <c r="P44" i="157"/>
  <c r="P45" i="157"/>
  <c r="P46" i="157"/>
  <c r="P47" i="157"/>
  <c r="P48" i="157"/>
  <c r="P49" i="157"/>
  <c r="P50" i="157"/>
  <c r="P51" i="157"/>
  <c r="P52" i="157"/>
  <c r="P53" i="157"/>
  <c r="P47" i="289"/>
  <c r="P44" i="289"/>
  <c r="P35" i="289"/>
  <c r="P36" i="289"/>
  <c r="P25" i="289"/>
  <c r="P26" i="289"/>
  <c r="P27" i="289"/>
  <c r="P28" i="289"/>
  <c r="P29" i="289"/>
  <c r="P18" i="289"/>
  <c r="P9" i="289"/>
  <c r="P10" i="289"/>
  <c r="P11" i="289"/>
  <c r="P12" i="289"/>
  <c r="P13" i="289"/>
  <c r="P14" i="289"/>
  <c r="P8" i="289"/>
  <c r="P15" i="289"/>
  <c r="P16" i="289"/>
  <c r="P17" i="289"/>
  <c r="P19" i="289"/>
  <c r="P20" i="289"/>
  <c r="P21" i="289"/>
  <c r="P22" i="289"/>
  <c r="P23" i="289"/>
  <c r="P24" i="289"/>
  <c r="P30" i="289"/>
  <c r="P31" i="289"/>
  <c r="P32" i="289"/>
  <c r="P33" i="289"/>
  <c r="P34" i="289"/>
  <c r="P37" i="289"/>
  <c r="P38" i="289"/>
  <c r="P39" i="289"/>
  <c r="P40" i="289"/>
  <c r="P41" i="289"/>
  <c r="P42" i="289"/>
  <c r="P43" i="289"/>
  <c r="P45" i="289"/>
  <c r="P46" i="289"/>
  <c r="P48" i="289"/>
  <c r="P49" i="289"/>
  <c r="P50" i="289"/>
  <c r="P51" i="289"/>
  <c r="P52" i="289"/>
  <c r="P6" i="289"/>
  <c r="P25" i="282"/>
  <c r="P26" i="282"/>
  <c r="P27" i="282"/>
  <c r="P9" i="282"/>
  <c r="P10" i="282"/>
  <c r="P11" i="282"/>
  <c r="P12" i="282"/>
  <c r="P13" i="282"/>
  <c r="P14" i="282"/>
  <c r="P15" i="282"/>
  <c r="P7" i="282"/>
  <c r="P8" i="282"/>
  <c r="P16" i="282"/>
  <c r="P18" i="282"/>
  <c r="P19" i="282"/>
  <c r="P20" i="282"/>
  <c r="P23" i="282"/>
  <c r="P24" i="282"/>
  <c r="P29" i="282"/>
  <c r="P30" i="282"/>
  <c r="P31" i="282"/>
  <c r="P32" i="282"/>
  <c r="P33" i="282"/>
  <c r="P34" i="282"/>
  <c r="P35" i="282"/>
  <c r="P36" i="282"/>
  <c r="P37" i="282"/>
  <c r="P38" i="282"/>
  <c r="P39" i="282"/>
  <c r="P40" i="282"/>
  <c r="P43" i="282"/>
  <c r="P45" i="282"/>
  <c r="P46" i="282"/>
  <c r="P47" i="282"/>
  <c r="P49" i="282"/>
  <c r="P50" i="282"/>
  <c r="P51" i="282"/>
  <c r="P52" i="282"/>
  <c r="P11" i="297"/>
  <c r="P39" i="144"/>
  <c r="P40" i="144"/>
  <c r="P26" i="144"/>
  <c r="P18" i="144"/>
  <c r="P19" i="144"/>
  <c r="P9" i="144"/>
  <c r="P10" i="144"/>
  <c r="P11" i="144"/>
  <c r="P12" i="144"/>
  <c r="P13" i="144"/>
  <c r="P14" i="144"/>
  <c r="P7" i="144"/>
  <c r="P8" i="144"/>
  <c r="P15" i="144"/>
  <c r="P16" i="144"/>
  <c r="P17" i="144"/>
  <c r="P20" i="144"/>
  <c r="P21" i="144"/>
  <c r="P22" i="144"/>
  <c r="P23" i="144"/>
  <c r="P25" i="144"/>
  <c r="P27" i="144"/>
  <c r="P28" i="144"/>
  <c r="P29" i="144"/>
  <c r="P30" i="144"/>
  <c r="P31" i="144"/>
  <c r="P32" i="144"/>
  <c r="P33" i="144"/>
  <c r="P34" i="144"/>
  <c r="P35" i="144"/>
  <c r="P36" i="144"/>
  <c r="P37" i="144"/>
  <c r="P38" i="144"/>
  <c r="P42" i="144"/>
  <c r="P43" i="144"/>
  <c r="P44" i="144"/>
  <c r="P45" i="144"/>
  <c r="P46" i="144"/>
  <c r="P47" i="144"/>
  <c r="P35" i="281"/>
  <c r="P36" i="281"/>
  <c r="P14" i="281"/>
  <c r="P8" i="281"/>
  <c r="P9" i="281"/>
  <c r="P10" i="281"/>
  <c r="P16" i="124"/>
  <c r="P8" i="124"/>
  <c r="P9" i="124"/>
  <c r="P11" i="124"/>
  <c r="P13" i="124"/>
  <c r="P14" i="124"/>
  <c r="P15" i="124"/>
  <c r="P18" i="124"/>
  <c r="P20" i="124"/>
  <c r="P21" i="124"/>
  <c r="P22" i="124"/>
  <c r="P23" i="124"/>
  <c r="P25" i="124"/>
  <c r="P29" i="124"/>
  <c r="P30" i="124"/>
  <c r="P31" i="124"/>
  <c r="P32" i="124"/>
  <c r="P34" i="124"/>
  <c r="P35" i="124"/>
  <c r="P36" i="124"/>
  <c r="P37" i="124"/>
  <c r="P38" i="124"/>
  <c r="P39" i="124"/>
  <c r="P40" i="124"/>
  <c r="P41" i="124"/>
  <c r="P42" i="124"/>
  <c r="P43" i="124"/>
  <c r="P44" i="124"/>
  <c r="P45" i="124"/>
  <c r="P46" i="124"/>
  <c r="P47" i="124"/>
  <c r="P48" i="124"/>
  <c r="P49" i="124"/>
  <c r="P33" i="270"/>
  <c r="P25" i="270"/>
  <c r="P26" i="270"/>
  <c r="P27" i="270"/>
  <c r="P7" i="270"/>
  <c r="P8" i="270"/>
  <c r="P9" i="270"/>
  <c r="P10" i="270"/>
  <c r="P12" i="270"/>
  <c r="P13" i="270"/>
  <c r="P15" i="270"/>
  <c r="P16" i="270"/>
  <c r="P18" i="270"/>
  <c r="P19" i="270"/>
  <c r="P20" i="270"/>
  <c r="P21" i="270"/>
  <c r="P22" i="270"/>
  <c r="P23" i="270"/>
  <c r="P24" i="270"/>
  <c r="P30" i="270"/>
  <c r="P31" i="270"/>
  <c r="P32" i="270"/>
  <c r="P34" i="270"/>
  <c r="P35" i="270"/>
  <c r="P36" i="270"/>
  <c r="P37" i="270"/>
  <c r="P38" i="270"/>
  <c r="P39" i="270"/>
  <c r="P40" i="270"/>
  <c r="P41" i="270"/>
  <c r="P42" i="270"/>
  <c r="P43" i="270"/>
  <c r="P44" i="270"/>
  <c r="P45" i="270"/>
  <c r="P46" i="270"/>
  <c r="P47" i="270"/>
  <c r="P48" i="270"/>
  <c r="P49" i="270"/>
  <c r="P50" i="270"/>
  <c r="P28" i="241"/>
  <c r="P25" i="241"/>
  <c r="P19" i="241"/>
  <c r="P14" i="241"/>
  <c r="P7" i="241"/>
  <c r="P8" i="241"/>
  <c r="P9" i="241"/>
  <c r="P10" i="241"/>
  <c r="P11" i="241"/>
  <c r="P12" i="241"/>
  <c r="P16" i="241"/>
  <c r="P17" i="241"/>
  <c r="P18" i="241"/>
  <c r="P20" i="241"/>
  <c r="P21" i="241"/>
  <c r="P26" i="241"/>
  <c r="P27" i="241"/>
  <c r="P29" i="241"/>
  <c r="P38" i="241"/>
  <c r="P39" i="241"/>
  <c r="P43" i="241"/>
  <c r="P44" i="241"/>
  <c r="P45" i="241"/>
  <c r="P46" i="241"/>
  <c r="P47" i="241"/>
  <c r="P48" i="241"/>
  <c r="P49" i="241"/>
  <c r="P50" i="241"/>
  <c r="P51" i="241"/>
  <c r="N31" i="315"/>
  <c r="N32" i="315"/>
  <c r="N33" i="315"/>
  <c r="N13" i="315"/>
  <c r="N14" i="315"/>
  <c r="N7" i="315"/>
  <c r="N8" i="315"/>
  <c r="N9" i="315"/>
  <c r="N34" i="315"/>
  <c r="N36" i="315"/>
  <c r="N37" i="315"/>
  <c r="N38" i="315"/>
  <c r="N39" i="315"/>
  <c r="N40" i="315"/>
  <c r="N41" i="315"/>
  <c r="N42" i="315"/>
  <c r="N44" i="315"/>
  <c r="N45" i="315"/>
  <c r="N46" i="315"/>
  <c r="N6" i="315"/>
  <c r="N12" i="315"/>
  <c r="N16" i="315"/>
  <c r="N17" i="315"/>
  <c r="N18" i="315"/>
  <c r="N21" i="315"/>
  <c r="N22" i="315"/>
  <c r="N23" i="315"/>
  <c r="N25" i="315"/>
  <c r="N28" i="315"/>
  <c r="N29" i="315"/>
  <c r="P6" i="195"/>
  <c r="P26" i="195"/>
  <c r="P28" i="195"/>
  <c r="P29" i="195"/>
  <c r="P30" i="195"/>
  <c r="P31" i="195"/>
  <c r="P32" i="195"/>
  <c r="P36" i="195"/>
  <c r="P37" i="195"/>
  <c r="P38" i="195"/>
  <c r="P39" i="195"/>
  <c r="P40" i="195"/>
  <c r="P41" i="195"/>
  <c r="P42" i="195"/>
  <c r="P43" i="195"/>
  <c r="P44" i="195"/>
  <c r="P45" i="195"/>
  <c r="P46" i="195"/>
  <c r="P48" i="195"/>
  <c r="P49" i="195"/>
  <c r="P52" i="195"/>
  <c r="P12" i="195"/>
  <c r="P17" i="195"/>
  <c r="P18" i="195"/>
  <c r="P19" i="195"/>
  <c r="P20" i="195"/>
  <c r="P21" i="195"/>
  <c r="P22" i="195"/>
  <c r="P23" i="150"/>
  <c r="P20" i="150"/>
  <c r="P12" i="150"/>
  <c r="P7" i="150"/>
  <c r="P55" i="160"/>
  <c r="P31" i="160"/>
  <c r="P11" i="160"/>
  <c r="P37" i="160"/>
  <c r="P38" i="160"/>
  <c r="P39" i="160"/>
  <c r="P40" i="160"/>
  <c r="P41" i="160"/>
  <c r="P42" i="160"/>
  <c r="P43" i="160"/>
  <c r="P44" i="160"/>
  <c r="P45" i="160"/>
  <c r="P46" i="160"/>
  <c r="P47" i="160"/>
  <c r="P48" i="160"/>
  <c r="P49" i="160"/>
  <c r="P50" i="160"/>
  <c r="P6" i="160"/>
  <c r="P7" i="160"/>
  <c r="P9" i="160"/>
  <c r="P10" i="160"/>
  <c r="P13" i="160"/>
  <c r="P14" i="160"/>
  <c r="P17" i="160"/>
  <c r="P18" i="160"/>
  <c r="P19" i="160"/>
  <c r="P20" i="160"/>
  <c r="P21" i="160"/>
  <c r="P22" i="160"/>
  <c r="P23" i="160"/>
  <c r="P24" i="160"/>
  <c r="P25" i="160"/>
  <c r="P26" i="160"/>
  <c r="P27" i="160"/>
  <c r="P28" i="160"/>
  <c r="P29" i="160"/>
  <c r="P30" i="160"/>
  <c r="P33" i="160"/>
  <c r="P34" i="160"/>
  <c r="P36" i="160"/>
  <c r="P29" i="238"/>
  <c r="P18" i="238"/>
  <c r="P14" i="238"/>
  <c r="P15" i="238"/>
  <c r="P8" i="238"/>
  <c r="P9" i="238"/>
  <c r="P30" i="238"/>
  <c r="P31" i="238"/>
  <c r="P32" i="238"/>
  <c r="P33" i="238"/>
  <c r="P34" i="238"/>
  <c r="P35" i="238"/>
  <c r="P36" i="238"/>
  <c r="P37" i="238"/>
  <c r="P38" i="238"/>
  <c r="P40" i="238"/>
  <c r="P41" i="238"/>
  <c r="P42" i="238"/>
  <c r="P45" i="238"/>
  <c r="P48" i="238"/>
  <c r="P49" i="238"/>
  <c r="P50" i="238"/>
  <c r="P6" i="238"/>
  <c r="P7" i="238"/>
  <c r="P11" i="238"/>
  <c r="P13" i="238"/>
  <c r="P16" i="238"/>
  <c r="P20" i="238"/>
  <c r="P22" i="238"/>
  <c r="P23" i="238"/>
  <c r="P24" i="238"/>
  <c r="P25" i="238"/>
  <c r="P27" i="238"/>
  <c r="P28" i="238"/>
  <c r="P10" i="149"/>
  <c r="P11" i="149"/>
  <c r="P12" i="149"/>
  <c r="P6" i="149"/>
  <c r="P7" i="149"/>
  <c r="P8" i="149"/>
  <c r="P14" i="149"/>
  <c r="P15" i="149"/>
  <c r="P16" i="149"/>
  <c r="P17" i="149"/>
  <c r="P20" i="149"/>
  <c r="P21" i="149"/>
  <c r="P22" i="149"/>
  <c r="P5" i="149"/>
  <c r="P29" i="294"/>
  <c r="P27" i="294"/>
  <c r="P56" i="294"/>
  <c r="P57" i="294"/>
  <c r="P29" i="293"/>
  <c r="P56" i="293"/>
  <c r="P60" i="293"/>
  <c r="P61" i="293"/>
  <c r="P45" i="151"/>
  <c r="P34" i="266"/>
  <c r="P35" i="266"/>
  <c r="P36" i="266"/>
  <c r="P26" i="266"/>
  <c r="P17" i="266"/>
  <c r="P8" i="266"/>
  <c r="P9" i="266"/>
  <c r="P10" i="266"/>
  <c r="P42" i="266"/>
  <c r="P43" i="266"/>
  <c r="P44" i="266"/>
  <c r="P50" i="266"/>
  <c r="P7" i="266"/>
  <c r="P13" i="266"/>
  <c r="P15" i="266"/>
  <c r="P16" i="266"/>
  <c r="P18" i="266"/>
  <c r="P19" i="266"/>
  <c r="P20" i="266"/>
  <c r="P21" i="266"/>
  <c r="P22" i="266"/>
  <c r="P23" i="266"/>
  <c r="P25" i="266"/>
  <c r="P29" i="266"/>
  <c r="P30" i="266"/>
  <c r="P31" i="266"/>
  <c r="P32" i="266"/>
  <c r="P37" i="266"/>
  <c r="P38" i="266"/>
  <c r="P39" i="266"/>
  <c r="P40" i="266"/>
  <c r="P41" i="266"/>
  <c r="P5" i="266"/>
  <c r="P32" i="273"/>
  <c r="P24" i="273"/>
  <c r="P25" i="273"/>
  <c r="P16" i="273"/>
  <c r="P9" i="273"/>
  <c r="P10" i="273"/>
  <c r="P12" i="273"/>
  <c r="P13" i="273"/>
  <c r="P17" i="163"/>
  <c r="P14" i="163"/>
  <c r="P11" i="163"/>
  <c r="P7" i="163"/>
  <c r="P8" i="163"/>
  <c r="P6" i="273"/>
  <c r="P7" i="273"/>
  <c r="P8" i="273"/>
  <c r="P14" i="273"/>
  <c r="P15" i="273"/>
  <c r="P17" i="273"/>
  <c r="P18" i="273"/>
  <c r="P19" i="273"/>
  <c r="P20" i="273"/>
  <c r="P21" i="273"/>
  <c r="P22" i="273"/>
  <c r="P23" i="273"/>
  <c r="P28" i="273"/>
  <c r="P29" i="273"/>
  <c r="P30" i="273"/>
  <c r="P33" i="273"/>
  <c r="P34" i="273"/>
  <c r="P35" i="273"/>
  <c r="P36" i="273"/>
  <c r="P37" i="273"/>
  <c r="P38" i="273"/>
  <c r="P39" i="273"/>
  <c r="P40" i="273"/>
  <c r="P41" i="273"/>
  <c r="P42" i="273"/>
  <c r="P43" i="273"/>
  <c r="P44" i="273"/>
  <c r="P45" i="273"/>
  <c r="P47" i="273"/>
  <c r="P48" i="273"/>
  <c r="P49" i="273"/>
  <c r="P50" i="273"/>
  <c r="P51" i="273"/>
  <c r="P52" i="273"/>
  <c r="P53" i="273"/>
  <c r="P54" i="273"/>
  <c r="P55" i="273"/>
  <c r="P56" i="273"/>
  <c r="P57" i="273"/>
  <c r="P58" i="273"/>
  <c r="P59" i="273"/>
  <c r="P60" i="273"/>
  <c r="P59" i="196"/>
  <c r="P27" i="196"/>
  <c r="P28" i="196"/>
  <c r="P29" i="196"/>
  <c r="P30" i="196"/>
  <c r="P31" i="196"/>
  <c r="P32" i="196"/>
  <c r="P33" i="196"/>
  <c r="P23" i="196"/>
  <c r="P19" i="196"/>
  <c r="P7" i="196"/>
  <c r="P8" i="196"/>
  <c r="P9" i="196"/>
  <c r="P10" i="196"/>
  <c r="P11" i="196"/>
  <c r="P12" i="196"/>
  <c r="P13" i="196"/>
  <c r="P14" i="196"/>
  <c r="P15" i="196"/>
  <c r="P16" i="196"/>
  <c r="P55" i="128"/>
  <c r="P41" i="128"/>
  <c r="P34" i="128"/>
  <c r="P25" i="128"/>
  <c r="P26" i="128"/>
  <c r="P22" i="128"/>
  <c r="P7" i="128"/>
  <c r="P8" i="128"/>
  <c r="P10" i="128"/>
  <c r="P11" i="128"/>
  <c r="P12" i="128"/>
  <c r="P13" i="128"/>
  <c r="P14" i="128"/>
  <c r="P27" i="291"/>
  <c r="P28" i="291"/>
  <c r="P7" i="291"/>
  <c r="P8" i="291"/>
  <c r="P9" i="291"/>
  <c r="P47" i="295"/>
  <c r="P41" i="295"/>
  <c r="P27" i="295"/>
  <c r="P28" i="295"/>
  <c r="P29" i="295"/>
  <c r="P33" i="295"/>
  <c r="P34" i="295"/>
  <c r="P19" i="295"/>
  <c r="P13" i="295"/>
  <c r="P14" i="295"/>
  <c r="P7" i="295"/>
  <c r="P8" i="295"/>
  <c r="P9" i="295"/>
  <c r="P10" i="295"/>
  <c r="P38" i="130"/>
  <c r="P27" i="130"/>
  <c r="P28" i="130"/>
  <c r="P24" i="130"/>
  <c r="P19" i="130"/>
  <c r="P14" i="130"/>
  <c r="P15" i="130"/>
  <c r="P16" i="130"/>
  <c r="P10" i="130"/>
  <c r="P11" i="130"/>
  <c r="P6" i="130"/>
  <c r="P50" i="304"/>
  <c r="P42" i="304"/>
  <c r="P15" i="304"/>
  <c r="P10" i="304"/>
  <c r="P11" i="304"/>
  <c r="P12" i="304"/>
  <c r="P58" i="135"/>
  <c r="P28" i="135"/>
  <c r="P29" i="135"/>
  <c r="P13" i="135"/>
  <c r="P14" i="135"/>
  <c r="P58" i="287"/>
  <c r="P59" i="287"/>
  <c r="P48" i="287"/>
  <c r="P26" i="287"/>
  <c r="P27" i="287"/>
  <c r="P28" i="287"/>
  <c r="P9" i="287"/>
  <c r="P11" i="287"/>
  <c r="P12" i="287"/>
  <c r="P13" i="287"/>
  <c r="P14" i="287"/>
  <c r="P29" i="184"/>
  <c r="P30" i="184"/>
  <c r="P31" i="184"/>
  <c r="P21" i="184"/>
  <c r="P18" i="184"/>
  <c r="P12" i="184"/>
  <c r="P13" i="184"/>
  <c r="P14" i="184"/>
  <c r="P15" i="184"/>
  <c r="P9" i="184"/>
  <c r="P6" i="184"/>
  <c r="P32" i="163"/>
  <c r="P33" i="163"/>
  <c r="P34" i="163"/>
  <c r="P38" i="163"/>
  <c r="P39" i="163"/>
  <c r="P41" i="163"/>
  <c r="P42" i="163"/>
  <c r="P43" i="163"/>
  <c r="P44" i="163"/>
  <c r="P6" i="163"/>
  <c r="P9" i="163"/>
  <c r="P10" i="163"/>
  <c r="P12" i="163"/>
  <c r="P13" i="163"/>
  <c r="P15" i="163"/>
  <c r="P16" i="163"/>
  <c r="P18" i="163"/>
  <c r="P19" i="163"/>
  <c r="P20" i="163"/>
  <c r="P21" i="163"/>
  <c r="P25" i="163"/>
  <c r="P28" i="163"/>
  <c r="P29" i="163"/>
  <c r="P30" i="163"/>
  <c r="P31" i="163"/>
  <c r="P40" i="196"/>
  <c r="P41" i="196"/>
  <c r="P42" i="196"/>
  <c r="P43" i="196"/>
  <c r="P44" i="196"/>
  <c r="P45" i="196"/>
  <c r="P46" i="196"/>
  <c r="P47" i="196"/>
  <c r="P49" i="196"/>
  <c r="P50" i="196"/>
  <c r="P51" i="196"/>
  <c r="P52" i="196"/>
  <c r="P53" i="196"/>
  <c r="P54" i="196"/>
  <c r="P55" i="196"/>
  <c r="P56" i="196"/>
  <c r="P57" i="196"/>
  <c r="P17" i="196"/>
  <c r="P18" i="196"/>
  <c r="P20" i="196"/>
  <c r="P24" i="196"/>
  <c r="P35" i="196"/>
  <c r="P36" i="196"/>
  <c r="P38" i="196"/>
  <c r="P39" i="196"/>
  <c r="P5" i="196"/>
  <c r="P18" i="128"/>
  <c r="P19" i="128"/>
  <c r="P20" i="128"/>
  <c r="P21" i="128"/>
  <c r="P24" i="128"/>
  <c r="P29" i="128"/>
  <c r="P30" i="128"/>
  <c r="P31" i="128"/>
  <c r="P32" i="128"/>
  <c r="P33" i="128"/>
  <c r="P35" i="128"/>
  <c r="P36" i="128"/>
  <c r="P37" i="128"/>
  <c r="P38" i="128"/>
  <c r="P40" i="128"/>
  <c r="P43" i="128"/>
  <c r="P44" i="128"/>
  <c r="P45" i="128"/>
  <c r="P46" i="128"/>
  <c r="P48" i="128"/>
  <c r="P49" i="128"/>
  <c r="P52" i="128"/>
  <c r="P53" i="128"/>
  <c r="P6" i="128"/>
  <c r="P16" i="128"/>
  <c r="P6" i="291"/>
  <c r="P10" i="291"/>
  <c r="P12" i="291"/>
  <c r="P14" i="291"/>
  <c r="P15" i="291"/>
  <c r="P16" i="291"/>
  <c r="P17" i="291"/>
  <c r="P19" i="291"/>
  <c r="P20" i="291"/>
  <c r="P21" i="291"/>
  <c r="P22" i="291"/>
  <c r="P23" i="291"/>
  <c r="P24" i="291"/>
  <c r="P25" i="291"/>
  <c r="P29" i="291"/>
  <c r="P30" i="291"/>
  <c r="P31" i="291"/>
  <c r="P36" i="291"/>
  <c r="P37" i="291"/>
  <c r="P38" i="291"/>
  <c r="P39" i="291"/>
  <c r="P41" i="291"/>
  <c r="P50" i="291"/>
  <c r="P51" i="291"/>
  <c r="P52" i="291"/>
  <c r="P53" i="291"/>
  <c r="P54" i="291"/>
  <c r="P55" i="291"/>
  <c r="P56" i="291"/>
  <c r="P57" i="291"/>
  <c r="P58" i="291"/>
  <c r="P59" i="291"/>
  <c r="P60" i="291"/>
  <c r="P61" i="291"/>
  <c r="P46" i="295"/>
  <c r="P49" i="295"/>
  <c r="P51" i="295"/>
  <c r="P54" i="295"/>
  <c r="P55" i="295"/>
  <c r="P56" i="295"/>
  <c r="P57" i="295"/>
  <c r="P58" i="295"/>
  <c r="P6" i="295"/>
  <c r="P12" i="295"/>
  <c r="P15" i="295"/>
  <c r="P16" i="295"/>
  <c r="P17" i="295"/>
  <c r="P18" i="295"/>
  <c r="P21" i="295"/>
  <c r="P22" i="295"/>
  <c r="P23" i="295"/>
  <c r="P36" i="295"/>
  <c r="P37" i="295"/>
  <c r="P38" i="295"/>
  <c r="P39" i="295"/>
  <c r="P42" i="295"/>
  <c r="P35" i="130"/>
  <c r="P37" i="130"/>
  <c r="P40" i="130"/>
  <c r="P41" i="130"/>
  <c r="P43" i="130"/>
  <c r="P47" i="130"/>
  <c r="P48" i="130"/>
  <c r="P49" i="130"/>
  <c r="P50" i="130"/>
  <c r="P51" i="130"/>
  <c r="P53" i="130"/>
  <c r="P54" i="130"/>
  <c r="P8" i="130"/>
  <c r="P9" i="130"/>
  <c r="P12" i="130"/>
  <c r="P13" i="130"/>
  <c r="P17" i="130"/>
  <c r="P20" i="130"/>
  <c r="P21" i="130"/>
  <c r="P23" i="130"/>
  <c r="P25" i="130"/>
  <c r="P26" i="130"/>
  <c r="P30" i="130"/>
  <c r="P5" i="130"/>
  <c r="P45" i="304"/>
  <c r="P46" i="304"/>
  <c r="P47" i="304"/>
  <c r="P49" i="304"/>
  <c r="P8" i="304"/>
  <c r="P9" i="304"/>
  <c r="P13" i="304"/>
  <c r="P14" i="304"/>
  <c r="P16" i="304"/>
  <c r="P17" i="304"/>
  <c r="P18" i="304"/>
  <c r="P19" i="304"/>
  <c r="P20" i="304"/>
  <c r="P21" i="304"/>
  <c r="P22" i="304"/>
  <c r="P23" i="304"/>
  <c r="P24" i="304"/>
  <c r="P25" i="304"/>
  <c r="P26" i="304"/>
  <c r="P29" i="304"/>
  <c r="P30" i="304"/>
  <c r="P31" i="304"/>
  <c r="P35" i="304"/>
  <c r="P37" i="304"/>
  <c r="P38" i="304"/>
  <c r="P39" i="304"/>
  <c r="P40" i="304"/>
  <c r="P43" i="304"/>
  <c r="P44" i="304"/>
  <c r="P46" i="135"/>
  <c r="P47" i="135"/>
  <c r="P48" i="135"/>
  <c r="P49" i="135"/>
  <c r="P50" i="135"/>
  <c r="P51" i="135"/>
  <c r="P52" i="135"/>
  <c r="P54" i="135"/>
  <c r="P55" i="135"/>
  <c r="P56" i="135"/>
  <c r="P59" i="135"/>
  <c r="P60" i="135"/>
  <c r="P32" i="135"/>
  <c r="P33" i="135"/>
  <c r="P35" i="135"/>
  <c r="P36" i="135"/>
  <c r="P38" i="135"/>
  <c r="P41" i="135"/>
  <c r="P43" i="135"/>
  <c r="P44" i="135"/>
  <c r="P45" i="135"/>
  <c r="P11" i="135"/>
  <c r="P12" i="135"/>
  <c r="P16" i="135"/>
  <c r="P17" i="135"/>
  <c r="P18" i="135"/>
  <c r="P20" i="135"/>
  <c r="P21" i="135"/>
  <c r="P22" i="135"/>
  <c r="P23" i="135"/>
  <c r="P24" i="135"/>
  <c r="P25" i="135"/>
  <c r="P26" i="135"/>
  <c r="P30" i="135"/>
  <c r="P31" i="135"/>
  <c r="P55" i="287"/>
  <c r="P57" i="287"/>
  <c r="P40" i="287"/>
  <c r="P41" i="287"/>
  <c r="P44" i="287"/>
  <c r="P49" i="287"/>
  <c r="P50" i="287"/>
  <c r="P51" i="287"/>
  <c r="P8" i="287"/>
  <c r="P16" i="287"/>
  <c r="P21" i="287"/>
  <c r="P22" i="287"/>
  <c r="P6" i="287"/>
  <c r="P37" i="184"/>
  <c r="P38" i="184"/>
  <c r="P40" i="184"/>
  <c r="P45" i="184"/>
  <c r="P46" i="184"/>
  <c r="P47" i="184"/>
  <c r="P7" i="184"/>
  <c r="P8" i="184"/>
  <c r="P16" i="184"/>
  <c r="P17" i="184"/>
  <c r="P20" i="184"/>
  <c r="P23" i="184"/>
  <c r="P24" i="184"/>
  <c r="P25" i="184"/>
  <c r="P26" i="184"/>
  <c r="P28" i="184"/>
  <c r="P35" i="184"/>
  <c r="P36" i="184"/>
  <c r="P35" i="125"/>
  <c r="P8" i="125"/>
  <c r="P9" i="125"/>
  <c r="P38" i="125"/>
  <c r="P41" i="125"/>
  <c r="P42" i="125"/>
  <c r="P43" i="125"/>
  <c r="P44" i="125"/>
  <c r="P47" i="125"/>
  <c r="P50" i="125"/>
  <c r="P51" i="125"/>
  <c r="P52" i="125"/>
  <c r="P6" i="125"/>
  <c r="P7" i="125"/>
  <c r="P10" i="125"/>
  <c r="P11" i="125"/>
  <c r="P13" i="125"/>
  <c r="P15" i="125"/>
  <c r="P16" i="125"/>
  <c r="P19" i="125"/>
  <c r="P20" i="125"/>
  <c r="P21" i="125"/>
  <c r="P22" i="125"/>
  <c r="P24" i="125"/>
  <c r="P26" i="125"/>
  <c r="P29" i="125"/>
  <c r="P30" i="125"/>
  <c r="P31" i="125"/>
  <c r="P32" i="125"/>
  <c r="P33" i="125"/>
  <c r="P37" i="243"/>
  <c r="P29" i="243"/>
  <c r="P25" i="243"/>
  <c r="P26" i="243"/>
  <c r="P12" i="243"/>
  <c r="P13" i="243"/>
  <c r="P14" i="243"/>
  <c r="P54" i="243"/>
  <c r="P55" i="243"/>
  <c r="P56" i="243"/>
  <c r="P59" i="243"/>
  <c r="P60" i="243"/>
  <c r="P61" i="243"/>
  <c r="P62" i="243"/>
  <c r="P42" i="243"/>
  <c r="P43" i="243"/>
  <c r="P44" i="243"/>
  <c r="P45" i="243"/>
  <c r="P46" i="243"/>
  <c r="P47" i="243"/>
  <c r="P48" i="243"/>
  <c r="P49" i="243"/>
  <c r="P50" i="243"/>
  <c r="P51" i="243"/>
  <c r="P52" i="243"/>
  <c r="P53" i="243"/>
  <c r="P7" i="243"/>
  <c r="P9" i="243"/>
  <c r="P10" i="243"/>
  <c r="P11" i="243"/>
  <c r="P15" i="243"/>
  <c r="P19" i="243"/>
  <c r="P20" i="243"/>
  <c r="P21" i="243"/>
  <c r="P22" i="243"/>
  <c r="P23" i="243"/>
  <c r="P27" i="243"/>
  <c r="P28" i="243"/>
  <c r="P30" i="243"/>
  <c r="P32" i="243"/>
  <c r="P33" i="243"/>
  <c r="P34" i="243"/>
  <c r="P38" i="243"/>
  <c r="P39" i="243"/>
  <c r="P5" i="243"/>
  <c r="P27" i="191"/>
  <c r="P12" i="191"/>
  <c r="P13" i="191"/>
  <c r="P14" i="191"/>
  <c r="P6" i="191"/>
  <c r="P7" i="191"/>
  <c r="P20" i="191"/>
  <c r="P21" i="191"/>
  <c r="P22" i="191"/>
  <c r="P23" i="191"/>
  <c r="P24" i="191"/>
  <c r="P25" i="191"/>
  <c r="P26" i="191"/>
  <c r="P29" i="191"/>
  <c r="P32" i="191"/>
  <c r="P33" i="191"/>
  <c r="P35" i="191"/>
  <c r="P37" i="191"/>
  <c r="P38" i="191"/>
  <c r="P39" i="191"/>
  <c r="P40" i="191"/>
  <c r="P41" i="191"/>
  <c r="P44" i="191"/>
  <c r="P45" i="191"/>
  <c r="P46" i="191"/>
  <c r="P47" i="191"/>
  <c r="P49" i="191"/>
  <c r="P50" i="191"/>
  <c r="P53" i="191"/>
  <c r="P5" i="191"/>
  <c r="P9" i="191"/>
  <c r="P10" i="191"/>
  <c r="P11" i="191"/>
  <c r="P16" i="191"/>
  <c r="P52" i="204"/>
  <c r="P54" i="204"/>
  <c r="P55" i="204"/>
  <c r="P45" i="204"/>
  <c r="P24" i="204"/>
  <c r="P25" i="204"/>
  <c r="P26" i="204"/>
  <c r="P6" i="204"/>
  <c r="P7" i="204"/>
  <c r="P8" i="204"/>
  <c r="P9" i="204"/>
  <c r="P10" i="204"/>
  <c r="P11" i="204"/>
  <c r="P12" i="204"/>
  <c r="P13" i="204"/>
  <c r="P15" i="204"/>
  <c r="P16" i="204"/>
  <c r="P44" i="204"/>
  <c r="P46" i="204"/>
  <c r="P48" i="204"/>
  <c r="P49" i="204"/>
  <c r="P50" i="204"/>
  <c r="P51" i="204"/>
  <c r="P17" i="204"/>
  <c r="P18" i="204"/>
  <c r="P19" i="204"/>
  <c r="P20" i="204"/>
  <c r="P21" i="204"/>
  <c r="P23" i="204"/>
  <c r="P28" i="204"/>
  <c r="P29" i="204"/>
  <c r="P30" i="204"/>
  <c r="P31" i="204"/>
  <c r="P32" i="204"/>
  <c r="P34" i="204"/>
  <c r="P35" i="204"/>
  <c r="P36" i="204"/>
  <c r="P37" i="204"/>
  <c r="P38" i="204"/>
  <c r="P39" i="204"/>
  <c r="P40" i="204"/>
  <c r="P41" i="204"/>
  <c r="P42" i="204"/>
  <c r="P43" i="204"/>
  <c r="P33" i="186"/>
  <c r="P25" i="186"/>
  <c r="P26" i="186"/>
  <c r="P27" i="186"/>
  <c r="P28" i="186"/>
  <c r="P29" i="186"/>
  <c r="P19" i="186"/>
  <c r="P21" i="186"/>
  <c r="P16" i="186"/>
  <c r="P6" i="186"/>
  <c r="P7" i="186"/>
  <c r="P8" i="186"/>
  <c r="P9" i="186"/>
  <c r="P10" i="186"/>
  <c r="P11" i="186"/>
  <c r="P33" i="284"/>
  <c r="P26" i="284"/>
  <c r="P14" i="284"/>
  <c r="P7" i="284"/>
  <c r="P8" i="284"/>
  <c r="P9" i="284"/>
  <c r="P34" i="284"/>
  <c r="P35" i="284"/>
  <c r="P36" i="284"/>
  <c r="P38" i="284"/>
  <c r="P39" i="284"/>
  <c r="P45" i="284"/>
  <c r="P48" i="284"/>
  <c r="P49" i="284"/>
  <c r="P50" i="284"/>
  <c r="P51" i="284"/>
  <c r="P11" i="284"/>
  <c r="P12" i="284"/>
  <c r="P13" i="284"/>
  <c r="P15" i="284"/>
  <c r="P16" i="284"/>
  <c r="P17" i="284"/>
  <c r="P18" i="284"/>
  <c r="P19" i="284"/>
  <c r="P20" i="284"/>
  <c r="P22" i="284"/>
  <c r="P25" i="284"/>
  <c r="P31" i="284"/>
  <c r="P32" i="284"/>
  <c r="P42" i="139"/>
  <c r="P24" i="139"/>
  <c r="P25" i="139"/>
  <c r="P26" i="139"/>
  <c r="P27" i="139"/>
  <c r="P20" i="139"/>
  <c r="P21" i="139"/>
  <c r="P17" i="139"/>
  <c r="P12" i="139"/>
  <c r="P13" i="139"/>
  <c r="P8" i="139"/>
  <c r="P9" i="139"/>
  <c r="P6" i="139"/>
  <c r="P7" i="139"/>
  <c r="P15" i="139"/>
  <c r="P18" i="139"/>
  <c r="P22" i="139"/>
  <c r="P23" i="139"/>
  <c r="P30" i="139"/>
  <c r="P34" i="139"/>
  <c r="P36" i="139"/>
  <c r="P37" i="139"/>
  <c r="P41" i="139"/>
  <c r="P43" i="139"/>
  <c r="P44" i="139"/>
  <c r="P45" i="139"/>
  <c r="P46" i="186"/>
  <c r="P47" i="186"/>
  <c r="P49" i="186"/>
  <c r="P50" i="186"/>
  <c r="P51" i="186"/>
  <c r="P54" i="186"/>
  <c r="P55" i="186"/>
  <c r="P56" i="186"/>
  <c r="P57" i="186"/>
  <c r="P58" i="186"/>
  <c r="P12" i="186"/>
  <c r="P13" i="186"/>
  <c r="P14" i="186"/>
  <c r="P18" i="186"/>
  <c r="P22" i="186"/>
  <c r="P23" i="186"/>
  <c r="P30" i="186"/>
  <c r="P31" i="186"/>
  <c r="P35" i="186"/>
  <c r="P36" i="186"/>
  <c r="P37" i="186"/>
  <c r="P38" i="186"/>
  <c r="P39" i="186"/>
  <c r="P40" i="186"/>
  <c r="P41" i="186"/>
  <c r="P42" i="186"/>
  <c r="P43" i="186"/>
  <c r="P44" i="186"/>
  <c r="P45" i="186"/>
  <c r="P39" i="185"/>
  <c r="P29" i="185"/>
  <c r="P13" i="185"/>
  <c r="P16" i="185"/>
  <c r="P17" i="185"/>
  <c r="P18" i="185"/>
  <c r="P19" i="185"/>
  <c r="P20" i="185"/>
  <c r="P21" i="185"/>
  <c r="P8" i="185"/>
  <c r="P9" i="185"/>
  <c r="P50" i="185"/>
  <c r="P51" i="185"/>
  <c r="P52" i="185"/>
  <c r="P53" i="185"/>
  <c r="P54" i="185"/>
  <c r="P56" i="185"/>
  <c r="P57" i="185"/>
  <c r="P58" i="185"/>
  <c r="P36" i="185"/>
  <c r="P37" i="185"/>
  <c r="P41" i="185"/>
  <c r="P42" i="185"/>
  <c r="P43" i="185"/>
  <c r="P44" i="185"/>
  <c r="P45" i="185"/>
  <c r="P47" i="185"/>
  <c r="P7" i="185"/>
  <c r="P10" i="185"/>
  <c r="P11" i="185"/>
  <c r="P12" i="185"/>
  <c r="P23" i="185"/>
  <c r="P26" i="185"/>
  <c r="P27" i="185"/>
  <c r="P30" i="185"/>
  <c r="P31" i="185"/>
  <c r="P32" i="185"/>
  <c r="P35" i="185"/>
  <c r="P5" i="185"/>
  <c r="P31" i="187"/>
  <c r="P27" i="187"/>
  <c r="P13" i="187"/>
  <c r="P14" i="187"/>
  <c r="P16" i="187"/>
  <c r="P17" i="187"/>
  <c r="P18" i="187"/>
  <c r="P9" i="187"/>
  <c r="P10" i="187"/>
  <c r="P57" i="187"/>
  <c r="P59" i="187"/>
  <c r="P60" i="187"/>
  <c r="P61" i="187"/>
  <c r="P40" i="187"/>
  <c r="P43" i="187"/>
  <c r="P44" i="187"/>
  <c r="P49" i="187"/>
  <c r="P50" i="187"/>
  <c r="P51" i="187"/>
  <c r="P52" i="187"/>
  <c r="P53" i="187"/>
  <c r="P54" i="187"/>
  <c r="P55" i="187"/>
  <c r="P56" i="187"/>
  <c r="P6" i="187"/>
  <c r="P7" i="187"/>
  <c r="P8" i="187"/>
  <c r="P11" i="187"/>
  <c r="P12" i="187"/>
  <c r="P19" i="187"/>
  <c r="P20" i="187"/>
  <c r="P23" i="187"/>
  <c r="P24" i="187"/>
  <c r="P25" i="187"/>
  <c r="P26" i="187"/>
  <c r="P28" i="187"/>
  <c r="P29" i="187"/>
  <c r="P33" i="187"/>
  <c r="P36" i="187"/>
  <c r="P37" i="187"/>
  <c r="P38" i="187"/>
  <c r="P39" i="187"/>
  <c r="P28" i="226"/>
  <c r="P29" i="226"/>
  <c r="P17" i="226"/>
  <c r="P18" i="226"/>
  <c r="P12" i="226"/>
  <c r="P13" i="226"/>
  <c r="P14" i="226"/>
  <c r="P52" i="226"/>
  <c r="P54" i="226"/>
  <c r="P32" i="226"/>
  <c r="P33" i="226"/>
  <c r="P34" i="226"/>
  <c r="P35" i="226"/>
  <c r="P39" i="226"/>
  <c r="P7" i="226"/>
  <c r="P8" i="226"/>
  <c r="P9" i="226"/>
  <c r="P10" i="226"/>
  <c r="P15" i="226"/>
  <c r="P16" i="226"/>
  <c r="P19" i="226"/>
  <c r="P20" i="226"/>
  <c r="P21" i="226"/>
  <c r="P22" i="226"/>
  <c r="P23" i="226"/>
  <c r="P24" i="226"/>
  <c r="P25" i="226"/>
  <c r="P26" i="226"/>
  <c r="P27" i="226"/>
  <c r="P31" i="226"/>
  <c r="P25" i="296"/>
  <c r="P9" i="296"/>
  <c r="P10" i="296"/>
  <c r="P44" i="296"/>
  <c r="P46" i="296"/>
  <c r="P48" i="296"/>
  <c r="P49" i="296"/>
  <c r="P50" i="296"/>
  <c r="P51" i="296"/>
  <c r="P52" i="296"/>
  <c r="P34" i="296"/>
  <c r="P35" i="296"/>
  <c r="P36" i="296"/>
  <c r="P38" i="296"/>
  <c r="P39" i="296"/>
  <c r="P40" i="296"/>
  <c r="P41" i="296"/>
  <c r="P42" i="296"/>
  <c r="P43" i="296"/>
  <c r="P11" i="296"/>
  <c r="P12" i="296"/>
  <c r="P13" i="296"/>
  <c r="P14" i="296"/>
  <c r="P16" i="296"/>
  <c r="P18" i="296"/>
  <c r="P19" i="296"/>
  <c r="P21" i="296"/>
  <c r="P22" i="296"/>
  <c r="P23" i="296"/>
  <c r="P27" i="296"/>
  <c r="P30" i="296"/>
  <c r="P31" i="296"/>
  <c r="P32" i="296"/>
  <c r="P33" i="296"/>
  <c r="P5" i="296"/>
  <c r="P6" i="296"/>
  <c r="P18" i="126"/>
  <c r="P19" i="126"/>
  <c r="P7" i="126"/>
  <c r="P8" i="126"/>
  <c r="P9" i="126"/>
  <c r="P10" i="126"/>
  <c r="P11" i="126"/>
  <c r="P6" i="126"/>
  <c r="P14" i="126"/>
  <c r="P15" i="126"/>
  <c r="P16" i="126"/>
  <c r="P17" i="126"/>
  <c r="P24" i="126"/>
  <c r="P25" i="126"/>
  <c r="P48" i="126"/>
  <c r="P49" i="126"/>
  <c r="P50" i="126"/>
  <c r="P54" i="126"/>
  <c r="P55" i="126"/>
  <c r="P56" i="126"/>
  <c r="P57" i="126"/>
  <c r="P58" i="126"/>
  <c r="P59" i="126"/>
  <c r="P24" i="211"/>
  <c r="P18" i="211"/>
  <c r="P19" i="211"/>
  <c r="P20" i="211"/>
  <c r="P11" i="211"/>
  <c r="P12" i="211"/>
  <c r="P13" i="211"/>
  <c r="P14" i="211"/>
  <c r="P15" i="211"/>
  <c r="P7" i="211"/>
  <c r="P8" i="211"/>
  <c r="P53" i="211"/>
  <c r="P6" i="211"/>
  <c r="P9" i="211"/>
  <c r="P10" i="211"/>
  <c r="P16" i="211"/>
  <c r="P17" i="211"/>
  <c r="P23" i="211"/>
  <c r="P25" i="211"/>
  <c r="P26" i="211"/>
  <c r="P27" i="211"/>
  <c r="P28" i="211"/>
  <c r="P29" i="211"/>
  <c r="P30" i="211"/>
  <c r="P32" i="211"/>
  <c r="P33" i="211"/>
  <c r="P35" i="211"/>
  <c r="P36" i="211"/>
  <c r="P38" i="211"/>
  <c r="P39" i="211"/>
  <c r="P40" i="211"/>
  <c r="P41" i="211"/>
  <c r="P42" i="211"/>
  <c r="P43" i="211"/>
  <c r="P44" i="211"/>
  <c r="P45" i="211"/>
  <c r="P46" i="211"/>
  <c r="P47" i="211"/>
  <c r="P48" i="211"/>
  <c r="P49" i="211"/>
  <c r="P50" i="211"/>
  <c r="P41" i="166"/>
  <c r="P25" i="166"/>
  <c r="P26" i="166"/>
  <c r="P27" i="166"/>
  <c r="P14" i="166"/>
  <c r="P15" i="166"/>
  <c r="P16" i="166"/>
  <c r="P17" i="166"/>
  <c r="P18" i="166"/>
  <c r="P11" i="166"/>
  <c r="P7" i="166"/>
  <c r="P8" i="166"/>
  <c r="P33" i="166"/>
  <c r="P34" i="166"/>
  <c r="P35" i="166"/>
  <c r="P36" i="166"/>
  <c r="P37" i="166"/>
  <c r="P38" i="166"/>
  <c r="P39" i="166"/>
  <c r="P40" i="166"/>
  <c r="P43" i="166"/>
  <c r="P44" i="166"/>
  <c r="P10" i="166"/>
  <c r="P12" i="166"/>
  <c r="P13" i="166"/>
  <c r="P19" i="166"/>
  <c r="P20" i="166"/>
  <c r="P21" i="166"/>
  <c r="P22" i="166"/>
  <c r="P23" i="166"/>
  <c r="P24" i="166"/>
  <c r="P28" i="166"/>
  <c r="P29" i="166"/>
  <c r="P30" i="166"/>
  <c r="P31" i="166"/>
  <c r="P32" i="166"/>
  <c r="P5" i="166"/>
  <c r="P6" i="166"/>
  <c r="P30" i="168"/>
  <c r="P31" i="168"/>
  <c r="P20" i="168"/>
  <c r="P21" i="168"/>
  <c r="P8" i="168"/>
  <c r="P27" i="208"/>
  <c r="P44" i="183"/>
  <c r="P31" i="183"/>
  <c r="P25" i="183"/>
  <c r="P26" i="183"/>
  <c r="P27" i="183"/>
  <c r="P28" i="183"/>
  <c r="P29" i="183"/>
  <c r="P30" i="183"/>
  <c r="P8" i="183"/>
  <c r="P9" i="183"/>
  <c r="P10" i="183"/>
  <c r="P11" i="183"/>
  <c r="P12" i="183"/>
  <c r="P13" i="183"/>
  <c r="P8" i="278"/>
  <c r="P9" i="278"/>
  <c r="P27" i="177"/>
  <c r="P28" i="177"/>
  <c r="P29" i="177"/>
  <c r="P14" i="177"/>
  <c r="P15" i="177"/>
  <c r="P16" i="177"/>
  <c r="P8" i="177"/>
  <c r="P9" i="177"/>
  <c r="P6" i="177"/>
  <c r="P7" i="177"/>
  <c r="P10" i="177"/>
  <c r="P11" i="177"/>
  <c r="P13" i="177"/>
  <c r="P17" i="177"/>
  <c r="P20" i="177"/>
  <c r="P21" i="177"/>
  <c r="P22" i="177"/>
  <c r="P23" i="177"/>
  <c r="P24" i="177"/>
  <c r="P25" i="177"/>
  <c r="P26" i="177"/>
  <c r="P30" i="177"/>
  <c r="P32" i="177"/>
  <c r="P33" i="177"/>
  <c r="P34" i="177"/>
  <c r="P35" i="177"/>
  <c r="P36" i="177"/>
  <c r="P37" i="177"/>
  <c r="P41" i="177"/>
  <c r="P42" i="177"/>
  <c r="P43" i="177"/>
  <c r="P46" i="177"/>
  <c r="P48" i="177"/>
  <c r="P51" i="177"/>
  <c r="P52" i="177"/>
  <c r="P53" i="177"/>
  <c r="P54" i="177"/>
  <c r="P55" i="177"/>
  <c r="P22" i="136"/>
  <c r="P23" i="136"/>
  <c r="P24" i="136"/>
  <c r="P25" i="136"/>
  <c r="P17" i="136"/>
  <c r="P18" i="136"/>
  <c r="P19" i="136"/>
  <c r="P7" i="136"/>
  <c r="P8" i="136"/>
  <c r="P9" i="136"/>
  <c r="P10" i="136"/>
  <c r="P11" i="136"/>
  <c r="P12" i="136"/>
  <c r="P13" i="136"/>
  <c r="P14" i="136"/>
  <c r="P35" i="136"/>
  <c r="P36" i="136"/>
  <c r="P37" i="136"/>
  <c r="P38" i="136"/>
  <c r="P39" i="136"/>
  <c r="P40" i="136"/>
  <c r="P41" i="136"/>
  <c r="P42" i="136"/>
  <c r="P43" i="136"/>
  <c r="P45" i="136"/>
  <c r="P46" i="136"/>
  <c r="P6" i="136"/>
  <c r="P16" i="136"/>
  <c r="P21" i="136"/>
  <c r="P27" i="136"/>
  <c r="P30" i="136"/>
  <c r="P31" i="136"/>
  <c r="P33" i="136"/>
  <c r="P34" i="136"/>
  <c r="P19" i="170"/>
  <c r="P20" i="170"/>
  <c r="P15" i="170"/>
  <c r="P11" i="170"/>
  <c r="P12" i="170"/>
  <c r="P58" i="169"/>
  <c r="P31" i="169"/>
  <c r="P9" i="169"/>
  <c r="P10" i="169"/>
  <c r="P11" i="169"/>
  <c r="P12" i="169"/>
  <c r="P13" i="169"/>
  <c r="P14" i="169"/>
  <c r="P15" i="169"/>
  <c r="P6" i="169"/>
  <c r="P8" i="169"/>
  <c r="P17" i="169"/>
  <c r="P18" i="169"/>
  <c r="P20" i="169"/>
  <c r="P21" i="169"/>
  <c r="P22" i="169"/>
  <c r="P26" i="169"/>
  <c r="P33" i="169"/>
  <c r="P34" i="169"/>
  <c r="P36" i="169"/>
  <c r="P37" i="169"/>
  <c r="P38" i="169"/>
  <c r="P39" i="169"/>
  <c r="P40" i="169"/>
  <c r="P43" i="169"/>
  <c r="P44" i="169"/>
  <c r="P45" i="169"/>
  <c r="P46" i="169"/>
  <c r="P47" i="169"/>
  <c r="P49" i="169"/>
  <c r="P50" i="169"/>
  <c r="P51" i="169"/>
  <c r="P52" i="169"/>
  <c r="P54" i="169"/>
  <c r="P55" i="169"/>
  <c r="P56" i="169"/>
  <c r="P57" i="169"/>
  <c r="P51" i="132"/>
  <c r="P52" i="132"/>
  <c r="P39" i="132"/>
  <c r="P30" i="132"/>
  <c r="P25" i="132"/>
  <c r="P27" i="132"/>
  <c r="P6" i="132"/>
  <c r="P7" i="132"/>
  <c r="P8" i="132"/>
  <c r="P9" i="132"/>
  <c r="P10" i="132"/>
  <c r="P11" i="132"/>
  <c r="P12" i="132"/>
  <c r="P13" i="132"/>
  <c r="P15" i="132"/>
  <c r="P18" i="132"/>
  <c r="P19" i="132"/>
  <c r="P22" i="132"/>
  <c r="P23" i="132"/>
  <c r="P24" i="132"/>
  <c r="P28" i="132"/>
  <c r="P29" i="132"/>
  <c r="P32" i="132"/>
  <c r="P33" i="132"/>
  <c r="P34" i="132"/>
  <c r="P35" i="132"/>
  <c r="P36" i="132"/>
  <c r="P37" i="132"/>
  <c r="P38" i="132"/>
  <c r="P40" i="132"/>
  <c r="P41" i="132"/>
  <c r="P42" i="132"/>
  <c r="P44" i="132"/>
  <c r="P46" i="132"/>
  <c r="P5" i="132"/>
  <c r="P7" i="127"/>
  <c r="P8" i="127"/>
  <c r="P23" i="201"/>
  <c r="P24" i="201"/>
  <c r="P25" i="201"/>
  <c r="P20" i="201"/>
  <c r="P8" i="201"/>
  <c r="P9" i="201"/>
  <c r="P10" i="201"/>
  <c r="P11" i="201"/>
  <c r="P12" i="201"/>
  <c r="P13" i="201"/>
  <c r="P14" i="201"/>
  <c r="P33" i="201"/>
  <c r="P35" i="201"/>
  <c r="P40" i="201"/>
  <c r="P41" i="201"/>
  <c r="P42" i="201"/>
  <c r="P43" i="201"/>
  <c r="P44" i="201"/>
  <c r="P45" i="201"/>
  <c r="P47" i="201"/>
  <c r="P6" i="201"/>
  <c r="P7" i="201"/>
  <c r="P16" i="201"/>
  <c r="P17" i="201"/>
  <c r="P18" i="201"/>
  <c r="P19" i="201"/>
  <c r="P21" i="201"/>
  <c r="P28" i="201"/>
  <c r="P9" i="138"/>
  <c r="P45" i="138"/>
  <c r="P6" i="138"/>
  <c r="P8" i="138"/>
  <c r="P11" i="138"/>
  <c r="P14" i="138"/>
  <c r="P15" i="138"/>
  <c r="P16" i="138"/>
  <c r="P19" i="138"/>
  <c r="P20" i="138"/>
  <c r="P21" i="138"/>
  <c r="P22" i="138"/>
  <c r="P23" i="138"/>
  <c r="P24" i="138"/>
  <c r="P28" i="138"/>
  <c r="P37" i="138"/>
  <c r="P38" i="138"/>
  <c r="P39" i="138"/>
  <c r="P40" i="138"/>
  <c r="P41" i="138"/>
  <c r="P42" i="138"/>
  <c r="P28" i="189"/>
  <c r="P30" i="189"/>
  <c r="P15" i="189"/>
  <c r="P9" i="189"/>
  <c r="P10" i="189"/>
  <c r="P11" i="189"/>
  <c r="P12" i="189"/>
  <c r="P13" i="189"/>
  <c r="P14" i="189"/>
  <c r="P27" i="189"/>
  <c r="P33" i="189"/>
  <c r="P34" i="189"/>
  <c r="P35" i="189"/>
  <c r="P36" i="189"/>
  <c r="P45" i="189"/>
  <c r="P46" i="189"/>
  <c r="P47" i="189"/>
  <c r="P51" i="189"/>
  <c r="P54" i="189"/>
  <c r="P55" i="189"/>
  <c r="P57" i="189"/>
  <c r="P58" i="189"/>
  <c r="P32" i="254"/>
  <c r="P33" i="254"/>
  <c r="P34" i="254"/>
  <c r="P35" i="254"/>
  <c r="P36" i="254"/>
  <c r="P37" i="254"/>
  <c r="P38" i="254"/>
  <c r="P39" i="254"/>
  <c r="P40" i="254"/>
  <c r="P41" i="254"/>
  <c r="P42" i="254"/>
  <c r="P43" i="254"/>
  <c r="P44" i="254"/>
  <c r="P45" i="254"/>
  <c r="P46" i="254"/>
  <c r="P48" i="254"/>
  <c r="P49" i="254"/>
  <c r="P15" i="254"/>
  <c r="P17" i="254"/>
  <c r="P18" i="254"/>
  <c r="P11" i="254"/>
  <c r="P12" i="254"/>
  <c r="P7" i="254"/>
  <c r="P9" i="254"/>
  <c r="P26" i="261"/>
  <c r="P15" i="261"/>
  <c r="P6" i="261"/>
  <c r="P51" i="261"/>
  <c r="P53" i="261"/>
  <c r="P36" i="261"/>
  <c r="P37" i="261"/>
  <c r="P38" i="261"/>
  <c r="P39" i="261"/>
  <c r="P40" i="261"/>
  <c r="P41" i="261"/>
  <c r="P42" i="261"/>
  <c r="P43" i="261"/>
  <c r="P44" i="261"/>
  <c r="P45" i="261"/>
  <c r="P46" i="261"/>
  <c r="P47" i="261"/>
  <c r="P21" i="261"/>
  <c r="P27" i="261"/>
  <c r="P28" i="261"/>
  <c r="P29" i="261"/>
  <c r="P30" i="261"/>
  <c r="P31" i="261"/>
  <c r="P32" i="261"/>
  <c r="P33" i="261"/>
  <c r="P34" i="261"/>
  <c r="P5" i="261"/>
  <c r="P8" i="261"/>
  <c r="P9" i="261"/>
  <c r="P10" i="261"/>
  <c r="P11" i="261"/>
  <c r="P13" i="261"/>
  <c r="P17" i="261"/>
  <c r="P11" i="141"/>
  <c r="P6" i="141"/>
  <c r="P18" i="141"/>
  <c r="P23" i="141"/>
  <c r="P34" i="141"/>
  <c r="P37" i="141"/>
  <c r="P38" i="141"/>
  <c r="P39" i="141"/>
  <c r="P40" i="141"/>
  <c r="P41" i="141"/>
  <c r="P5" i="141"/>
  <c r="P38" i="161"/>
  <c r="P20" i="161"/>
  <c r="P21" i="161"/>
  <c r="P22" i="161"/>
  <c r="P18" i="161"/>
  <c r="P9" i="161"/>
  <c r="P50" i="161"/>
  <c r="P51" i="161"/>
  <c r="P52" i="161"/>
  <c r="P7" i="161"/>
  <c r="P8" i="161"/>
  <c r="P10" i="161"/>
  <c r="P11" i="161"/>
  <c r="P13" i="161"/>
  <c r="P14" i="161"/>
  <c r="P15" i="161"/>
  <c r="P16" i="161"/>
  <c r="P17" i="161"/>
  <c r="P19" i="161"/>
  <c r="P25" i="161"/>
  <c r="P26" i="161"/>
  <c r="P27" i="161"/>
  <c r="P28" i="161"/>
  <c r="P29" i="161"/>
  <c r="P30" i="161"/>
  <c r="P31" i="161"/>
  <c r="P32" i="161"/>
  <c r="P39" i="161"/>
  <c r="P40" i="161"/>
  <c r="P41" i="161"/>
  <c r="P42" i="161"/>
  <c r="P43" i="161"/>
  <c r="P45" i="161"/>
  <c r="P46" i="161"/>
  <c r="P47" i="161"/>
  <c r="P48" i="161"/>
  <c r="P5" i="161"/>
  <c r="P33" i="145"/>
  <c r="P34" i="145"/>
  <c r="P24" i="145"/>
  <c r="P25" i="145"/>
  <c r="P26" i="145"/>
  <c r="P16" i="145"/>
  <c r="P17" i="145"/>
  <c r="P12" i="145"/>
  <c r="P13" i="145"/>
  <c r="P8" i="145"/>
  <c r="P9" i="145"/>
  <c r="P6" i="145"/>
  <c r="P7" i="145"/>
  <c r="P10" i="145"/>
  <c r="P11" i="145"/>
  <c r="P15" i="145"/>
  <c r="P18" i="145"/>
  <c r="P19" i="145"/>
  <c r="P20" i="145"/>
  <c r="P22" i="145"/>
  <c r="P23" i="145"/>
  <c r="P27" i="145"/>
  <c r="P29" i="145"/>
  <c r="P30" i="145"/>
  <c r="P31" i="145"/>
  <c r="P35" i="145"/>
  <c r="P36" i="145"/>
  <c r="P37" i="145"/>
  <c r="P39" i="145"/>
  <c r="P40" i="145"/>
  <c r="P41" i="145"/>
  <c r="P42" i="145"/>
  <c r="P43" i="145"/>
  <c r="P45" i="145"/>
  <c r="P46" i="145"/>
  <c r="P47" i="145"/>
  <c r="P48" i="145"/>
  <c r="P49" i="145"/>
  <c r="P50" i="145"/>
  <c r="P25" i="159"/>
  <c r="P20" i="159"/>
  <c r="P12" i="159"/>
  <c r="P18" i="159"/>
  <c r="P26" i="159"/>
  <c r="P39" i="159"/>
  <c r="P40" i="159"/>
  <c r="P41" i="159"/>
  <c r="P42" i="159"/>
  <c r="P43" i="159"/>
  <c r="P46" i="159"/>
  <c r="P47" i="159"/>
  <c r="P5" i="159"/>
  <c r="P8" i="159"/>
  <c r="P14" i="159"/>
  <c r="P28" i="190"/>
  <c r="P29" i="190"/>
  <c r="P30" i="190"/>
  <c r="P31" i="190"/>
  <c r="P32" i="190"/>
  <c r="P33" i="190"/>
  <c r="P34" i="190"/>
  <c r="P7" i="190"/>
  <c r="P8" i="190"/>
  <c r="P9" i="190"/>
  <c r="P10" i="190"/>
  <c r="P11" i="190"/>
  <c r="P12" i="190"/>
  <c r="P13" i="190"/>
  <c r="P14" i="190"/>
  <c r="P15" i="190"/>
  <c r="P6" i="190"/>
  <c r="P19" i="190"/>
  <c r="P20" i="190"/>
  <c r="P24" i="190"/>
  <c r="P26" i="190"/>
  <c r="P27" i="190"/>
  <c r="P35" i="190"/>
  <c r="P36" i="190"/>
  <c r="P37" i="190"/>
  <c r="P39" i="190"/>
  <c r="P41" i="190"/>
  <c r="P42" i="190"/>
  <c r="P43" i="190"/>
  <c r="P44" i="190"/>
  <c r="P45" i="190"/>
  <c r="P47" i="190"/>
  <c r="P49" i="190"/>
  <c r="P51" i="190"/>
  <c r="P53" i="190"/>
  <c r="P54" i="190"/>
  <c r="P55" i="190"/>
  <c r="P56" i="190"/>
  <c r="P57" i="190"/>
  <c r="P58" i="190"/>
  <c r="P59" i="190"/>
  <c r="P60" i="190"/>
  <c r="P5" i="190"/>
  <c r="P18" i="198"/>
  <c r="P7" i="198"/>
  <c r="P8" i="198"/>
  <c r="P9" i="198"/>
  <c r="P10" i="198"/>
  <c r="P11" i="198"/>
  <c r="P13" i="198"/>
  <c r="P15" i="198"/>
  <c r="P16" i="198"/>
  <c r="P17" i="198"/>
  <c r="P19" i="198"/>
  <c r="P20" i="198"/>
  <c r="P21" i="198"/>
  <c r="P35" i="198"/>
  <c r="P5" i="198"/>
  <c r="P22" i="171"/>
  <c r="P23" i="171"/>
  <c r="P24" i="171"/>
  <c r="P12" i="171"/>
  <c r="P7" i="171"/>
  <c r="P8" i="171"/>
  <c r="P6" i="171"/>
  <c r="P11" i="171"/>
  <c r="P21" i="171"/>
  <c r="P25" i="171"/>
  <c r="P26" i="171"/>
  <c r="P27" i="171"/>
  <c r="P28" i="171"/>
  <c r="P29" i="171"/>
  <c r="P30" i="171"/>
  <c r="P32" i="171"/>
  <c r="P33" i="171"/>
  <c r="P34" i="171"/>
  <c r="P35" i="171"/>
  <c r="P36" i="171"/>
  <c r="P37" i="171"/>
  <c r="P39" i="171"/>
  <c r="P40" i="171"/>
  <c r="P42" i="171"/>
  <c r="P43" i="171"/>
  <c r="P28" i="259"/>
  <c r="P23" i="259"/>
  <c r="P24" i="259"/>
  <c r="P6" i="259"/>
  <c r="P7" i="259"/>
  <c r="P8" i="259"/>
  <c r="P9" i="259"/>
  <c r="P10" i="259"/>
  <c r="P11" i="259"/>
  <c r="P12" i="259"/>
  <c r="P14" i="259"/>
  <c r="P16" i="259"/>
  <c r="P17" i="259"/>
  <c r="P18" i="259"/>
  <c r="P19" i="259"/>
  <c r="P5" i="259"/>
  <c r="P21" i="259"/>
  <c r="P22" i="259"/>
  <c r="P26" i="259"/>
  <c r="P27" i="259"/>
  <c r="P31" i="259"/>
  <c r="P32" i="259"/>
  <c r="P33" i="259"/>
  <c r="P34" i="259"/>
  <c r="P37" i="259"/>
  <c r="P41" i="259"/>
  <c r="P42" i="259"/>
  <c r="P43" i="259"/>
  <c r="P44" i="259"/>
  <c r="P45" i="259"/>
  <c r="P46" i="259"/>
  <c r="P47" i="259"/>
  <c r="P48" i="259"/>
  <c r="P49" i="259"/>
  <c r="P50" i="259"/>
  <c r="P53" i="259"/>
  <c r="P54" i="259"/>
  <c r="P55" i="259"/>
  <c r="P56" i="259"/>
  <c r="P57" i="259"/>
  <c r="P35" i="154"/>
  <c r="P21" i="154"/>
  <c r="P22" i="154"/>
  <c r="P23" i="154"/>
  <c r="P24" i="154"/>
  <c r="P25" i="154"/>
  <c r="P26" i="154"/>
  <c r="P27" i="154"/>
  <c r="P28" i="154"/>
  <c r="P29" i="154"/>
  <c r="P18" i="154"/>
  <c r="P7" i="154"/>
  <c r="P8" i="154"/>
  <c r="P9" i="154"/>
  <c r="P10" i="154"/>
  <c r="P11" i="154"/>
  <c r="P12" i="154"/>
  <c r="P13" i="154"/>
  <c r="P14" i="154"/>
  <c r="P15" i="154"/>
  <c r="P6" i="154"/>
  <c r="P16" i="154"/>
  <c r="P17" i="154"/>
  <c r="P19" i="154"/>
  <c r="P20" i="154"/>
  <c r="P31" i="154"/>
  <c r="P36" i="154"/>
  <c r="P37" i="154"/>
  <c r="P12" i="256"/>
  <c r="P13" i="256"/>
  <c r="P14" i="256"/>
  <c r="P16" i="256"/>
  <c r="P17" i="256"/>
  <c r="P8" i="256"/>
  <c r="P9" i="256"/>
  <c r="P25" i="194"/>
  <c r="P26" i="194"/>
  <c r="P27" i="194"/>
  <c r="P28" i="194"/>
  <c r="P29" i="194"/>
  <c r="P22" i="194"/>
  <c r="P17" i="194"/>
  <c r="P6" i="194"/>
  <c r="P7" i="194"/>
  <c r="P8" i="194"/>
  <c r="P9" i="194"/>
  <c r="P10" i="194"/>
  <c r="P11" i="194"/>
  <c r="P12" i="194"/>
  <c r="P13" i="194"/>
  <c r="P14" i="194"/>
  <c r="P21" i="194"/>
  <c r="P24" i="194"/>
  <c r="P31" i="194"/>
  <c r="P34" i="194"/>
  <c r="P36" i="194"/>
  <c r="P42" i="194"/>
  <c r="P47" i="194"/>
  <c r="P48" i="194"/>
  <c r="P49" i="194"/>
  <c r="P50" i="194"/>
  <c r="P5" i="194"/>
  <c r="P25" i="142"/>
  <c r="P26" i="142"/>
  <c r="P23" i="142"/>
  <c r="P21" i="142"/>
  <c r="P14" i="142"/>
  <c r="P15" i="142"/>
  <c r="P16" i="142"/>
  <c r="P9" i="142"/>
  <c r="P6" i="142"/>
  <c r="P57" i="265"/>
  <c r="P58" i="265"/>
  <c r="P24" i="265"/>
  <c r="P18" i="265"/>
  <c r="P8" i="265"/>
  <c r="P9" i="265"/>
  <c r="P10" i="265"/>
  <c r="P11" i="265"/>
  <c r="P12" i="265"/>
  <c r="P13" i="265"/>
  <c r="P7" i="157"/>
  <c r="P48" i="144"/>
  <c r="P46" i="134"/>
  <c r="P47" i="134"/>
  <c r="P22" i="134"/>
  <c r="P23" i="134"/>
  <c r="P25" i="134"/>
  <c r="P26" i="134"/>
  <c r="P27" i="134"/>
  <c r="P17" i="134"/>
  <c r="P18" i="134"/>
  <c r="P8" i="134"/>
  <c r="P9" i="134"/>
  <c r="P10" i="134"/>
  <c r="P11" i="134"/>
  <c r="P12" i="134"/>
  <c r="P13" i="134"/>
  <c r="P14" i="134"/>
  <c r="P50" i="209"/>
  <c r="P33" i="209"/>
  <c r="P34" i="209"/>
  <c r="P26" i="209"/>
  <c r="P27" i="209"/>
  <c r="P28" i="209"/>
  <c r="P17" i="209"/>
  <c r="P8" i="209"/>
  <c r="P9" i="209"/>
  <c r="P10" i="209"/>
  <c r="P11" i="209"/>
  <c r="P12" i="209"/>
  <c r="P13" i="209"/>
  <c r="P24" i="152"/>
  <c r="P15" i="152"/>
  <c r="P7" i="152"/>
  <c r="P8" i="152"/>
  <c r="P9" i="152"/>
  <c r="P10" i="152"/>
  <c r="P11" i="152"/>
  <c r="P12" i="152"/>
  <c r="P18" i="179"/>
  <c r="P7" i="179"/>
  <c r="P6" i="208"/>
  <c r="P7" i="208"/>
  <c r="P8" i="208"/>
  <c r="P9" i="208"/>
  <c r="P10" i="208"/>
  <c r="P14" i="208"/>
  <c r="P15" i="208"/>
  <c r="P18" i="208"/>
  <c r="P19" i="208"/>
  <c r="P20" i="208"/>
  <c r="P21" i="208"/>
  <c r="P22" i="208"/>
  <c r="P25" i="208"/>
  <c r="P26" i="208"/>
  <c r="P28" i="208"/>
  <c r="P29" i="208"/>
  <c r="P30" i="208"/>
  <c r="P31" i="208"/>
  <c r="P22" i="181"/>
  <c r="P25" i="269"/>
  <c r="P26" i="269"/>
  <c r="P27" i="269"/>
  <c r="P28" i="269"/>
  <c r="P21" i="269"/>
  <c r="P8" i="269"/>
  <c r="P9" i="269"/>
  <c r="P10" i="269"/>
  <c r="P11" i="269"/>
  <c r="P12" i="269"/>
  <c r="P13" i="269"/>
  <c r="P14" i="269"/>
  <c r="P7" i="278"/>
  <c r="P12" i="278"/>
  <c r="P13" i="278"/>
  <c r="P15" i="278"/>
  <c r="P16" i="278"/>
  <c r="P18" i="278"/>
  <c r="P19" i="278"/>
  <c r="P21" i="278"/>
  <c r="P22" i="278"/>
  <c r="P23" i="278"/>
  <c r="P33" i="278"/>
  <c r="P34" i="278"/>
  <c r="P35" i="278"/>
  <c r="P36" i="278"/>
  <c r="P37" i="278"/>
  <c r="P38" i="278"/>
  <c r="P43" i="278"/>
  <c r="P45" i="278"/>
  <c r="P46" i="278"/>
  <c r="P47" i="278"/>
  <c r="P48" i="278"/>
  <c r="P49" i="278"/>
  <c r="P50" i="278"/>
  <c r="P52" i="278"/>
  <c r="P53" i="278"/>
  <c r="P54" i="278"/>
  <c r="P55" i="278"/>
  <c r="P56" i="278"/>
  <c r="P39" i="210"/>
  <c r="P40" i="210"/>
  <c r="P41" i="210"/>
  <c r="P19" i="210"/>
  <c r="P17" i="210"/>
  <c r="P18" i="210"/>
  <c r="P41" i="268"/>
  <c r="P42" i="268"/>
  <c r="P31" i="268"/>
  <c r="P14" i="268"/>
  <c r="P15" i="268"/>
  <c r="P16" i="268"/>
  <c r="P11" i="268"/>
  <c r="P49" i="268"/>
  <c r="P51" i="268"/>
  <c r="P52" i="268"/>
  <c r="P53" i="268"/>
  <c r="P34" i="268"/>
  <c r="P35" i="268"/>
  <c r="P37" i="268"/>
  <c r="P38" i="268"/>
  <c r="P39" i="268"/>
  <c r="P40" i="268"/>
  <c r="P43" i="268"/>
  <c r="P45" i="268"/>
  <c r="P6" i="268"/>
  <c r="P8" i="268"/>
  <c r="P9" i="268"/>
  <c r="P13" i="268"/>
  <c r="P17" i="268"/>
  <c r="P18" i="268"/>
  <c r="P22" i="268"/>
  <c r="P27" i="268"/>
  <c r="P28" i="268"/>
  <c r="P29" i="268"/>
  <c r="P30" i="268"/>
  <c r="P43" i="167"/>
  <c r="P44" i="167"/>
  <c r="P29" i="167"/>
  <c r="P30" i="167"/>
  <c r="P31" i="167"/>
  <c r="P20" i="167"/>
  <c r="P21" i="167"/>
  <c r="P14" i="167"/>
  <c r="P11" i="167"/>
  <c r="P53" i="167"/>
  <c r="P54" i="167"/>
  <c r="P7" i="167"/>
  <c r="P9" i="167"/>
  <c r="P10" i="167"/>
  <c r="P12" i="167"/>
  <c r="P13" i="167"/>
  <c r="P15" i="167"/>
  <c r="P16" i="167"/>
  <c r="P17" i="167"/>
  <c r="P18" i="167"/>
  <c r="P22" i="167"/>
  <c r="P24" i="167"/>
  <c r="P26" i="167"/>
  <c r="P27" i="167"/>
  <c r="P28" i="167"/>
  <c r="P32" i="167"/>
  <c r="P36" i="167"/>
  <c r="P37" i="167"/>
  <c r="P38" i="167"/>
  <c r="P39" i="167"/>
  <c r="P40" i="167"/>
  <c r="P42" i="167"/>
  <c r="P45" i="167"/>
  <c r="P46" i="167"/>
  <c r="P47" i="167"/>
  <c r="P16" i="258"/>
  <c r="P6" i="258"/>
  <c r="P7" i="258"/>
  <c r="P8" i="258"/>
  <c r="P9" i="258"/>
  <c r="P10" i="258"/>
  <c r="P11" i="258"/>
  <c r="P12" i="258"/>
  <c r="N58" i="310"/>
  <c r="N31" i="310"/>
  <c r="N20" i="310"/>
  <c r="N21" i="310"/>
  <c r="N13" i="310"/>
  <c r="N14" i="310"/>
  <c r="N8" i="310"/>
  <c r="N44" i="310"/>
  <c r="N45" i="310"/>
  <c r="N46" i="310"/>
  <c r="N50" i="310"/>
  <c r="N51" i="310"/>
  <c r="N53" i="310"/>
  <c r="N54" i="310"/>
  <c r="N55" i="310"/>
  <c r="N57" i="310"/>
  <c r="N62" i="310"/>
  <c r="N63" i="310"/>
  <c r="N66" i="310"/>
  <c r="N27" i="310"/>
  <c r="N28" i="310"/>
  <c r="N29" i="310"/>
  <c r="N30" i="310"/>
  <c r="N34" i="310"/>
  <c r="N36" i="310"/>
  <c r="N40" i="310"/>
  <c r="N42" i="310"/>
  <c r="N43" i="310"/>
  <c r="N6" i="310"/>
  <c r="N7" i="310"/>
  <c r="N12" i="310"/>
  <c r="N17" i="310"/>
  <c r="N18" i="310"/>
  <c r="N19" i="310"/>
  <c r="N22" i="310"/>
  <c r="N26" i="310"/>
  <c r="P23" i="172"/>
  <c r="P24" i="172"/>
  <c r="P25" i="172"/>
  <c r="P26" i="172"/>
  <c r="P27" i="172"/>
  <c r="P28" i="172"/>
  <c r="P14" i="172"/>
  <c r="P6" i="172"/>
  <c r="P7" i="172"/>
  <c r="P8" i="172"/>
  <c r="P9" i="172"/>
  <c r="P10" i="172"/>
  <c r="P13" i="172"/>
  <c r="P15" i="172"/>
  <c r="P16" i="172"/>
  <c r="P17" i="172"/>
  <c r="P18" i="172"/>
  <c r="P19" i="172"/>
  <c r="P30" i="172"/>
  <c r="P33" i="172"/>
  <c r="P34" i="172"/>
  <c r="P35" i="172"/>
  <c r="P36" i="172"/>
  <c r="P5" i="172"/>
  <c r="P23" i="288"/>
  <c r="P24" i="288"/>
  <c r="P6" i="288"/>
  <c r="P7" i="288"/>
  <c r="P8" i="288"/>
  <c r="P9" i="288"/>
  <c r="P10" i="288"/>
  <c r="P11" i="288"/>
  <c r="P12" i="288"/>
  <c r="P13" i="288"/>
  <c r="P14" i="288"/>
  <c r="P15" i="288"/>
  <c r="P16" i="288"/>
  <c r="P18" i="288"/>
  <c r="P19" i="288"/>
  <c r="P20" i="288"/>
  <c r="P21" i="288"/>
  <c r="P22" i="288"/>
  <c r="P25" i="288"/>
  <c r="P26" i="288"/>
  <c r="P27" i="288"/>
  <c r="P30" i="288"/>
  <c r="P32" i="288"/>
  <c r="P33" i="288"/>
  <c r="P34" i="288"/>
  <c r="P35" i="288"/>
  <c r="P36" i="288"/>
  <c r="P37" i="288"/>
  <c r="P38" i="288"/>
  <c r="P41" i="288"/>
  <c r="P42" i="288"/>
  <c r="P43" i="288"/>
  <c r="P44" i="288"/>
  <c r="P45" i="288"/>
  <c r="P46" i="288"/>
  <c r="P47" i="288"/>
  <c r="P48" i="288"/>
  <c r="P49" i="288"/>
  <c r="P50" i="288"/>
  <c r="P51" i="288"/>
  <c r="P52" i="288"/>
  <c r="P53" i="288"/>
  <c r="P54" i="288"/>
  <c r="P55" i="288"/>
  <c r="P19" i="258"/>
  <c r="P20" i="258"/>
  <c r="P21" i="258"/>
  <c r="P22" i="258"/>
  <c r="P27" i="258"/>
  <c r="P29" i="258"/>
  <c r="P30" i="258"/>
  <c r="P31" i="258"/>
  <c r="P32" i="258"/>
  <c r="P33" i="258"/>
  <c r="P34" i="258"/>
  <c r="P35" i="258"/>
  <c r="P36" i="258"/>
  <c r="P37" i="258"/>
  <c r="P38" i="258"/>
  <c r="P39" i="258"/>
  <c r="P40" i="258"/>
  <c r="P41" i="258"/>
  <c r="P42" i="258"/>
  <c r="P43" i="258"/>
  <c r="P44" i="258"/>
  <c r="P45" i="258"/>
  <c r="P46" i="258"/>
  <c r="P47" i="258"/>
  <c r="P48" i="258"/>
  <c r="P49" i="258"/>
  <c r="P50" i="258"/>
  <c r="P51" i="258"/>
  <c r="P52" i="258"/>
  <c r="P53" i="258"/>
  <c r="P54" i="258"/>
  <c r="P55" i="258"/>
  <c r="P56" i="258"/>
  <c r="P5" i="258"/>
  <c r="P14" i="258"/>
  <c r="P15" i="258"/>
  <c r="P26" i="140"/>
  <c r="P27" i="140"/>
  <c r="P28" i="140"/>
  <c r="P15" i="140"/>
  <c r="P16" i="140"/>
  <c r="P17" i="140"/>
  <c r="P9" i="140"/>
  <c r="P10" i="140"/>
  <c r="P7" i="140"/>
  <c r="P8" i="140"/>
  <c r="P11" i="140"/>
  <c r="P12" i="140"/>
  <c r="P14" i="140"/>
  <c r="P18" i="140"/>
  <c r="P23" i="140"/>
  <c r="P24" i="140"/>
  <c r="P25" i="140"/>
  <c r="P29" i="140"/>
  <c r="P31" i="140"/>
  <c r="P32" i="140"/>
  <c r="P33" i="140"/>
  <c r="P34" i="140"/>
  <c r="P35" i="140"/>
  <c r="P36" i="140"/>
  <c r="P37" i="140"/>
  <c r="P38" i="140"/>
  <c r="P39" i="140"/>
  <c r="P40" i="140"/>
  <c r="P41" i="140"/>
  <c r="P42" i="140"/>
  <c r="P43" i="140"/>
  <c r="P5" i="140"/>
  <c r="P24" i="173"/>
  <c r="P6" i="173"/>
  <c r="P14" i="173"/>
  <c r="P16" i="173"/>
  <c r="P19" i="173"/>
  <c r="P20" i="173"/>
  <c r="P21" i="173"/>
  <c r="P22" i="173"/>
  <c r="P23" i="173"/>
  <c r="P26" i="173"/>
  <c r="P27" i="173"/>
  <c r="P28" i="173"/>
  <c r="P32" i="173"/>
  <c r="P33" i="173"/>
  <c r="P35" i="173"/>
  <c r="P36" i="173"/>
  <c r="P37" i="173"/>
  <c r="P38" i="173"/>
  <c r="P39" i="173"/>
  <c r="P40" i="173"/>
  <c r="P42" i="173"/>
  <c r="P43" i="173"/>
  <c r="P44" i="173"/>
  <c r="P47" i="173"/>
  <c r="P48" i="173"/>
  <c r="P54" i="173"/>
  <c r="P55" i="173"/>
  <c r="P56" i="173"/>
  <c r="P58" i="173"/>
  <c r="P28" i="175"/>
  <c r="P25" i="175"/>
  <c r="P6" i="175"/>
  <c r="P10" i="175"/>
  <c r="P11" i="175"/>
  <c r="P12" i="175"/>
  <c r="P13" i="175"/>
  <c r="P14" i="175"/>
  <c r="P16" i="175"/>
  <c r="P45" i="175"/>
  <c r="P46" i="175"/>
  <c r="P47" i="175"/>
  <c r="P48" i="175"/>
  <c r="P49" i="175"/>
  <c r="P20" i="175"/>
  <c r="P21" i="175"/>
  <c r="P22" i="175"/>
  <c r="P23" i="175"/>
  <c r="P27" i="175"/>
  <c r="P30" i="175"/>
  <c r="P32" i="175"/>
  <c r="P33" i="175"/>
  <c r="P34" i="175"/>
  <c r="P35" i="175"/>
  <c r="P36" i="175"/>
  <c r="P37" i="175"/>
  <c r="P5" i="175"/>
  <c r="P49" i="240"/>
  <c r="P50" i="240"/>
  <c r="P36" i="240"/>
  <c r="P28" i="240"/>
  <c r="P29" i="240"/>
  <c r="P30" i="240"/>
  <c r="P7" i="240"/>
  <c r="P11" i="240"/>
  <c r="P12" i="240"/>
  <c r="P13" i="240"/>
  <c r="P14" i="240"/>
  <c r="P6" i="240"/>
  <c r="P16" i="240"/>
  <c r="P17" i="240"/>
  <c r="P18" i="240"/>
  <c r="P19" i="240"/>
  <c r="P20" i="240"/>
  <c r="P22" i="240"/>
  <c r="P23" i="240"/>
  <c r="P24" i="240"/>
  <c r="P25" i="240"/>
  <c r="P26" i="240"/>
  <c r="P27" i="240"/>
  <c r="P31" i="240"/>
  <c r="P33" i="240"/>
  <c r="P37" i="240"/>
  <c r="P39" i="240"/>
  <c r="P40" i="240"/>
  <c r="P41" i="240"/>
  <c r="P42" i="240"/>
  <c r="P43" i="240"/>
  <c r="P44" i="240"/>
  <c r="P45" i="240"/>
  <c r="P46" i="240"/>
  <c r="P47" i="240"/>
  <c r="P48" i="240"/>
  <c r="P51" i="240"/>
  <c r="P52" i="240"/>
  <c r="P53" i="240"/>
  <c r="P54" i="240"/>
  <c r="P55" i="240"/>
  <c r="P27" i="299"/>
  <c r="P13" i="299"/>
  <c r="P15" i="299"/>
  <c r="P6" i="299"/>
  <c r="P8" i="299"/>
  <c r="P9" i="299"/>
  <c r="P10" i="299"/>
  <c r="P12" i="299"/>
  <c r="P16" i="299"/>
  <c r="P17" i="299"/>
  <c r="P18" i="299"/>
  <c r="P19" i="299"/>
  <c r="P20" i="299"/>
  <c r="P21" i="299"/>
  <c r="P22" i="299"/>
  <c r="P24" i="299"/>
  <c r="P25" i="299"/>
  <c r="P26" i="299"/>
  <c r="P28" i="299"/>
  <c r="P29" i="299"/>
  <c r="P30" i="299"/>
  <c r="P31" i="299"/>
  <c r="P32" i="299"/>
  <c r="P34" i="299"/>
  <c r="P44" i="299"/>
  <c r="P45" i="299"/>
  <c r="P46" i="299"/>
  <c r="P47" i="299"/>
  <c r="P48" i="299"/>
  <c r="P49" i="299"/>
  <c r="P14" i="182"/>
  <c r="P8" i="182"/>
  <c r="P40" i="147"/>
  <c r="P28" i="147"/>
  <c r="P25" i="147"/>
  <c r="P20" i="147"/>
  <c r="P21" i="147"/>
  <c r="P15" i="147"/>
  <c r="P6" i="147"/>
  <c r="P7" i="147"/>
  <c r="P8" i="147"/>
  <c r="P9" i="147"/>
  <c r="P12" i="147"/>
  <c r="P46" i="147"/>
  <c r="P47" i="147"/>
  <c r="P48" i="147"/>
  <c r="P49" i="147"/>
  <c r="P50" i="147"/>
  <c r="P51" i="147"/>
  <c r="P52" i="147"/>
  <c r="P53" i="147"/>
  <c r="P54" i="147"/>
  <c r="P18" i="147"/>
  <c r="P19" i="147"/>
  <c r="P22" i="147"/>
  <c r="P24" i="147"/>
  <c r="P26" i="147"/>
  <c r="P26" i="197"/>
  <c r="P16" i="197"/>
  <c r="P17" i="197"/>
  <c r="P13" i="197"/>
  <c r="P8" i="197"/>
  <c r="P7" i="197"/>
  <c r="P10" i="197"/>
  <c r="P12" i="197"/>
  <c r="P14" i="197"/>
  <c r="P15" i="197"/>
  <c r="P19" i="197"/>
  <c r="P20" i="197"/>
  <c r="P21" i="197"/>
  <c r="P22" i="197"/>
  <c r="P24" i="197"/>
  <c r="P25" i="197"/>
  <c r="P28" i="197"/>
  <c r="P34" i="197"/>
  <c r="P35" i="197"/>
  <c r="P36" i="197"/>
  <c r="P40" i="197"/>
  <c r="P41" i="197"/>
  <c r="P42" i="197"/>
  <c r="P43" i="197"/>
  <c r="P44" i="197"/>
  <c r="P45" i="197"/>
  <c r="P46" i="197"/>
  <c r="P47" i="197"/>
  <c r="P48" i="197"/>
  <c r="P49" i="197"/>
  <c r="P50" i="197"/>
  <c r="P51" i="197"/>
  <c r="P52" i="197"/>
  <c r="P53" i="197"/>
  <c r="P54" i="197"/>
  <c r="P55" i="197"/>
  <c r="P24" i="180"/>
  <c r="P25" i="180"/>
  <c r="P26" i="180"/>
  <c r="P10" i="180"/>
  <c r="P12" i="180"/>
  <c r="P7" i="180"/>
  <c r="P9" i="180"/>
  <c r="P13" i="180"/>
  <c r="P14" i="180"/>
  <c r="P16" i="180"/>
  <c r="P18" i="180"/>
  <c r="P19" i="180"/>
  <c r="P20" i="180"/>
  <c r="P21" i="180"/>
  <c r="P22" i="180"/>
  <c r="P23" i="180"/>
  <c r="P28" i="180"/>
  <c r="P31" i="180"/>
  <c r="P32" i="180"/>
  <c r="P35" i="180"/>
  <c r="P37" i="180"/>
  <c r="P40" i="180"/>
  <c r="P41" i="180"/>
  <c r="P42" i="180"/>
  <c r="P43" i="180"/>
  <c r="P45" i="180"/>
  <c r="P46" i="180"/>
  <c r="P48" i="180"/>
  <c r="P5" i="180"/>
  <c r="P6" i="180"/>
  <c r="P41" i="279"/>
  <c r="P27" i="279"/>
  <c r="P23" i="279"/>
  <c r="P8" i="279"/>
  <c r="P9" i="279"/>
  <c r="P6" i="279"/>
  <c r="P7" i="279"/>
  <c r="P12" i="279"/>
  <c r="P13" i="279"/>
  <c r="P14" i="279"/>
  <c r="P15" i="279"/>
  <c r="P16" i="279"/>
  <c r="P17" i="279"/>
  <c r="P18" i="279"/>
  <c r="P19" i="279"/>
  <c r="P20" i="279"/>
  <c r="P21" i="279"/>
  <c r="P22" i="279"/>
  <c r="P24" i="279"/>
  <c r="P25" i="279"/>
  <c r="P26" i="279"/>
  <c r="P29" i="279"/>
  <c r="P30" i="279"/>
  <c r="P31" i="279"/>
  <c r="P32" i="279"/>
  <c r="P33" i="279"/>
  <c r="P34" i="279"/>
  <c r="P35" i="279"/>
  <c r="P36" i="279"/>
  <c r="P38" i="279"/>
  <c r="P39" i="279"/>
  <c r="P40" i="279"/>
  <c r="P42" i="279"/>
  <c r="P43" i="279"/>
  <c r="P44" i="279"/>
  <c r="P45" i="279"/>
  <c r="P46" i="279"/>
  <c r="P48" i="279"/>
  <c r="P49" i="279"/>
  <c r="P43" i="206"/>
  <c r="P6" i="206"/>
  <c r="P10" i="206"/>
  <c r="P11" i="206"/>
  <c r="P12" i="206"/>
  <c r="P15" i="206"/>
  <c r="P16" i="206"/>
  <c r="P17" i="206"/>
  <c r="P18" i="206"/>
  <c r="P19" i="206"/>
  <c r="P20" i="206"/>
  <c r="P23" i="206"/>
  <c r="P24" i="206"/>
  <c r="P25" i="206"/>
  <c r="P27" i="206"/>
  <c r="P28" i="206"/>
  <c r="P29" i="206"/>
  <c r="P30" i="206"/>
  <c r="P31" i="206"/>
  <c r="P32" i="206"/>
  <c r="P39" i="206"/>
  <c r="P40" i="206"/>
  <c r="P41" i="206"/>
  <c r="P42" i="206"/>
  <c r="P44" i="165"/>
  <c r="P33" i="165"/>
  <c r="P34" i="165"/>
  <c r="P35" i="165"/>
  <c r="P30" i="165"/>
  <c r="P18" i="165"/>
  <c r="P9" i="165"/>
  <c r="P42" i="155"/>
  <c r="P43" i="155"/>
  <c r="P44" i="155"/>
  <c r="P45" i="155"/>
  <c r="P46" i="155"/>
  <c r="P47" i="155"/>
  <c r="P48" i="155"/>
  <c r="P49" i="155"/>
  <c r="P10" i="280"/>
  <c r="P11" i="280"/>
  <c r="P50" i="280"/>
  <c r="P6" i="280"/>
  <c r="P7" i="280"/>
  <c r="P8" i="280"/>
  <c r="P9" i="280"/>
  <c r="P12" i="280"/>
  <c r="P14" i="280"/>
  <c r="P15" i="280"/>
  <c r="P16" i="280"/>
  <c r="P17" i="280"/>
  <c r="P18" i="280"/>
  <c r="P19" i="280"/>
  <c r="P23" i="280"/>
  <c r="P24" i="280"/>
  <c r="P25" i="280"/>
  <c r="P30" i="280"/>
  <c r="P31" i="280"/>
  <c r="P32" i="280"/>
  <c r="P33" i="280"/>
  <c r="P34" i="280"/>
  <c r="P35" i="280"/>
  <c r="P36" i="280"/>
  <c r="P37" i="280"/>
  <c r="P38" i="280"/>
  <c r="P39" i="280"/>
  <c r="P40" i="280"/>
  <c r="P41" i="280"/>
  <c r="P42" i="280"/>
  <c r="P43" i="280"/>
  <c r="P44" i="280"/>
  <c r="P45" i="280"/>
  <c r="P46" i="280"/>
  <c r="P49" i="280"/>
  <c r="P29" i="162"/>
  <c r="P6" i="162"/>
  <c r="P7" i="162"/>
  <c r="P10" i="162"/>
  <c r="P12" i="162"/>
  <c r="P13" i="162"/>
  <c r="P15" i="162"/>
  <c r="P16" i="162"/>
  <c r="P17" i="162"/>
  <c r="P18" i="162"/>
  <c r="P21" i="162"/>
  <c r="P23" i="162"/>
  <c r="P24" i="162"/>
  <c r="P25" i="162"/>
  <c r="P26" i="162"/>
  <c r="P31" i="162"/>
  <c r="P32" i="162"/>
  <c r="P33" i="162"/>
  <c r="P38" i="162"/>
  <c r="P40" i="162"/>
  <c r="P41" i="162"/>
  <c r="P42" i="162"/>
  <c r="P43" i="162"/>
  <c r="P5" i="162"/>
  <c r="P44" i="200"/>
  <c r="P29" i="200"/>
  <c r="P25" i="200"/>
  <c r="P17" i="200"/>
  <c r="P18" i="200"/>
  <c r="P10" i="200"/>
  <c r="P11" i="200"/>
  <c r="P12" i="200"/>
  <c r="P13" i="200"/>
  <c r="P6" i="200"/>
  <c r="P7" i="200"/>
  <c r="P5" i="200"/>
  <c r="P8" i="200"/>
  <c r="P9" i="200"/>
  <c r="P15" i="200"/>
  <c r="P16" i="200"/>
  <c r="P19" i="200"/>
  <c r="P20" i="200"/>
  <c r="P21" i="200"/>
  <c r="P22" i="200"/>
  <c r="P23" i="200"/>
  <c r="P24" i="200"/>
  <c r="P26" i="200"/>
  <c r="P27" i="200"/>
  <c r="P28" i="200"/>
  <c r="P30" i="200"/>
  <c r="P31" i="200"/>
  <c r="P32" i="200"/>
  <c r="P33" i="200"/>
  <c r="P34" i="200"/>
  <c r="P35" i="200"/>
  <c r="P37" i="200"/>
  <c r="P38" i="200"/>
  <c r="P29" i="239"/>
  <c r="P30" i="239"/>
  <c r="P8" i="239"/>
  <c r="P9" i="239"/>
  <c r="P10" i="239"/>
  <c r="P11" i="239"/>
  <c r="P12" i="239"/>
  <c r="P13" i="239"/>
  <c r="P14" i="239"/>
  <c r="P6" i="239"/>
  <c r="P7" i="239"/>
  <c r="P16" i="239"/>
  <c r="P18" i="239"/>
  <c r="P19" i="239"/>
  <c r="P20" i="239"/>
  <c r="P22" i="239"/>
  <c r="P23" i="239"/>
  <c r="P24" i="239"/>
  <c r="P25" i="239"/>
  <c r="P27" i="239"/>
  <c r="P31" i="239"/>
  <c r="P32" i="239"/>
  <c r="P33" i="239"/>
  <c r="P35" i="239"/>
  <c r="P37" i="239"/>
  <c r="P38" i="239"/>
  <c r="P39" i="239"/>
  <c r="P40" i="239"/>
  <c r="P41" i="239"/>
  <c r="P42" i="239"/>
  <c r="P43" i="239"/>
  <c r="P44" i="239"/>
  <c r="P45" i="239"/>
  <c r="P46" i="239"/>
  <c r="P47" i="239"/>
  <c r="P48" i="239"/>
  <c r="P49" i="239"/>
  <c r="P50" i="239"/>
  <c r="P51" i="239"/>
  <c r="P52" i="239"/>
  <c r="P53" i="239"/>
  <c r="P54" i="239"/>
  <c r="P55" i="239"/>
  <c r="P56" i="239"/>
  <c r="P57" i="239"/>
  <c r="P5" i="142"/>
  <c r="P8" i="142"/>
  <c r="P10" i="142"/>
  <c r="P12" i="142"/>
  <c r="P19" i="142"/>
  <c r="P20" i="142"/>
  <c r="P27" i="142"/>
  <c r="P28" i="142"/>
  <c r="P29" i="142"/>
  <c r="P30" i="142"/>
  <c r="P31" i="142"/>
  <c r="P32" i="142"/>
  <c r="P33" i="142"/>
  <c r="P34" i="142"/>
  <c r="P35" i="142"/>
  <c r="P36" i="142"/>
  <c r="P37" i="142"/>
  <c r="P42" i="142"/>
  <c r="P43" i="142"/>
  <c r="P44" i="142"/>
  <c r="P45" i="142"/>
  <c r="P46" i="142"/>
  <c r="P47" i="142"/>
  <c r="P6" i="148"/>
  <c r="P47" i="148"/>
  <c r="P48" i="148"/>
  <c r="P51" i="148"/>
  <c r="P52" i="148"/>
  <c r="P53" i="148"/>
  <c r="P54" i="148"/>
  <c r="P55" i="148"/>
  <c r="P6" i="178"/>
  <c r="P7" i="178"/>
  <c r="P14" i="152"/>
  <c r="P16" i="152"/>
  <c r="P18" i="152"/>
  <c r="P20" i="152"/>
  <c r="P21" i="152"/>
  <c r="P22" i="152"/>
  <c r="P28" i="152"/>
  <c r="P29" i="152"/>
  <c r="P30" i="152"/>
  <c r="P31" i="152"/>
  <c r="P34" i="152"/>
  <c r="P35" i="152"/>
  <c r="P36" i="152"/>
  <c r="P37" i="152"/>
  <c r="P38" i="152"/>
  <c r="P46" i="152"/>
  <c r="P22" i="164"/>
  <c r="P12" i="164"/>
  <c r="P9" i="164"/>
  <c r="P6" i="164"/>
  <c r="P7" i="164"/>
  <c r="P8" i="164"/>
  <c r="P10" i="164"/>
  <c r="P11" i="164"/>
  <c r="P14" i="164"/>
  <c r="P15" i="164"/>
  <c r="P16" i="164"/>
  <c r="P17" i="164"/>
  <c r="P18" i="164"/>
  <c r="P20" i="164"/>
  <c r="P21" i="164"/>
  <c r="P23" i="164"/>
  <c r="P25" i="164"/>
  <c r="P26" i="164"/>
  <c r="P27" i="164"/>
  <c r="P28" i="164"/>
  <c r="P29" i="164"/>
  <c r="P30" i="164"/>
  <c r="P31" i="164"/>
  <c r="P32" i="164"/>
  <c r="P33" i="164"/>
  <c r="P34" i="164"/>
  <c r="P35" i="164"/>
  <c r="P36" i="164"/>
  <c r="P37" i="164"/>
  <c r="P38" i="164"/>
  <c r="P39" i="164"/>
  <c r="P40" i="164"/>
  <c r="P41" i="164"/>
  <c r="P42" i="164"/>
  <c r="P43" i="164"/>
  <c r="P44" i="164"/>
  <c r="P45" i="164"/>
  <c r="P46" i="164"/>
  <c r="P6" i="265"/>
  <c r="P7" i="265"/>
  <c r="P15" i="265"/>
  <c r="P17" i="265"/>
  <c r="P19" i="265"/>
  <c r="P21" i="265"/>
  <c r="P22" i="265"/>
  <c r="P23" i="265"/>
  <c r="P29" i="265"/>
  <c r="P30" i="265"/>
  <c r="P31" i="265"/>
  <c r="P32" i="265"/>
  <c r="P33" i="265"/>
  <c r="P34" i="265"/>
  <c r="P35" i="265"/>
  <c r="P36" i="265"/>
  <c r="P37" i="265"/>
  <c r="P38" i="265"/>
  <c r="P39" i="265"/>
  <c r="P40" i="265"/>
  <c r="P41" i="265"/>
  <c r="P42" i="265"/>
  <c r="P43" i="265"/>
  <c r="P44" i="265"/>
  <c r="P48" i="265"/>
  <c r="P49" i="265"/>
  <c r="P51" i="265"/>
  <c r="P52" i="265"/>
  <c r="P53" i="265"/>
  <c r="P54" i="265"/>
  <c r="P9" i="137"/>
  <c r="P54" i="137"/>
  <c r="P7" i="230"/>
  <c r="P8" i="230"/>
  <c r="P10" i="230"/>
  <c r="P11" i="230"/>
  <c r="P17" i="230"/>
  <c r="P18" i="230"/>
  <c r="P19" i="230"/>
  <c r="P20" i="230"/>
  <c r="P21" i="230"/>
  <c r="P22" i="230"/>
  <c r="P23" i="230"/>
  <c r="P24" i="230"/>
  <c r="P25" i="230"/>
  <c r="P26" i="230"/>
  <c r="P27" i="230"/>
  <c r="P28" i="230"/>
  <c r="P29" i="230"/>
  <c r="P32" i="230"/>
  <c r="P33" i="230"/>
  <c r="P34" i="230"/>
  <c r="P35" i="230"/>
  <c r="P36" i="230"/>
  <c r="P37" i="230"/>
  <c r="P38" i="230"/>
  <c r="P39" i="230"/>
  <c r="P42" i="230"/>
  <c r="P43" i="230"/>
  <c r="P44" i="230"/>
  <c r="P45" i="230"/>
  <c r="P46" i="230"/>
  <c r="P47" i="230"/>
  <c r="P48" i="230"/>
  <c r="P49" i="230"/>
  <c r="P50" i="230"/>
  <c r="P51" i="230"/>
  <c r="P52" i="230"/>
  <c r="P53" i="230"/>
  <c r="P54" i="230"/>
  <c r="P55" i="230"/>
  <c r="P56" i="230"/>
  <c r="P7" i="134"/>
  <c r="P20" i="134"/>
  <c r="P21" i="134"/>
  <c r="P31" i="134"/>
  <c r="P32" i="134"/>
  <c r="P33" i="134"/>
  <c r="P34" i="134"/>
  <c r="P35" i="134"/>
  <c r="P37" i="134"/>
  <c r="P38" i="134"/>
  <c r="P39" i="134"/>
  <c r="P40" i="134"/>
  <c r="P41" i="134"/>
  <c r="P42" i="134"/>
  <c r="P44" i="134"/>
  <c r="P49" i="134"/>
  <c r="P50" i="134"/>
  <c r="P51" i="134"/>
  <c r="P54" i="134"/>
  <c r="P5" i="134"/>
  <c r="P6" i="255"/>
  <c r="P8" i="290"/>
  <c r="P9" i="290"/>
  <c r="P16" i="290"/>
  <c r="P28" i="290"/>
  <c r="P29" i="290"/>
  <c r="P31" i="290"/>
  <c r="P32" i="290"/>
  <c r="P33" i="290"/>
  <c r="P34" i="290"/>
  <c r="P35" i="290"/>
  <c r="P36" i="290"/>
  <c r="P37" i="290"/>
  <c r="P38" i="290"/>
  <c r="P39" i="290"/>
  <c r="P40" i="290"/>
  <c r="P32" i="179"/>
  <c r="P33" i="179"/>
  <c r="P14" i="305"/>
  <c r="P15" i="305"/>
  <c r="P16" i="305"/>
  <c r="P17" i="305"/>
  <c r="P18" i="305"/>
  <c r="P19" i="305"/>
  <c r="P20" i="305"/>
  <c r="P21" i="305"/>
  <c r="P22" i="305"/>
  <c r="P24" i="305"/>
  <c r="P60" i="305"/>
  <c r="P7" i="289"/>
  <c r="P47" i="297"/>
  <c r="P7" i="297"/>
  <c r="P8" i="297"/>
  <c r="P10" i="297"/>
  <c r="P12" i="297"/>
  <c r="P13" i="297"/>
  <c r="P14" i="297"/>
  <c r="P15" i="297"/>
  <c r="P6" i="144"/>
  <c r="P11" i="281"/>
  <c r="P13" i="281"/>
  <c r="P15" i="281"/>
  <c r="P18" i="281"/>
  <c r="P19" i="281"/>
  <c r="P20" i="281"/>
  <c r="P21" i="281"/>
  <c r="P24" i="281"/>
  <c r="P25" i="281"/>
  <c r="P26" i="281"/>
  <c r="P27" i="281"/>
  <c r="P28" i="281"/>
  <c r="P29" i="281"/>
  <c r="P30" i="281"/>
  <c r="P31" i="281"/>
  <c r="P32" i="281"/>
  <c r="P33" i="281"/>
  <c r="P34" i="281"/>
  <c r="P37" i="281"/>
  <c r="P38" i="281"/>
  <c r="P39" i="281"/>
  <c r="P40" i="281"/>
  <c r="P41" i="281"/>
  <c r="P6" i="281"/>
  <c r="P6" i="168"/>
  <c r="P7" i="168"/>
  <c r="P9" i="168"/>
  <c r="P10" i="168"/>
  <c r="P12" i="168"/>
  <c r="P13" i="168"/>
  <c r="P14" i="168"/>
  <c r="P16" i="168"/>
  <c r="P17" i="168"/>
  <c r="P18" i="168"/>
  <c r="P19" i="168"/>
  <c r="P25" i="168"/>
  <c r="P26" i="168"/>
  <c r="P27" i="168"/>
  <c r="P28" i="168"/>
  <c r="P29" i="168"/>
  <c r="P32" i="168"/>
  <c r="P33" i="168"/>
  <c r="P34" i="168"/>
  <c r="P35" i="168"/>
  <c r="P36" i="168"/>
  <c r="P37" i="168"/>
  <c r="P38" i="168"/>
  <c r="P39" i="168"/>
  <c r="P40" i="168"/>
  <c r="P41" i="168"/>
  <c r="P42" i="168"/>
  <c r="P43" i="168"/>
  <c r="P44" i="168"/>
  <c r="P45" i="168"/>
  <c r="P46" i="168"/>
  <c r="P47" i="168"/>
  <c r="P48" i="168"/>
  <c r="P49" i="168"/>
  <c r="P50" i="168"/>
  <c r="P51" i="168"/>
  <c r="P52" i="168"/>
  <c r="P53" i="168"/>
  <c r="P54" i="168"/>
  <c r="P55" i="168"/>
  <c r="P56" i="168"/>
  <c r="P57" i="168"/>
  <c r="P58" i="168"/>
  <c r="P59" i="168"/>
  <c r="P60" i="168"/>
  <c r="P61" i="168"/>
  <c r="P62" i="168"/>
  <c r="P63" i="168"/>
  <c r="P64" i="168"/>
  <c r="P65" i="168"/>
  <c r="P66" i="168"/>
  <c r="P67" i="168"/>
  <c r="P68" i="168"/>
  <c r="P69" i="168"/>
  <c r="P70" i="168"/>
  <c r="P71" i="168"/>
  <c r="P72" i="168"/>
  <c r="P73" i="168"/>
  <c r="P21" i="183"/>
  <c r="P22" i="183"/>
  <c r="P23" i="183"/>
  <c r="P24" i="183"/>
  <c r="P32" i="183"/>
  <c r="P33" i="183"/>
  <c r="P36" i="183"/>
  <c r="P37" i="183"/>
  <c r="P39" i="183"/>
  <c r="P40" i="183"/>
  <c r="P41" i="183"/>
  <c r="P43" i="183"/>
  <c r="P47" i="183"/>
  <c r="P51" i="183"/>
  <c r="P52" i="183"/>
  <c r="P53" i="183"/>
  <c r="P54" i="183"/>
  <c r="P55" i="183"/>
  <c r="P56" i="183"/>
  <c r="P57" i="183"/>
  <c r="P58" i="183"/>
  <c r="P59" i="183"/>
  <c r="P60" i="183"/>
  <c r="P61" i="183"/>
  <c r="P62" i="183"/>
  <c r="P5" i="183"/>
  <c r="P6" i="183"/>
  <c r="P7" i="183"/>
  <c r="P6" i="269"/>
  <c r="P7" i="269"/>
  <c r="P15" i="269"/>
  <c r="P16" i="269"/>
  <c r="P17" i="269"/>
  <c r="P18" i="269"/>
  <c r="P19" i="269"/>
  <c r="P20" i="269"/>
  <c r="P24" i="269"/>
  <c r="P29" i="269"/>
  <c r="P30" i="269"/>
  <c r="P31" i="269"/>
  <c r="P32" i="269"/>
  <c r="P33" i="269"/>
  <c r="P34" i="269"/>
  <c r="P35" i="269"/>
  <c r="P36" i="269"/>
  <c r="P37" i="269"/>
  <c r="P38" i="269"/>
  <c r="P39" i="269"/>
  <c r="P40" i="269"/>
  <c r="P41" i="269"/>
  <c r="P42" i="269"/>
  <c r="P43" i="269"/>
  <c r="P44" i="269"/>
  <c r="P46" i="269"/>
  <c r="P47" i="269"/>
  <c r="P48" i="269"/>
  <c r="P49" i="269"/>
  <c r="P50" i="269"/>
  <c r="P51" i="269"/>
  <c r="P52" i="269"/>
  <c r="P53" i="269"/>
  <c r="P54" i="269"/>
  <c r="P56" i="269"/>
  <c r="P57" i="269"/>
  <c r="P58" i="269"/>
  <c r="P11" i="153"/>
  <c r="P14" i="153"/>
  <c r="P15" i="153"/>
  <c r="P16" i="153"/>
  <c r="P17" i="153"/>
  <c r="P18" i="153"/>
  <c r="P19" i="153"/>
  <c r="P20" i="153"/>
  <c r="P21" i="153"/>
  <c r="P22" i="153"/>
  <c r="P23" i="153"/>
  <c r="P24" i="153"/>
  <c r="P25" i="153"/>
  <c r="P26" i="153"/>
  <c r="P27" i="153"/>
  <c r="P28" i="153"/>
  <c r="P29" i="153"/>
  <c r="P30" i="153"/>
  <c r="P31" i="153"/>
  <c r="P32" i="153"/>
  <c r="P33" i="153"/>
  <c r="P34" i="153"/>
  <c r="P35" i="153"/>
  <c r="P36" i="153"/>
  <c r="P37" i="153"/>
  <c r="P38" i="153"/>
  <c r="P39" i="153"/>
  <c r="P40" i="153"/>
  <c r="P41" i="153"/>
  <c r="P42" i="153"/>
  <c r="P43" i="153"/>
  <c r="P44" i="153"/>
  <c r="P45" i="153"/>
  <c r="P46" i="153"/>
  <c r="P47" i="153"/>
  <c r="P48" i="153"/>
  <c r="P49" i="153"/>
  <c r="P50" i="153"/>
  <c r="P51" i="153"/>
  <c r="P52" i="153"/>
  <c r="P53" i="153"/>
  <c r="P54" i="153"/>
  <c r="P5" i="153"/>
  <c r="P51" i="181"/>
  <c r="P33" i="181"/>
  <c r="P26" i="181"/>
  <c r="P5" i="181"/>
  <c r="P32" i="208"/>
  <c r="P33" i="208"/>
  <c r="P35" i="208"/>
  <c r="P37" i="208"/>
  <c r="P17" i="258"/>
  <c r="P18" i="258"/>
  <c r="P46" i="268"/>
  <c r="P47" i="268"/>
  <c r="P48" i="268"/>
  <c r="P54" i="268"/>
  <c r="P55" i="268"/>
  <c r="P56" i="268"/>
  <c r="P57" i="268"/>
  <c r="P58" i="268"/>
  <c r="P59" i="268"/>
  <c r="P60" i="268"/>
  <c r="P61" i="268"/>
  <c r="P6" i="167"/>
  <c r="P48" i="167"/>
  <c r="P55" i="167"/>
  <c r="P56" i="167"/>
  <c r="P57" i="167"/>
  <c r="P58" i="167"/>
  <c r="P59" i="167"/>
  <c r="P60" i="167"/>
  <c r="P61" i="167"/>
  <c r="P62" i="167"/>
  <c r="P63" i="167"/>
  <c r="P41" i="172"/>
  <c r="P42" i="172"/>
  <c r="P43" i="172"/>
  <c r="P44" i="172"/>
  <c r="P45" i="172"/>
  <c r="P46" i="172"/>
  <c r="P47" i="172"/>
  <c r="P48" i="172"/>
  <c r="P17" i="175"/>
  <c r="P18" i="175"/>
  <c r="P19" i="175"/>
  <c r="P40" i="175"/>
  <c r="P41" i="175"/>
  <c r="P42" i="175"/>
  <c r="P43" i="175"/>
  <c r="P44" i="175"/>
  <c r="P6" i="140"/>
  <c r="P44" i="140"/>
  <c r="P45" i="140"/>
  <c r="P49" i="140"/>
  <c r="P50" i="140"/>
  <c r="P51" i="140"/>
  <c r="P52" i="140"/>
  <c r="P53" i="140"/>
  <c r="P54" i="140"/>
  <c r="P55" i="140"/>
  <c r="P56" i="140"/>
  <c r="P57" i="140"/>
  <c r="P58" i="140"/>
  <c r="P59" i="140"/>
  <c r="P7" i="182"/>
  <c r="P10" i="182"/>
  <c r="P11" i="182"/>
  <c r="P12" i="182"/>
  <c r="P13" i="182"/>
  <c r="P16" i="182"/>
  <c r="P17" i="182"/>
  <c r="P18" i="182"/>
  <c r="P19" i="182"/>
  <c r="P20" i="182"/>
  <c r="P21" i="182"/>
  <c r="P22" i="182"/>
  <c r="P25" i="182"/>
  <c r="P26" i="182"/>
  <c r="P27" i="182"/>
  <c r="P28" i="182"/>
  <c r="P32" i="182"/>
  <c r="P33" i="182"/>
  <c r="P34" i="182"/>
  <c r="P35" i="182"/>
  <c r="P36" i="182"/>
  <c r="P37" i="182"/>
  <c r="P38" i="182"/>
  <c r="P39" i="182"/>
  <c r="P40" i="182"/>
  <c r="P41" i="182"/>
  <c r="P42" i="147"/>
  <c r="P43" i="147"/>
  <c r="P44" i="147"/>
  <c r="P45" i="147"/>
  <c r="P6" i="165"/>
  <c r="P7" i="165"/>
  <c r="P8" i="165"/>
  <c r="P11" i="165"/>
  <c r="P15" i="165"/>
  <c r="P16" i="165"/>
  <c r="P17" i="165"/>
  <c r="P20" i="165"/>
  <c r="P21" i="165"/>
  <c r="P22" i="165"/>
  <c r="P23" i="165"/>
  <c r="P24" i="165"/>
  <c r="P25" i="165"/>
  <c r="P27" i="165"/>
  <c r="P28" i="165"/>
  <c r="P29" i="165"/>
  <c r="P32" i="165"/>
  <c r="P38" i="165"/>
  <c r="P39" i="165"/>
  <c r="P40" i="165"/>
  <c r="P41" i="165"/>
  <c r="P42" i="165"/>
  <c r="P43" i="165"/>
  <c r="P45" i="165"/>
  <c r="P46" i="165"/>
  <c r="P47" i="165"/>
  <c r="P50" i="165"/>
  <c r="P51" i="165"/>
  <c r="P52" i="165"/>
  <c r="P53" i="165"/>
  <c r="P54" i="165"/>
  <c r="P55" i="165"/>
  <c r="P56" i="165"/>
  <c r="P5" i="177"/>
  <c r="P41" i="170"/>
  <c r="P8" i="170"/>
  <c r="P9" i="170"/>
  <c r="P13" i="170"/>
  <c r="P17" i="170"/>
  <c r="P22" i="170"/>
  <c r="P23" i="170"/>
  <c r="P24" i="170"/>
  <c r="P25" i="170"/>
  <c r="P26" i="170"/>
  <c r="P34" i="170"/>
  <c r="P35" i="170"/>
  <c r="P36" i="170"/>
  <c r="P37" i="170"/>
  <c r="P38" i="170"/>
  <c r="P47" i="132"/>
  <c r="P48" i="132"/>
  <c r="P49" i="132"/>
  <c r="P50" i="132"/>
  <c r="P6" i="127"/>
  <c r="P9" i="127"/>
  <c r="P10" i="127"/>
  <c r="P13" i="127"/>
  <c r="P15" i="127"/>
  <c r="P16" i="127"/>
  <c r="P19" i="127"/>
  <c r="P24" i="127"/>
  <c r="P30" i="127"/>
  <c r="P31" i="127"/>
  <c r="P36" i="127"/>
  <c r="P37" i="127"/>
  <c r="P38" i="127"/>
  <c r="P42" i="127"/>
  <c r="P43" i="127"/>
  <c r="P44" i="127"/>
  <c r="P45" i="127"/>
  <c r="P46" i="127"/>
  <c r="P47" i="127"/>
  <c r="P44" i="138"/>
  <c r="P6" i="254"/>
  <c r="P14" i="254"/>
  <c r="P19" i="254"/>
  <c r="P20" i="254"/>
  <c r="P21" i="254"/>
  <c r="P22" i="254"/>
  <c r="P51" i="254"/>
  <c r="P52" i="254"/>
  <c r="P53" i="254"/>
  <c r="P54" i="254"/>
  <c r="P55" i="254"/>
  <c r="P56" i="254"/>
  <c r="P58" i="254"/>
  <c r="P59" i="254"/>
  <c r="P20" i="261"/>
  <c r="P35" i="261"/>
  <c r="P48" i="261"/>
  <c r="P49" i="261"/>
  <c r="P54" i="261"/>
  <c r="P55" i="261"/>
  <c r="P56" i="261"/>
  <c r="P57" i="261"/>
  <c r="P58" i="261"/>
  <c r="P49" i="161"/>
  <c r="P36" i="198"/>
  <c r="P37" i="198"/>
  <c r="P38" i="198"/>
  <c r="P39" i="198"/>
  <c r="P58" i="259"/>
  <c r="P38" i="154"/>
  <c r="P39" i="154"/>
  <c r="P42" i="154"/>
  <c r="P43" i="154"/>
  <c r="P44" i="154"/>
  <c r="P45" i="154"/>
  <c r="P46" i="154"/>
  <c r="P47" i="154"/>
  <c r="P48" i="154"/>
  <c r="P49" i="154"/>
  <c r="P50" i="154"/>
  <c r="P51" i="154"/>
  <c r="P52" i="154"/>
  <c r="P53" i="154"/>
  <c r="P54" i="154"/>
  <c r="P55" i="154"/>
  <c r="P56" i="154"/>
  <c r="P15" i="194"/>
  <c r="P18" i="194"/>
  <c r="P51" i="194"/>
  <c r="P52" i="194"/>
  <c r="P53" i="194"/>
  <c r="P54" i="194"/>
  <c r="P55" i="194"/>
  <c r="P56" i="194"/>
  <c r="P57" i="194"/>
  <c r="P6" i="256"/>
  <c r="P7" i="256"/>
  <c r="P18" i="256"/>
  <c r="P19" i="256"/>
  <c r="P21" i="256"/>
  <c r="P22" i="256"/>
  <c r="P23" i="256"/>
  <c r="P24" i="256"/>
  <c r="P25" i="256"/>
  <c r="P26" i="256"/>
  <c r="P44" i="256"/>
  <c r="P45" i="256"/>
  <c r="P46" i="256"/>
  <c r="P47" i="256"/>
  <c r="P50" i="256"/>
  <c r="P51" i="256"/>
  <c r="P6" i="150"/>
  <c r="P9" i="150"/>
  <c r="P11" i="150"/>
  <c r="P13" i="150"/>
  <c r="P14" i="150"/>
  <c r="P15" i="150"/>
  <c r="P16" i="150"/>
  <c r="P17" i="150"/>
  <c r="P18" i="150"/>
  <c r="P22" i="150"/>
  <c r="P26" i="150"/>
  <c r="P27" i="150"/>
  <c r="P28" i="150"/>
  <c r="P29" i="150"/>
  <c r="P30" i="150"/>
  <c r="P32" i="150"/>
  <c r="P33" i="150"/>
  <c r="P34" i="150"/>
  <c r="P35" i="150"/>
  <c r="P36" i="150"/>
  <c r="P37" i="150"/>
  <c r="P38" i="150"/>
  <c r="P39" i="150"/>
  <c r="P42" i="150"/>
  <c r="P52" i="284"/>
  <c r="P53" i="284"/>
  <c r="P6" i="185" l="1"/>
  <c r="P48" i="185"/>
  <c r="P49" i="185"/>
  <c r="P59" i="185"/>
  <c r="P5" i="195"/>
  <c r="P6" i="266"/>
  <c r="P51" i="266"/>
  <c r="P37" i="158"/>
  <c r="P7" i="158"/>
  <c r="P9" i="158"/>
  <c r="P12" i="158"/>
  <c r="P13" i="158"/>
  <c r="P14" i="158"/>
  <c r="P15" i="158"/>
  <c r="P16" i="158"/>
  <c r="P17" i="158"/>
  <c r="P18" i="158"/>
  <c r="P24" i="158"/>
  <c r="P25" i="158"/>
  <c r="P28" i="158"/>
  <c r="P30" i="158"/>
  <c r="P31" i="158"/>
  <c r="P32" i="158"/>
  <c r="P34" i="158"/>
  <c r="P35" i="158"/>
  <c r="P39" i="158"/>
  <c r="P41" i="158"/>
  <c r="P42" i="158"/>
  <c r="P43" i="158"/>
  <c r="P44" i="158"/>
  <c r="P10" i="151"/>
  <c r="P11" i="151"/>
  <c r="P7" i="151"/>
  <c r="P6" i="151"/>
  <c r="P9" i="151"/>
  <c r="P13" i="151"/>
  <c r="P14" i="151"/>
  <c r="P16" i="151"/>
  <c r="P17" i="151"/>
  <c r="P32" i="151"/>
  <c r="P33" i="151"/>
  <c r="P38" i="151"/>
  <c r="P41" i="151"/>
  <c r="P43" i="151"/>
  <c r="P46" i="151"/>
  <c r="P47" i="151"/>
  <c r="P48" i="151"/>
  <c r="P33" i="293"/>
  <c r="P28" i="293"/>
  <c r="P13" i="293"/>
  <c r="P14" i="293"/>
  <c r="P6" i="293"/>
  <c r="P8" i="293"/>
  <c r="P9" i="293"/>
  <c r="P12" i="293"/>
  <c r="P16" i="293"/>
  <c r="P17" i="293"/>
  <c r="P18" i="293"/>
  <c r="P19" i="293"/>
  <c r="P20" i="293"/>
  <c r="P21" i="293"/>
  <c r="P22" i="293"/>
  <c r="P23" i="293"/>
  <c r="P24" i="293"/>
  <c r="P25" i="293"/>
  <c r="P26" i="293"/>
  <c r="P27" i="293"/>
  <c r="P30" i="293"/>
  <c r="P31" i="293"/>
  <c r="P32" i="293"/>
  <c r="P35" i="293"/>
  <c r="P36" i="293"/>
  <c r="P37" i="293"/>
  <c r="P38" i="293"/>
  <c r="P39" i="293"/>
  <c r="P40" i="293"/>
  <c r="P41" i="293"/>
  <c r="P42" i="293"/>
  <c r="P43" i="293"/>
  <c r="P44" i="293"/>
  <c r="P45" i="293"/>
  <c r="P46" i="293"/>
  <c r="P47" i="293"/>
  <c r="P48" i="293"/>
  <c r="P49" i="293"/>
  <c r="P50" i="293"/>
  <c r="P51" i="293"/>
  <c r="P52" i="293"/>
  <c r="P53" i="293"/>
  <c r="P54" i="293"/>
  <c r="P55" i="293"/>
  <c r="P57" i="293"/>
  <c r="P58" i="293"/>
  <c r="P59" i="293"/>
  <c r="P33" i="294"/>
  <c r="P34" i="294"/>
  <c r="P13" i="294"/>
  <c r="P14" i="294"/>
  <c r="P60" i="294"/>
  <c r="P6" i="294"/>
  <c r="P8" i="294"/>
  <c r="P9" i="294"/>
  <c r="P12" i="294"/>
  <c r="P15" i="294"/>
  <c r="P16" i="294"/>
  <c r="P17" i="294"/>
  <c r="P18" i="294"/>
  <c r="P19" i="294"/>
  <c r="P20" i="294"/>
  <c r="P21" i="294"/>
  <c r="P22" i="294"/>
  <c r="P23" i="294"/>
  <c r="P24" i="294"/>
  <c r="P25" i="294"/>
  <c r="P26" i="294"/>
  <c r="P28" i="294"/>
  <c r="P30" i="294"/>
  <c r="P31" i="294"/>
  <c r="P32" i="294"/>
  <c r="P36" i="294"/>
  <c r="P37" i="294"/>
  <c r="P38" i="294"/>
  <c r="P39" i="294"/>
  <c r="P40" i="294"/>
  <c r="P41" i="294"/>
  <c r="P42" i="294"/>
  <c r="P43" i="294"/>
  <c r="P44" i="294"/>
  <c r="P45" i="294"/>
  <c r="P46" i="294"/>
  <c r="P47" i="294"/>
  <c r="P48" i="294"/>
  <c r="P49" i="294"/>
  <c r="P50" i="294"/>
  <c r="P51" i="294"/>
  <c r="P52" i="294"/>
  <c r="P53" i="294"/>
  <c r="P54" i="294"/>
  <c r="P55" i="294"/>
  <c r="P58" i="294"/>
  <c r="P59" i="294"/>
  <c r="P17" i="128"/>
  <c r="P7" i="130"/>
  <c r="P6" i="243"/>
  <c r="P7" i="287"/>
  <c r="P33" i="287"/>
  <c r="P34" i="287"/>
  <c r="P35" i="287"/>
  <c r="P36" i="287"/>
  <c r="P37" i="287"/>
  <c r="P38" i="287"/>
  <c r="P48" i="133"/>
  <c r="P49" i="133"/>
  <c r="P24" i="133"/>
  <c r="P25" i="133"/>
  <c r="P26" i="133"/>
  <c r="P8" i="133"/>
  <c r="P9" i="133"/>
  <c r="P11" i="133"/>
  <c r="P12" i="133"/>
  <c r="P13" i="133"/>
  <c r="P14" i="133"/>
  <c r="P17" i="133"/>
  <c r="P6" i="133"/>
  <c r="P7" i="133"/>
  <c r="P18" i="133"/>
  <c r="P19" i="133"/>
  <c r="P20" i="133"/>
  <c r="P21" i="133"/>
  <c r="P22" i="133"/>
  <c r="P23" i="133"/>
  <c r="P30" i="133"/>
  <c r="P31" i="133"/>
  <c r="P32" i="133"/>
  <c r="P34" i="133"/>
  <c r="P35" i="133"/>
  <c r="P39" i="133"/>
  <c r="P41" i="133"/>
  <c r="P42" i="133"/>
  <c r="P43" i="133"/>
  <c r="P44" i="133"/>
  <c r="P45" i="133"/>
  <c r="P46" i="133"/>
  <c r="P47" i="133"/>
  <c r="N47" i="315"/>
  <c r="N48" i="315"/>
  <c r="N49" i="315"/>
  <c r="N50" i="315"/>
  <c r="N51" i="315"/>
  <c r="N56" i="315"/>
  <c r="N57" i="315"/>
  <c r="N58" i="315"/>
  <c r="N59" i="315"/>
  <c r="P55" i="296"/>
  <c r="P7" i="296"/>
  <c r="P62" i="187"/>
  <c r="P63" i="187"/>
  <c r="P64" i="187"/>
  <c r="P65" i="187"/>
  <c r="P5" i="187"/>
  <c r="P48" i="184"/>
  <c r="P49" i="184"/>
  <c r="P5" i="211"/>
  <c r="P9" i="166"/>
  <c r="P45" i="166"/>
  <c r="P46" i="166"/>
  <c r="P47" i="166"/>
  <c r="P48" i="166"/>
  <c r="P49" i="166"/>
  <c r="P50" i="166"/>
  <c r="P51" i="166"/>
  <c r="P52" i="166"/>
  <c r="P53" i="166"/>
  <c r="P54" i="166"/>
  <c r="P52" i="210"/>
  <c r="P53" i="210"/>
  <c r="P51" i="210"/>
  <c r="P8" i="210"/>
  <c r="P9" i="210"/>
  <c r="P10" i="210"/>
  <c r="P11" i="210"/>
  <c r="P13" i="210"/>
  <c r="P15" i="210"/>
  <c r="P20" i="210"/>
  <c r="P21" i="210"/>
  <c r="P22" i="210"/>
  <c r="P23" i="210"/>
  <c r="P24" i="210"/>
  <c r="P25" i="210"/>
  <c r="P26" i="210"/>
  <c r="P27" i="210"/>
  <c r="P28" i="210"/>
  <c r="P29" i="210"/>
  <c r="P30" i="210"/>
  <c r="P31" i="210"/>
  <c r="P32" i="210"/>
  <c r="P33" i="210"/>
  <c r="P34" i="210"/>
  <c r="P35" i="210"/>
  <c r="P36" i="210"/>
  <c r="P38" i="210"/>
  <c r="P42" i="210"/>
  <c r="P43" i="210"/>
  <c r="P44" i="210"/>
  <c r="P46" i="210"/>
  <c r="P47" i="210"/>
  <c r="P48" i="210"/>
  <c r="P50" i="210"/>
  <c r="P8" i="162"/>
  <c r="P9" i="162"/>
  <c r="P44" i="162"/>
  <c r="P45" i="162"/>
  <c r="P46" i="162"/>
  <c r="P47" i="162"/>
  <c r="P41" i="200"/>
  <c r="P42" i="200"/>
  <c r="P43" i="200"/>
  <c r="P58" i="239"/>
  <c r="P7" i="142"/>
  <c r="P48" i="142"/>
  <c r="P49" i="142"/>
  <c r="P56" i="148"/>
  <c r="P6" i="209"/>
  <c r="P7" i="209"/>
  <c r="P15" i="209"/>
  <c r="P16" i="209"/>
  <c r="P18" i="209"/>
  <c r="P19" i="209"/>
  <c r="P22" i="209"/>
  <c r="P23" i="209"/>
  <c r="P24" i="209"/>
  <c r="P25" i="209"/>
  <c r="P30" i="209"/>
  <c r="P32" i="209"/>
  <c r="P35" i="209"/>
  <c r="P36" i="209"/>
  <c r="P37" i="209"/>
  <c r="P38" i="209"/>
  <c r="P39" i="209"/>
  <c r="P40" i="209"/>
  <c r="P41" i="209"/>
  <c r="P42" i="209"/>
  <c r="P43" i="209"/>
  <c r="P44" i="209"/>
  <c r="P45" i="209"/>
  <c r="P46" i="209"/>
  <c r="P47" i="209"/>
  <c r="P48" i="209"/>
  <c r="P49" i="209"/>
  <c r="P55" i="209"/>
  <c r="P6" i="134"/>
  <c r="P8" i="179"/>
  <c r="P9" i="179"/>
  <c r="P10" i="179"/>
  <c r="P11" i="179"/>
  <c r="P13" i="179"/>
  <c r="P16" i="179"/>
  <c r="P19" i="179"/>
  <c r="P20" i="179"/>
  <c r="P21" i="179"/>
  <c r="P22" i="179"/>
  <c r="P23" i="179"/>
  <c r="P24" i="179"/>
  <c r="P25" i="179"/>
  <c r="P26" i="179"/>
  <c r="P29" i="179"/>
  <c r="P34" i="179"/>
  <c r="P35" i="179"/>
  <c r="P36" i="179"/>
  <c r="P37" i="179"/>
  <c r="P38" i="179"/>
  <c r="P39" i="179"/>
  <c r="P40" i="179"/>
  <c r="P41" i="179"/>
  <c r="P43" i="179"/>
  <c r="P44" i="179"/>
  <c r="P45" i="179"/>
  <c r="P46" i="179"/>
  <c r="P61" i="305"/>
  <c r="P16" i="297"/>
  <c r="P17" i="297"/>
  <c r="P29" i="297"/>
  <c r="P30" i="297"/>
  <c r="P31" i="297"/>
  <c r="P32" i="297"/>
  <c r="P33" i="297"/>
  <c r="P34" i="297"/>
  <c r="P35" i="297"/>
  <c r="P36" i="297"/>
  <c r="P37" i="297"/>
  <c r="P38" i="297"/>
  <c r="P39" i="297"/>
  <c r="P40" i="297"/>
  <c r="P41" i="297"/>
  <c r="P42" i="297"/>
  <c r="P43" i="297"/>
  <c r="P44" i="297"/>
  <c r="P45" i="297"/>
  <c r="P46" i="297"/>
  <c r="P48" i="297"/>
  <c r="P49" i="297"/>
  <c r="P50" i="297"/>
  <c r="P51" i="297"/>
  <c r="P16" i="183"/>
  <c r="P17" i="183"/>
  <c r="P18" i="183"/>
  <c r="P19" i="183"/>
  <c r="P20" i="183"/>
  <c r="P6" i="278"/>
  <c r="P43" i="181"/>
  <c r="P50" i="181"/>
  <c r="P8" i="180"/>
  <c r="P49" i="180"/>
  <c r="P60" i="185" l="1"/>
  <c r="D14" i="211"/>
  <c r="P5" i="160"/>
  <c r="P5" i="238"/>
  <c r="P5" i="204"/>
  <c r="P5" i="294"/>
  <c r="P5" i="126"/>
  <c r="N48" i="314" l="1"/>
  <c r="N47" i="314"/>
  <c r="N46" i="314"/>
  <c r="N45" i="314"/>
  <c r="N44" i="314"/>
  <c r="N43" i="314"/>
  <c r="N42" i="314"/>
  <c r="N41" i="314"/>
  <c r="N40" i="314"/>
  <c r="N39" i="314"/>
  <c r="N38" i="314"/>
  <c r="N37" i="314"/>
  <c r="N36" i="314"/>
  <c r="N35" i="314"/>
  <c r="N34" i="314"/>
  <c r="N33" i="314"/>
  <c r="N32" i="314"/>
  <c r="N31" i="314"/>
  <c r="N29" i="314"/>
  <c r="N28" i="314"/>
  <c r="N27" i="314"/>
  <c r="N26" i="314"/>
  <c r="N25" i="314"/>
  <c r="N24" i="314"/>
  <c r="N23" i="314"/>
  <c r="N22" i="314"/>
  <c r="N21" i="314"/>
  <c r="N20" i="314"/>
  <c r="N19" i="314"/>
  <c r="N18" i="314"/>
  <c r="N17" i="314"/>
  <c r="N16" i="314"/>
  <c r="N14" i="314"/>
  <c r="N13" i="314"/>
  <c r="N12" i="314"/>
  <c r="N11" i="314"/>
  <c r="N10" i="314"/>
  <c r="N9" i="314"/>
  <c r="N8" i="314"/>
  <c r="N7" i="314"/>
  <c r="N6" i="314"/>
  <c r="N5" i="314"/>
  <c r="M57" i="313"/>
  <c r="M56" i="313"/>
  <c r="M55" i="313"/>
  <c r="M54" i="313"/>
  <c r="M53" i="313"/>
  <c r="M52" i="313"/>
  <c r="M51" i="313"/>
  <c r="M50" i="313"/>
  <c r="M49" i="313"/>
  <c r="M48" i="313"/>
  <c r="M47" i="313"/>
  <c r="M46" i="313"/>
  <c r="M45" i="313"/>
  <c r="M44" i="313"/>
  <c r="M43" i="313"/>
  <c r="M42" i="313"/>
  <c r="M41" i="313"/>
  <c r="M40" i="313"/>
  <c r="M39" i="313"/>
  <c r="M38" i="313"/>
  <c r="M37" i="313"/>
  <c r="M36" i="313"/>
  <c r="M35" i="313"/>
  <c r="M34" i="313"/>
  <c r="M33" i="313"/>
  <c r="M32" i="313"/>
  <c r="M31" i="313"/>
  <c r="M30" i="313"/>
  <c r="M29" i="313"/>
  <c r="M28" i="313"/>
  <c r="M27" i="313"/>
  <c r="M26" i="313"/>
  <c r="M25" i="313"/>
  <c r="M24" i="313"/>
  <c r="M23" i="313"/>
  <c r="M22" i="313"/>
  <c r="M21" i="313"/>
  <c r="M20" i="313"/>
  <c r="M19" i="313"/>
  <c r="M18" i="313"/>
  <c r="M17" i="313"/>
  <c r="M16" i="313"/>
  <c r="M15" i="313"/>
  <c r="M14" i="313"/>
  <c r="M13" i="313"/>
  <c r="M12" i="313"/>
  <c r="M11" i="313"/>
  <c r="M10" i="313"/>
  <c r="M9" i="313"/>
  <c r="M8" i="313"/>
  <c r="M7" i="313"/>
  <c r="M6" i="313"/>
  <c r="M5" i="313"/>
  <c r="M57" i="312"/>
  <c r="M56" i="312"/>
  <c r="M55" i="312"/>
  <c r="M54" i="312"/>
  <c r="M53" i="312"/>
  <c r="M52" i="312"/>
  <c r="M51" i="312"/>
  <c r="M50" i="312"/>
  <c r="M49" i="312"/>
  <c r="M48" i="312"/>
  <c r="M47" i="312"/>
  <c r="M46" i="312"/>
  <c r="M45" i="312"/>
  <c r="M44" i="312"/>
  <c r="M43" i="312"/>
  <c r="M42" i="312"/>
  <c r="M41" i="312"/>
  <c r="M40" i="312"/>
  <c r="M39" i="312"/>
  <c r="M38" i="312"/>
  <c r="M37" i="312"/>
  <c r="M36" i="312"/>
  <c r="M35" i="312"/>
  <c r="M34" i="312"/>
  <c r="M33" i="312"/>
  <c r="M32" i="312"/>
  <c r="M31" i="312"/>
  <c r="M30" i="312"/>
  <c r="M29" i="312"/>
  <c r="M28" i="312"/>
  <c r="M27" i="312"/>
  <c r="M26" i="312"/>
  <c r="M25" i="312"/>
  <c r="M24" i="312"/>
  <c r="M23" i="312"/>
  <c r="M22" i="312"/>
  <c r="M21" i="312"/>
  <c r="M20" i="312"/>
  <c r="M19" i="312"/>
  <c r="M18" i="312"/>
  <c r="M17" i="312"/>
  <c r="M16" i="312"/>
  <c r="M15" i="312"/>
  <c r="M14" i="312"/>
  <c r="M13" i="312"/>
  <c r="M12" i="312"/>
  <c r="M11" i="312"/>
  <c r="M10" i="312"/>
  <c r="M9" i="312"/>
  <c r="M8" i="312"/>
  <c r="M7" i="312"/>
  <c r="M6" i="312"/>
  <c r="M5" i="312"/>
  <c r="N56" i="311"/>
  <c r="N55" i="311"/>
  <c r="N54" i="311"/>
  <c r="N53" i="311"/>
  <c r="N52" i="311"/>
  <c r="N51" i="311"/>
  <c r="N50" i="311"/>
  <c r="N49" i="311"/>
  <c r="N48" i="311"/>
  <c r="N47" i="311"/>
  <c r="N46" i="311"/>
  <c r="N45" i="311"/>
  <c r="N44" i="311"/>
  <c r="N43" i="311"/>
  <c r="N42" i="311"/>
  <c r="N41" i="311"/>
  <c r="N40" i="311"/>
  <c r="N39" i="311"/>
  <c r="N38" i="311"/>
  <c r="N37" i="311"/>
  <c r="N36" i="311"/>
  <c r="N35" i="311"/>
  <c r="N34" i="311"/>
  <c r="N33" i="311"/>
  <c r="N32" i="311"/>
  <c r="N31" i="311"/>
  <c r="N30" i="311"/>
  <c r="N29" i="311"/>
  <c r="N28" i="311"/>
  <c r="N27" i="311"/>
  <c r="N26" i="311"/>
  <c r="N25" i="311"/>
  <c r="N24" i="311"/>
  <c r="N23" i="311"/>
  <c r="N22" i="311"/>
  <c r="N21" i="311"/>
  <c r="N20" i="311"/>
  <c r="N19" i="311"/>
  <c r="N18" i="311"/>
  <c r="N17" i="311"/>
  <c r="N16" i="311"/>
  <c r="N15" i="311"/>
  <c r="N14" i="311"/>
  <c r="N13" i="311"/>
  <c r="N12" i="311"/>
  <c r="N11" i="311"/>
  <c r="N10" i="311"/>
  <c r="N9" i="311"/>
  <c r="N8" i="311"/>
  <c r="N7" i="311"/>
  <c r="N6" i="311"/>
  <c r="N5" i="311"/>
  <c r="N5" i="310"/>
  <c r="P40" i="181"/>
  <c r="P29" i="181"/>
  <c r="P30" i="181"/>
  <c r="P31" i="181"/>
  <c r="P32" i="181"/>
  <c r="P24" i="181"/>
  <c r="P25" i="181"/>
  <c r="P11" i="181"/>
  <c r="P12" i="181"/>
  <c r="P13" i="181"/>
  <c r="P14" i="181"/>
  <c r="P15" i="181"/>
  <c r="P16" i="181"/>
  <c r="P17" i="181"/>
  <c r="P18" i="181"/>
  <c r="P8" i="181"/>
  <c r="P7" i="181"/>
  <c r="P9" i="181"/>
  <c r="P10" i="181"/>
  <c r="P19" i="181"/>
  <c r="P20" i="181"/>
  <c r="P21" i="181"/>
  <c r="P27" i="181"/>
  <c r="P28" i="181"/>
  <c r="P34" i="181"/>
  <c r="P35" i="181"/>
  <c r="P36" i="181"/>
  <c r="P37" i="181"/>
  <c r="P38" i="181"/>
  <c r="P39" i="181"/>
  <c r="P42" i="181"/>
  <c r="P44" i="181"/>
  <c r="P45" i="181"/>
  <c r="P46" i="181"/>
  <c r="P47" i="181"/>
  <c r="P48" i="181"/>
  <c r="P49" i="181"/>
  <c r="P5" i="129"/>
  <c r="N5" i="308"/>
  <c r="P44" i="306" l="1"/>
  <c r="P43" i="306"/>
  <c r="P42" i="306"/>
  <c r="P41" i="306"/>
  <c r="P40" i="306"/>
  <c r="P39" i="306"/>
  <c r="P38" i="306"/>
  <c r="P37" i="306"/>
  <c r="P36" i="306"/>
  <c r="P35" i="306"/>
  <c r="P34" i="306"/>
  <c r="P33" i="306"/>
  <c r="P28" i="306"/>
  <c r="P27" i="306"/>
  <c r="P22" i="306"/>
  <c r="P21" i="306"/>
  <c r="P20" i="306"/>
  <c r="P19" i="306"/>
  <c r="P18" i="306"/>
  <c r="P17" i="306"/>
  <c r="P16" i="306"/>
  <c r="P5" i="306"/>
  <c r="P5" i="304"/>
  <c r="P48" i="162" l="1"/>
  <c r="P52" i="143"/>
  <c r="P51" i="143"/>
  <c r="P61" i="135"/>
  <c r="P62" i="292"/>
  <c r="P61" i="292"/>
  <c r="P60" i="292"/>
  <c r="P59" i="292"/>
  <c r="P58" i="292"/>
  <c r="P60" i="301"/>
  <c r="P59" i="301"/>
  <c r="P58" i="301"/>
  <c r="P57" i="301"/>
  <c r="P56" i="301"/>
  <c r="P49" i="264"/>
  <c r="P48" i="264"/>
  <c r="P47" i="264"/>
  <c r="P46" i="264"/>
  <c r="P45" i="264"/>
  <c r="P58" i="263"/>
  <c r="P57" i="263"/>
  <c r="P56" i="263"/>
  <c r="P55" i="263"/>
  <c r="P54" i="263"/>
  <c r="P44" i="264" l="1"/>
  <c r="P43" i="264" l="1"/>
  <c r="P55" i="301"/>
  <c r="P54" i="301"/>
  <c r="P53" i="301"/>
  <c r="P52" i="301"/>
  <c r="P51" i="301"/>
  <c r="P48" i="301"/>
  <c r="P47" i="301"/>
  <c r="P46" i="301"/>
  <c r="P45" i="301"/>
  <c r="P44" i="301"/>
  <c r="P43" i="301"/>
  <c r="P42" i="301"/>
  <c r="P41" i="301"/>
  <c r="P40" i="301"/>
  <c r="P39" i="301"/>
  <c r="P38" i="301"/>
  <c r="P37" i="301"/>
  <c r="P36" i="301"/>
  <c r="P35" i="301"/>
  <c r="P32" i="301"/>
  <c r="P31" i="301"/>
  <c r="P29" i="301"/>
  <c r="P26" i="301"/>
  <c r="P25" i="301"/>
  <c r="P24" i="301"/>
  <c r="P23" i="301"/>
  <c r="P22" i="301"/>
  <c r="P21" i="301"/>
  <c r="P20" i="301"/>
  <c r="P19" i="301"/>
  <c r="P17" i="301"/>
  <c r="P16" i="301"/>
  <c r="P15" i="301"/>
  <c r="P12" i="301"/>
  <c r="P11" i="301"/>
  <c r="P9" i="301"/>
  <c r="P8" i="301"/>
  <c r="P7" i="301"/>
  <c r="P6" i="301"/>
  <c r="P5" i="301"/>
  <c r="P5" i="269"/>
  <c r="P6" i="297" l="1"/>
  <c r="P42" i="264" l="1"/>
  <c r="P5" i="293"/>
  <c r="P57" i="292"/>
  <c r="P56" i="292"/>
  <c r="P55" i="292"/>
  <c r="P54" i="292"/>
  <c r="P53" i="292"/>
  <c r="P52" i="292"/>
  <c r="P51" i="292"/>
  <c r="P50" i="292"/>
  <c r="P49" i="292"/>
  <c r="P48" i="292"/>
  <c r="P47" i="292"/>
  <c r="P46" i="292"/>
  <c r="P45" i="292"/>
  <c r="P44" i="292"/>
  <c r="P43" i="292"/>
  <c r="P42" i="292"/>
  <c r="P41" i="292"/>
  <c r="P40" i="292"/>
  <c r="P39" i="292"/>
  <c r="P38" i="292"/>
  <c r="P37" i="292"/>
  <c r="P36" i="292"/>
  <c r="P35" i="292"/>
  <c r="P34" i="292"/>
  <c r="P33" i="292"/>
  <c r="P32" i="292"/>
  <c r="P31" i="292"/>
  <c r="P30" i="292"/>
  <c r="P29" i="292"/>
  <c r="P28" i="292"/>
  <c r="P27" i="292"/>
  <c r="P26" i="292"/>
  <c r="P25" i="292"/>
  <c r="P24" i="292"/>
  <c r="P23" i="292"/>
  <c r="P22" i="292"/>
  <c r="P21" i="292"/>
  <c r="P20" i="292"/>
  <c r="P19" i="292"/>
  <c r="P18" i="292"/>
  <c r="P17" i="292"/>
  <c r="P16" i="292"/>
  <c r="P15" i="292"/>
  <c r="P14" i="292"/>
  <c r="P13" i="292"/>
  <c r="P12" i="292"/>
  <c r="P11" i="292"/>
  <c r="P10" i="292"/>
  <c r="P9" i="292"/>
  <c r="P8" i="292"/>
  <c r="P7" i="292"/>
  <c r="P6" i="292"/>
  <c r="P5" i="292"/>
  <c r="P5" i="291"/>
  <c r="P5" i="290"/>
  <c r="P53" i="263" l="1"/>
  <c r="P5" i="164" l="1"/>
  <c r="P5" i="288"/>
  <c r="P5" i="284" l="1"/>
  <c r="P6" i="282"/>
  <c r="P5" i="280"/>
  <c r="P5" i="279"/>
  <c r="P5" i="278" l="1"/>
  <c r="P52" i="263"/>
  <c r="P51" i="263" l="1"/>
  <c r="P5" i="273" l="1"/>
  <c r="P50" i="263" l="1"/>
  <c r="P6" i="270" l="1"/>
  <c r="P49" i="263" l="1"/>
  <c r="P41" i="264" l="1"/>
  <c r="P40" i="264"/>
  <c r="P39" i="264"/>
  <c r="P38" i="264"/>
  <c r="P37" i="264"/>
  <c r="P36" i="264"/>
  <c r="P35" i="264"/>
  <c r="P34" i="264"/>
  <c r="P32" i="264"/>
  <c r="P31" i="264"/>
  <c r="P30" i="264"/>
  <c r="P29" i="264"/>
  <c r="P25" i="264"/>
  <c r="P24" i="264"/>
  <c r="P23" i="264"/>
  <c r="P21" i="264"/>
  <c r="P20" i="264"/>
  <c r="P19" i="264"/>
  <c r="P18" i="264"/>
  <c r="P17" i="264"/>
  <c r="P16" i="264"/>
  <c r="P15" i="264"/>
  <c r="P13" i="264"/>
  <c r="P12" i="264"/>
  <c r="P8" i="264"/>
  <c r="P7" i="264"/>
  <c r="P5" i="264"/>
  <c r="P48" i="263"/>
  <c r="P47" i="263"/>
  <c r="P46" i="263"/>
  <c r="P45" i="263"/>
  <c r="P44" i="263"/>
  <c r="P43" i="263"/>
  <c r="P42" i="263"/>
  <c r="P41" i="263"/>
  <c r="P40" i="263"/>
  <c r="P39" i="263"/>
  <c r="P38" i="263"/>
  <c r="P37" i="263"/>
  <c r="P36" i="263"/>
  <c r="P35" i="263"/>
  <c r="P34" i="263"/>
  <c r="P33" i="263"/>
  <c r="P32" i="263"/>
  <c r="P31" i="263"/>
  <c r="P30" i="263"/>
  <c r="P29" i="263"/>
  <c r="P28" i="263"/>
  <c r="P27" i="263"/>
  <c r="P26" i="263"/>
  <c r="P25" i="263"/>
  <c r="P24" i="263"/>
  <c r="P23" i="263"/>
  <c r="P22" i="263"/>
  <c r="P21" i="263"/>
  <c r="P20" i="263"/>
  <c r="P19" i="263"/>
  <c r="P18" i="263"/>
  <c r="P17" i="263"/>
  <c r="P16" i="263"/>
  <c r="P15" i="263"/>
  <c r="P14" i="263"/>
  <c r="P13" i="263"/>
  <c r="P12" i="263"/>
  <c r="P11" i="263"/>
  <c r="P10" i="263"/>
  <c r="P9" i="263"/>
  <c r="P8" i="263"/>
  <c r="P7" i="263"/>
  <c r="P6" i="263"/>
  <c r="P5" i="263"/>
  <c r="P5" i="154" l="1"/>
  <c r="P5" i="136" l="1"/>
  <c r="P5" i="255" l="1"/>
  <c r="P5" i="254" l="1"/>
  <c r="P6" i="174" l="1"/>
  <c r="P6" i="241" l="1"/>
  <c r="P5" i="240" l="1"/>
  <c r="P5" i="239" l="1"/>
  <c r="P6" i="230" l="1"/>
  <c r="P5" i="210"/>
  <c r="D5" i="210"/>
  <c r="P5" i="197"/>
  <c r="P4" i="194"/>
  <c r="P5" i="192"/>
  <c r="P5" i="184"/>
  <c r="P5" i="182"/>
  <c r="P6" i="179"/>
  <c r="P5" i="178"/>
  <c r="P5" i="173"/>
  <c r="P5" i="170"/>
  <c r="P5" i="168"/>
  <c r="P5" i="163"/>
  <c r="P10" i="153"/>
  <c r="P9" i="153"/>
  <c r="P8" i="153"/>
  <c r="P7" i="153"/>
  <c r="P6" i="153"/>
  <c r="P6" i="152"/>
  <c r="P5" i="145"/>
  <c r="P5" i="143"/>
  <c r="P5" i="139"/>
  <c r="P5" i="138"/>
  <c r="P5" i="135"/>
  <c r="P5" i="127"/>
  <c r="P6" i="123"/>
</calcChain>
</file>

<file path=xl/sharedStrings.xml><?xml version="1.0" encoding="utf-8"?>
<sst xmlns="http://schemas.openxmlformats.org/spreadsheetml/2006/main" count="9142" uniqueCount="508">
  <si>
    <t>CODIGO</t>
  </si>
  <si>
    <t>DESENGRASANTE</t>
  </si>
  <si>
    <t xml:space="preserve">BALDES </t>
  </si>
  <si>
    <t>BOLSAS CHICAS 45 x 60 Cm</t>
  </si>
  <si>
    <t>BOLSAS CHICAS 50 x 70 Cm</t>
  </si>
  <si>
    <t>BOLSAS GRANDES 60 x 90 Cm</t>
  </si>
  <si>
    <t>BOLSAS GRANDES 80 x 1Mt</t>
  </si>
  <si>
    <t>BOLSAS MAS GRANDES 1 x 1,2Mt</t>
  </si>
  <si>
    <t>DES. POET / GLADE</t>
  </si>
  <si>
    <t>BLEM / POLYCERA</t>
  </si>
  <si>
    <t>LYSOFORM</t>
  </si>
  <si>
    <t>CIFF / Mr Musculo CREMA</t>
  </si>
  <si>
    <t>LAVANDINA</t>
  </si>
  <si>
    <t>MR MUSCULO GEL</t>
  </si>
  <si>
    <t>DES. LIQUIDO</t>
  </si>
  <si>
    <t>DETERGENTE</t>
  </si>
  <si>
    <t>ECHO</t>
  </si>
  <si>
    <t>CERA BLANCA</t>
  </si>
  <si>
    <t>CERA NEGRA</t>
  </si>
  <si>
    <t>CERA ROJA</t>
  </si>
  <si>
    <t>CERA MADERA SUIZA</t>
  </si>
  <si>
    <t>ESP. ACERO</t>
  </si>
  <si>
    <t>ESP. MORTIMER</t>
  </si>
  <si>
    <t>ES.PARA INODORO</t>
  </si>
  <si>
    <t>GUANTES PATITO CH</t>
  </si>
  <si>
    <t>GUANTES PATITO MD</t>
  </si>
  <si>
    <t>GUANTES PATITO GR</t>
  </si>
  <si>
    <t>GUANTES LATEX CH</t>
  </si>
  <si>
    <t>GUANTES LATEX MED</t>
  </si>
  <si>
    <t>GUANTES LATEX GR</t>
  </si>
  <si>
    <t>HARPIC</t>
  </si>
  <si>
    <t>JABON ALA</t>
  </si>
  <si>
    <t>JABON LIQUIDO</t>
  </si>
  <si>
    <t>JABON TOCADOR</t>
  </si>
  <si>
    <t>SEC. DE GOMA 40CM SACCI</t>
  </si>
  <si>
    <t>SEC. DE GOMA 50CM SACCI</t>
  </si>
  <si>
    <t>PALAS</t>
  </si>
  <si>
    <t>PH CONO CHICO</t>
  </si>
  <si>
    <t>PH ROLLO 200MTS</t>
  </si>
  <si>
    <t>TOALLAS PAPEL</t>
  </si>
  <si>
    <t>REJ MING PVC</t>
  </si>
  <si>
    <t>TRAPO DE PISO</t>
  </si>
  <si>
    <t>REJILLAS</t>
  </si>
  <si>
    <t>FRANELAS</t>
  </si>
  <si>
    <t>ESCOBA DE PAJA</t>
  </si>
  <si>
    <t>ESCOBILLON SAMANTA</t>
  </si>
  <si>
    <t>PALOS CORTO 1,3</t>
  </si>
  <si>
    <t>PALO MEDIANO 1,5</t>
  </si>
  <si>
    <t>PALOS ANCHO  1,5</t>
  </si>
  <si>
    <t>PALO ALTO 2 ,2</t>
  </si>
  <si>
    <t>PLUMERO</t>
  </si>
  <si>
    <t>SACATELARAÑA</t>
  </si>
  <si>
    <t>SOPAPAS</t>
  </si>
  <si>
    <t>VENUS</t>
  </si>
  <si>
    <t>VIRULANA</t>
  </si>
  <si>
    <t>SEC PISO 1MT ALUMINIO</t>
  </si>
  <si>
    <t>ARMAZON PROF 40 CM</t>
  </si>
  <si>
    <t>ARMAZON PROF 60 CM</t>
  </si>
  <si>
    <t>ARMAZON PROF 80 CM</t>
  </si>
  <si>
    <t>ARMAZON PROF 1 MT</t>
  </si>
  <si>
    <t>ARMAZON PROF 1,2 MT</t>
  </si>
  <si>
    <t>ARMAZON PROF 1,5 MT</t>
  </si>
  <si>
    <t>MOPA 45 CM</t>
  </si>
  <si>
    <t>MOPA 60 CM</t>
  </si>
  <si>
    <t>MOPA 80 CM</t>
  </si>
  <si>
    <t>MOPA 1MT</t>
  </si>
  <si>
    <t>MOPA 120 CM</t>
  </si>
  <si>
    <t>MOPA 150 CM</t>
  </si>
  <si>
    <t>JABON BLANCO</t>
  </si>
  <si>
    <t>PULVERIZADOR X 1L CON GATILLO</t>
  </si>
  <si>
    <t>LIMPIAVIDRIOS</t>
  </si>
  <si>
    <t xml:space="preserve">PH CONO CHICO CAMPANITA </t>
  </si>
  <si>
    <t>PH CONO CHICO ELITE</t>
  </si>
  <si>
    <t>TOALLA ROLLO ELITE x 250Mt</t>
  </si>
  <si>
    <t>SERVILLETA ELITE 6507</t>
  </si>
  <si>
    <t>DISP DE JABON LIQUIDO</t>
  </si>
  <si>
    <t>DISP DE PH CONO CHICO</t>
  </si>
  <si>
    <t>DISPENSER TOALLAS INTER</t>
  </si>
  <si>
    <t>DISPENSER TOALLAS KC AUT</t>
  </si>
  <si>
    <t>DISPENSER SERVILLETAS ELITE</t>
  </si>
  <si>
    <t>CEPILLO DE MANO</t>
  </si>
  <si>
    <t>STEEL SHINE 3M PARA ASCENSOR</t>
  </si>
  <si>
    <t>SECUESTRANTE POLVO X 1 L</t>
  </si>
  <si>
    <t>DETERGENTE VICTORY 15% X 5L</t>
  </si>
  <si>
    <t>ESCOBA PLASTICA RUMI</t>
  </si>
  <si>
    <t>PASA CERA</t>
  </si>
  <si>
    <t>SOPAPA GRANDE</t>
  </si>
  <si>
    <t>Escobillon ANDEN 60Cm C/CABO</t>
  </si>
  <si>
    <t>MICROFIBRA FLUORENCTE THAMES</t>
  </si>
  <si>
    <t>Rep Goma Vidrio Royco x 35cm</t>
  </si>
  <si>
    <t>Rep Goma Vidrio Royco x 45cm</t>
  </si>
  <si>
    <t>Rep Goma Vidrio Royco x 92cm</t>
  </si>
  <si>
    <t>CARRO MULTIUSO</t>
  </si>
  <si>
    <t>SELLADOR DE PISOS SUTTER BETON</t>
  </si>
  <si>
    <t xml:space="preserve">BAUL MADERA CON CANDADO </t>
  </si>
  <si>
    <t>BIDON x 10L</t>
  </si>
  <si>
    <t>CABO ALUMINIO 1,5</t>
  </si>
  <si>
    <t>BOLSA ASPIRADORA KARCHER</t>
  </si>
  <si>
    <t>Total</t>
  </si>
  <si>
    <t>HCD</t>
  </si>
  <si>
    <t>Museo Reconquista</t>
  </si>
  <si>
    <t>CAP Baires</t>
  </si>
  <si>
    <t>CAP Carupa</t>
  </si>
  <si>
    <t>OMIC</t>
  </si>
  <si>
    <t>CIDI Bancalari</t>
  </si>
  <si>
    <t>Articulo</t>
  </si>
  <si>
    <t>Mensual</t>
  </si>
  <si>
    <t>Semana 1</t>
  </si>
  <si>
    <t>Semana 2</t>
  </si>
  <si>
    <t>Semana 3</t>
  </si>
  <si>
    <t>Semana 4</t>
  </si>
  <si>
    <t>Semana 5</t>
  </si>
  <si>
    <t>CORRALON</t>
  </si>
  <si>
    <t>Devol    1</t>
  </si>
  <si>
    <t>Devol    2</t>
  </si>
  <si>
    <t>Devol    3</t>
  </si>
  <si>
    <t>Devol    4</t>
  </si>
  <si>
    <t>Devol    5</t>
  </si>
  <si>
    <t>PROMOCION SOCIAL</t>
  </si>
  <si>
    <t>HOSP. ODONTO. COORD.</t>
  </si>
  <si>
    <t>OF. LIBERTADOR - CABA-</t>
  </si>
  <si>
    <t>COMISARIA BENAVIDEZ</t>
  </si>
  <si>
    <t>Fundacion CRECER</t>
  </si>
  <si>
    <t>CAP Rincon - Juana Manso</t>
  </si>
  <si>
    <t>C.S. Juan Urionaguen</t>
  </si>
  <si>
    <t>Cafys. Eva Peron</t>
  </si>
  <si>
    <t>Cafys. El Arco</t>
  </si>
  <si>
    <t>Cafys. Alt. Brown</t>
  </si>
  <si>
    <t>C.U.T</t>
  </si>
  <si>
    <t xml:space="preserve">IMANS - Nutricion </t>
  </si>
  <si>
    <t>ECOSOL</t>
  </si>
  <si>
    <t>POLID. TALAR</t>
  </si>
  <si>
    <t>POLID. GUTIERREZ - DT</t>
  </si>
  <si>
    <t>POLID. ZABALA - Benavidez</t>
  </si>
  <si>
    <t>POLID. Rincon</t>
  </si>
  <si>
    <t>POLID. General Pacheco</t>
  </si>
  <si>
    <t>POLID. Zanon</t>
  </si>
  <si>
    <t>POLID. Moreno</t>
  </si>
  <si>
    <t>POLID. Ricardo Rojas</t>
  </si>
  <si>
    <t>POLID. Almirante Brown</t>
  </si>
  <si>
    <t>POLID. Guemes</t>
  </si>
  <si>
    <t>POLID. M. Belgrano</t>
  </si>
  <si>
    <t>POLID. Sarmiento</t>
  </si>
  <si>
    <t>FISC. Don Torcuato</t>
  </si>
  <si>
    <t>FISC. Rincon</t>
  </si>
  <si>
    <t>FISC. Talar</t>
  </si>
  <si>
    <t>FISC. Benavidez</t>
  </si>
  <si>
    <t>FISC. Pacheco</t>
  </si>
  <si>
    <t>Hospital Odontologico</t>
  </si>
  <si>
    <t>Zoonosis</t>
  </si>
  <si>
    <t>Ctro. Frida Kahlo</t>
  </si>
  <si>
    <t>C. S. Carapachay</t>
  </si>
  <si>
    <t>C. S. Benavidez</t>
  </si>
  <si>
    <t>C.S La Paloma</t>
  </si>
  <si>
    <t>C.S Calcuta</t>
  </si>
  <si>
    <t>C.S Las Tunas</t>
  </si>
  <si>
    <t>C.S Pacheco</t>
  </si>
  <si>
    <t>Hospital Oftalmologico</t>
  </si>
  <si>
    <t>C.S. Nores</t>
  </si>
  <si>
    <t>C.S. Dique Lujan</t>
  </si>
  <si>
    <t>C.S. Troncos</t>
  </si>
  <si>
    <t>C.S. Ricardo Rojas</t>
  </si>
  <si>
    <t>S.E.T</t>
  </si>
  <si>
    <t>Obras Publicas</t>
  </si>
  <si>
    <t>Proteccion Ciudadana</t>
  </si>
  <si>
    <t>M.A.T</t>
  </si>
  <si>
    <t>Estacion Fluvial</t>
  </si>
  <si>
    <t>Transito</t>
  </si>
  <si>
    <t>Palacio Municipal</t>
  </si>
  <si>
    <t>MENSUAL</t>
  </si>
  <si>
    <t>FRECUENCIA:</t>
  </si>
  <si>
    <t>SEMANAL</t>
  </si>
  <si>
    <t>QUINCENAL</t>
  </si>
  <si>
    <t>C. S. Río Capitán</t>
  </si>
  <si>
    <t>DESINFECTANTE SUTTER CUAT</t>
  </si>
  <si>
    <t>EDIFICIO 0800</t>
  </si>
  <si>
    <t>SET CARUPÁ</t>
  </si>
  <si>
    <r>
      <t xml:space="preserve">POLID. Ñato Errecart - </t>
    </r>
    <r>
      <rPr>
        <b/>
        <sz val="16"/>
        <color theme="1"/>
        <rFont val="Calibri"/>
        <family val="2"/>
        <scheme val="minor"/>
      </rPr>
      <t>(La Mascota)</t>
    </r>
  </si>
  <si>
    <t>ARTÍCULOS</t>
  </si>
  <si>
    <t>VENICE Oficinas</t>
  </si>
  <si>
    <t>A.C.A.</t>
  </si>
  <si>
    <t>PH CONO GRANDE INSTI</t>
  </si>
  <si>
    <t>LYSOFORM DESINFECTANTE</t>
  </si>
  <si>
    <t>ADHESIVO GLADE INODORO</t>
  </si>
  <si>
    <t>HDI - Benavidez</t>
  </si>
  <si>
    <t>Delegacion Nuevo Delta</t>
  </si>
  <si>
    <t>Cs.Canal</t>
  </si>
  <si>
    <t>COT CHICO</t>
  </si>
  <si>
    <t xml:space="preserve">PRENSA </t>
  </si>
  <si>
    <t>EMBUDO</t>
  </si>
  <si>
    <t>CATAMARAN SET</t>
  </si>
  <si>
    <t>Casa Eva Peron Fondo</t>
  </si>
  <si>
    <t>BARBIJO BICAPA CON ELASTICO</t>
  </si>
  <si>
    <t>GATILLO PULVERIZADOR ECO</t>
  </si>
  <si>
    <t>TOALLA ROLLO 200MTS</t>
  </si>
  <si>
    <t>Pulverizador x 1L GEN.</t>
  </si>
  <si>
    <t>MAMELUCO TYVEK 500 XPERT XL</t>
  </si>
  <si>
    <t>PULVERIZADOR X 1L C/ Gatillo Diver/SUTTER</t>
  </si>
  <si>
    <t>PAPEL HIG. ELITE X 50 MTS D/H  (ART 6617)</t>
  </si>
  <si>
    <t>DISPENSER DE TOALLA EN ROLLO SIN MEC</t>
  </si>
  <si>
    <t>ALCOHOL ETILICO 96ª X 5L</t>
  </si>
  <si>
    <t>Pulverizador x 750cm GEN.</t>
  </si>
  <si>
    <t>PULVERIZADOR X 500CC AZULADO</t>
  </si>
  <si>
    <t>GUANTE NITRILO NEGRO SMALL GREAT GLOVE</t>
  </si>
  <si>
    <t xml:space="preserve">ALCOHOL ETILICO </t>
  </si>
  <si>
    <t xml:space="preserve">HDI - Don Torcuato </t>
  </si>
  <si>
    <t>POLID. Zorzal</t>
  </si>
  <si>
    <t>POLID. Dique Lujan</t>
  </si>
  <si>
    <t>UTN</t>
  </si>
  <si>
    <t>MOVIL SANITARIO</t>
  </si>
  <si>
    <t>CESTO C/TAPA 150L</t>
  </si>
  <si>
    <t>Farmacia Nores</t>
  </si>
  <si>
    <t>Faltas De Transito</t>
  </si>
  <si>
    <t>CUATERNARIO ONDA NEXT (SANIFY) X 5L</t>
  </si>
  <si>
    <t>CS Don Torcuato</t>
  </si>
  <si>
    <t>C.S. Belgrano</t>
  </si>
  <si>
    <t>Delegacion Pacheco</t>
  </si>
  <si>
    <t>MICROFIBRA ECO 30 X 30 NARANJA ROYCO</t>
  </si>
  <si>
    <t>CARRO DOBLE BALDE ORION ITALIMPIA</t>
  </si>
  <si>
    <t xml:space="preserve">DESINFECTANTE CUATERNARIO X 5L </t>
  </si>
  <si>
    <t>Centro Salud Mental</t>
  </si>
  <si>
    <t>SET BENAVIDEZ</t>
  </si>
  <si>
    <t>GEL LAVANDINA IDEFIX III</t>
  </si>
  <si>
    <t>HIGIENE URBANA</t>
  </si>
  <si>
    <t>PH CONO CHICO INSTI</t>
  </si>
  <si>
    <t>TOALLAS PAPEL INTERC</t>
  </si>
  <si>
    <t>BOLSA ASPIRADORA KARCHER T14</t>
  </si>
  <si>
    <t>HDI Torcuato  Resonancia</t>
  </si>
  <si>
    <t>DEPARTAMENTO CIRO</t>
  </si>
  <si>
    <t>PEROXY 4D X 5L SPARTAN</t>
  </si>
  <si>
    <t>OBRAS PARTICULARES</t>
  </si>
  <si>
    <t>PAPEL HIG. ELITE X 30 MTS S/H  (ART 6602)</t>
  </si>
  <si>
    <t>PAPEL HIG. ELITE D/H  X 30 MTS(ART 6616)</t>
  </si>
  <si>
    <t>Desarrollo Economico</t>
  </si>
  <si>
    <t>PAPEL HIG. ELITE X 30 MTS S/H  (ART 6602)</t>
  </si>
  <si>
    <t>CIFF / MR MUSCULO CREMA</t>
  </si>
  <si>
    <t>SOPAPAS SACCHI</t>
  </si>
  <si>
    <t>BALDES X13L</t>
  </si>
  <si>
    <t>GUANTE NITRILO M</t>
  </si>
  <si>
    <t>PULVERIZADOR X 1L GEN.</t>
  </si>
  <si>
    <t>Secretaria Operativa</t>
  </si>
  <si>
    <t>Codigo</t>
  </si>
  <si>
    <t xml:space="preserve">Articulos </t>
  </si>
  <si>
    <t>AREA HOMBRES</t>
  </si>
  <si>
    <t>Casa de las Culturas</t>
  </si>
  <si>
    <t>AUTOMOTORES</t>
  </si>
  <si>
    <t>TOALLA INTERC. BLANCA PREMIUM VYMAT</t>
  </si>
  <si>
    <t>HARPIC LIMPIA INODOROS</t>
  </si>
  <si>
    <t>Ctro. Frida Kahlo NORES</t>
  </si>
  <si>
    <t>EDIFICIO AZUL P11</t>
  </si>
  <si>
    <t>EDIFICIO AZUL P13</t>
  </si>
  <si>
    <t>Biblioteca Rincon</t>
  </si>
  <si>
    <t>Micro Estadio Poli San martin</t>
  </si>
  <si>
    <t>Micro Estadio Poli Benavidez</t>
  </si>
  <si>
    <t>Posta Benavidez (Cementerio)</t>
  </si>
  <si>
    <t>Posta Benavidez (Esperanza)</t>
  </si>
  <si>
    <t>Delegacion Benavidez</t>
  </si>
  <si>
    <t>EDIFICIO AZUL P2</t>
  </si>
  <si>
    <t>CONTROL URBANA</t>
  </si>
  <si>
    <t>SECADOR INYECTADO SAMANTHA 40CM</t>
  </si>
  <si>
    <t>SECADOR INYECTADO SAMANTHA 50CM</t>
  </si>
  <si>
    <t>Hispano Club</t>
  </si>
  <si>
    <t>COMISARIA TIGRE</t>
  </si>
  <si>
    <t xml:space="preserve">TOALLA INTERCALADA EXTRA BLANCA </t>
  </si>
  <si>
    <t xml:space="preserve">PAPEL HIG. X 30 MTS S/H </t>
  </si>
  <si>
    <t>Puerto Ambiental</t>
  </si>
  <si>
    <t>TOALLA EN ROLLO X 200MTS VIRGEN</t>
  </si>
  <si>
    <t xml:space="preserve">MES: </t>
  </si>
  <si>
    <t>CARRO DOBLE BALDE ROYCO 60L</t>
  </si>
  <si>
    <t>PH CONO CHICO X 300MTS VIRGEN</t>
  </si>
  <si>
    <t>SPARTAN DMQ DESINFECTANTE HOSPITALARIO X 5L</t>
  </si>
  <si>
    <t>COMANDO TORCUATO</t>
  </si>
  <si>
    <t>Fiscalia Los Troncos</t>
  </si>
  <si>
    <t>HOSPITAL MATERNO</t>
  </si>
  <si>
    <t>Violencia  De Genero</t>
  </si>
  <si>
    <t>PAPEL HIG. X 30 MTS S/H DESNUDO</t>
  </si>
  <si>
    <t xml:space="preserve">TOALLA INTERCALDA CANELA </t>
  </si>
  <si>
    <t>PH CONO CHICO LIV REC</t>
  </si>
  <si>
    <t>PH CONO CHICO LIV VIRGEN</t>
  </si>
  <si>
    <t>LUSTRAMUEBLE DANUBIO</t>
  </si>
  <si>
    <t>DMQ SPARTAN  DESINF. HOSPITALARIO X 5L</t>
  </si>
  <si>
    <t>OFICINA HUERGO - CABA</t>
  </si>
  <si>
    <t>ADM Puerto de Frutos</t>
  </si>
  <si>
    <t>Sem 1</t>
  </si>
  <si>
    <t>Sem 2</t>
  </si>
  <si>
    <t>Sem 3</t>
  </si>
  <si>
    <t>Sem 4</t>
  </si>
  <si>
    <t>Sem 5</t>
  </si>
  <si>
    <t>Dev</t>
  </si>
  <si>
    <t>TURISMO</t>
  </si>
  <si>
    <t>Eliana Mamani</t>
  </si>
  <si>
    <t>BRENDA TEVEZ</t>
  </si>
  <si>
    <t xml:space="preserve">Sem 1 </t>
  </si>
  <si>
    <t xml:space="preserve">Sem 2 </t>
  </si>
  <si>
    <t xml:space="preserve">Sem 4 </t>
  </si>
  <si>
    <t xml:space="preserve">Sem 5 </t>
  </si>
  <si>
    <t xml:space="preserve">Jose Molina </t>
  </si>
  <si>
    <t>GUANTES LATEX GRANDE</t>
  </si>
  <si>
    <t>Daniela Presentado</t>
  </si>
  <si>
    <t>Laura Tolosa</t>
  </si>
  <si>
    <t>CELESTE CHAVEZ</t>
  </si>
  <si>
    <t>Quincenal</t>
  </si>
  <si>
    <t>Silvina Castaño</t>
  </si>
  <si>
    <t>Camila Ángel</t>
  </si>
  <si>
    <t>Agustina Nacimiento</t>
  </si>
  <si>
    <t>MARTES</t>
  </si>
  <si>
    <t>Tamara Tolosa</t>
  </si>
  <si>
    <t>MAGALI SCETTI</t>
  </si>
  <si>
    <t>SEM 1</t>
  </si>
  <si>
    <t>martes</t>
  </si>
  <si>
    <t>SEM 2</t>
  </si>
  <si>
    <t>SEM 3</t>
  </si>
  <si>
    <t>SEM 4</t>
  </si>
  <si>
    <t>SEM 5</t>
  </si>
  <si>
    <t xml:space="preserve">    Mariana Perez</t>
  </si>
  <si>
    <t>sem 1</t>
  </si>
  <si>
    <t>dev</t>
  </si>
  <si>
    <t>sem 2</t>
  </si>
  <si>
    <t>sem 3</t>
  </si>
  <si>
    <t>sem 4</t>
  </si>
  <si>
    <t>sem 5</t>
  </si>
  <si>
    <t xml:space="preserve">ANDREA RIOS </t>
  </si>
  <si>
    <t>TOTAL</t>
  </si>
  <si>
    <t>MARINA SALDAÑA</t>
  </si>
  <si>
    <t>LAURA GOMEZ</t>
  </si>
  <si>
    <t>DEV</t>
  </si>
  <si>
    <t>BEATRIZ MOREIRA</t>
  </si>
  <si>
    <t xml:space="preserve">SEM 1 </t>
  </si>
  <si>
    <t>YESICA FIGUEROA</t>
  </si>
  <si>
    <t>MELINA CARRA</t>
  </si>
  <si>
    <t>NATATORIO</t>
  </si>
  <si>
    <t>SOFIA PAEZ</t>
  </si>
  <si>
    <t>NANCY BARRAZA</t>
  </si>
  <si>
    <t>VALENTINA LUNA</t>
  </si>
  <si>
    <t>ANA SILVA VIVEROS</t>
  </si>
  <si>
    <t>DEVORA MORFINO</t>
  </si>
  <si>
    <t xml:space="preserve"> </t>
  </si>
  <si>
    <t>MARIA FUNES</t>
  </si>
  <si>
    <t>SANDRA MOYANO</t>
  </si>
  <si>
    <t>FLORENCIA GRAMAJO</t>
  </si>
  <si>
    <t xml:space="preserve">MICAELA MEZA </t>
  </si>
  <si>
    <t xml:space="preserve">ANA GUILLIO </t>
  </si>
  <si>
    <t>NORA OJEDA</t>
  </si>
  <si>
    <t xml:space="preserve">SEM1 </t>
  </si>
  <si>
    <t>SEM2</t>
  </si>
  <si>
    <t>SEM3</t>
  </si>
  <si>
    <t>SEM4</t>
  </si>
  <si>
    <t>SEM5</t>
  </si>
  <si>
    <t>MARIA RODRIGUEZ</t>
  </si>
  <si>
    <t>KARINA GODOY</t>
  </si>
  <si>
    <t>MILAGROS PALAVECINO</t>
  </si>
  <si>
    <t>MARGARITA GONZALEZ</t>
  </si>
  <si>
    <t>ADRIANA ESCALANTE</t>
  </si>
  <si>
    <t>SEM1</t>
  </si>
  <si>
    <t>NATALIA ESPINOZA</t>
  </si>
  <si>
    <t>ALDANA BRAVO</t>
  </si>
  <si>
    <t>CATALINA IVANOFF</t>
  </si>
  <si>
    <t xml:space="preserve">DEV </t>
  </si>
  <si>
    <t xml:space="preserve">PULVERIZADOR X 500CC </t>
  </si>
  <si>
    <t>DEBORA SANDOBAL</t>
  </si>
  <si>
    <t>DIANA BAEZ</t>
  </si>
  <si>
    <t>GRISELDA BODNER</t>
  </si>
  <si>
    <t>LUNES</t>
  </si>
  <si>
    <t>PRISCILA SALAZAR</t>
  </si>
  <si>
    <t>ANTONELLA FERREYRA</t>
  </si>
  <si>
    <t xml:space="preserve">KARINA NOGUERA </t>
  </si>
  <si>
    <t>ZULMA CORDOBA</t>
  </si>
  <si>
    <t>RITA GOMEZ</t>
  </si>
  <si>
    <t>MIRIAM GUZMAN</t>
  </si>
  <si>
    <t>SILVIA CHAPA</t>
  </si>
  <si>
    <t>ADRIANA FERNANDEZ</t>
  </si>
  <si>
    <t>CAROLINA MORENO</t>
  </si>
  <si>
    <t>ANA MANFREDINI</t>
  </si>
  <si>
    <t>VIVIANA PUCHETA</t>
  </si>
  <si>
    <t>LILIANA MANCILLA</t>
  </si>
  <si>
    <t>MILAGROS PEDRAZA</t>
  </si>
  <si>
    <t>DAIANA MAIDANA</t>
  </si>
  <si>
    <t>AGUSTINA NACIMIENTO</t>
  </si>
  <si>
    <t>MARIA SANDOVAL</t>
  </si>
  <si>
    <t>JUEVES</t>
  </si>
  <si>
    <t>MORENA BAUZA</t>
  </si>
  <si>
    <t>NORA FORTUNATTI</t>
  </si>
  <si>
    <t>MELANY TORRILLAS</t>
  </si>
  <si>
    <t xml:space="preserve">CRISTINA MAIDANA </t>
  </si>
  <si>
    <t>CLAUDIA MESQUIDA</t>
  </si>
  <si>
    <t>EVELYN CARDENAS</t>
  </si>
  <si>
    <t>NORMA FIGUEROA</t>
  </si>
  <si>
    <t>NATALIA MARTINEZ</t>
  </si>
  <si>
    <t>SANDRA MORILLO</t>
  </si>
  <si>
    <t>FELICITAS BENITEZ</t>
  </si>
  <si>
    <t>LUZ FERNANDEZ</t>
  </si>
  <si>
    <t>ESTELA TORRES</t>
  </si>
  <si>
    <t>SOLEDAD DIAZ</t>
  </si>
  <si>
    <t>LORENA MANCILLA</t>
  </si>
  <si>
    <t>OLGA SAYAGO</t>
  </si>
  <si>
    <t>CACERES GISELE</t>
  </si>
  <si>
    <t>KARINA FUNES</t>
  </si>
  <si>
    <t>CARLA TORRES</t>
  </si>
  <si>
    <t>MALENA CACERES</t>
  </si>
  <si>
    <t>VIERNES</t>
  </si>
  <si>
    <t>MARISA PORQUERES</t>
  </si>
  <si>
    <t>ESTELA PEDRAZA</t>
  </si>
  <si>
    <t>DAIANA RIGGIO</t>
  </si>
  <si>
    <t>CAMILA MEDINA</t>
  </si>
  <si>
    <t>CLAUDIA FLORES</t>
  </si>
  <si>
    <t xml:space="preserve">ESTELA PEDRAZA </t>
  </si>
  <si>
    <t>SUSANA RODA</t>
  </si>
  <si>
    <t>LAURA AVILA</t>
  </si>
  <si>
    <t xml:space="preserve">YESICA SILVA </t>
  </si>
  <si>
    <t>CAMILA PALACIOS</t>
  </si>
  <si>
    <t>LEILA BELLI</t>
  </si>
  <si>
    <t>MARIO OJEDA</t>
  </si>
  <si>
    <t>ALEJANDRA MANETTI</t>
  </si>
  <si>
    <t>DIEGO ARGUELLO</t>
  </si>
  <si>
    <t>ALTERNETIVO</t>
  </si>
  <si>
    <t>MELISA COPPA</t>
  </si>
  <si>
    <t>LUIS VALENZUELA</t>
  </si>
  <si>
    <t>ALTERNATIVA</t>
  </si>
  <si>
    <t>CELESTE CABRERA</t>
  </si>
  <si>
    <t>YAMILA GUZMAN</t>
  </si>
  <si>
    <t>ALTERNATIVO</t>
  </si>
  <si>
    <t>CAROLINA BARRIOS</t>
  </si>
  <si>
    <t>MARIELA ARANDA</t>
  </si>
  <si>
    <t>NICOL DURE</t>
  </si>
  <si>
    <t xml:space="preserve"> DEV</t>
  </si>
  <si>
    <t xml:space="preserve">GUANTE NITRILO NEGRO SMALL </t>
  </si>
  <si>
    <t>POLID. R. ROJAS</t>
  </si>
  <si>
    <t>SEM</t>
  </si>
  <si>
    <t>C. S. BAIRES</t>
  </si>
  <si>
    <t xml:space="preserve">DETERGENTE </t>
  </si>
  <si>
    <t>CUATERNARIO ONDA NEXT X 5L</t>
  </si>
  <si>
    <t>FERNANDA BARROSO</t>
  </si>
  <si>
    <t>CARDIOLOGIA</t>
  </si>
  <si>
    <t>Teatro Pepe Soriano- Benavidez</t>
  </si>
  <si>
    <t>MILAGROS BENAVIDEZ</t>
  </si>
  <si>
    <t>MARISA CACERES</t>
  </si>
  <si>
    <t>Casa Eva Peron(adelante)</t>
  </si>
  <si>
    <t>FLORENCIA RIOS</t>
  </si>
  <si>
    <t>NANCY KIT</t>
  </si>
  <si>
    <t>NADIA DIAZ</t>
  </si>
  <si>
    <t>ELENA NUÑEZ</t>
  </si>
  <si>
    <t>Micro Estadio Poli BENAVIDEZ</t>
  </si>
  <si>
    <t>LUDMILA BUSTOS</t>
  </si>
  <si>
    <t>SECUESTRANTE POLVO</t>
  </si>
  <si>
    <t>MES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</si>
  <si>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</si>
  <si>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>TRAPO DE PISO BLANCO</t>
  </si>
  <si>
    <t>NITRILO MEDIANO</t>
  </si>
  <si>
    <t xml:space="preserve">    </t>
  </si>
  <si>
    <t>FRECUENCIA SEMANAL</t>
  </si>
  <si>
    <t>DISP ROLLO</t>
  </si>
  <si>
    <t>DISPENSER JABON LIQUIDO</t>
  </si>
  <si>
    <t>Poli San Martin(TORCUATO)</t>
  </si>
  <si>
    <t>DISPENSER ROLLO</t>
  </si>
  <si>
    <t>DISPENSER CONO CHICO</t>
  </si>
  <si>
    <t>MOPA 1,20 COMPLETA</t>
  </si>
  <si>
    <t>CEPAN</t>
  </si>
  <si>
    <t>ISABEL AVELLANEDA</t>
  </si>
  <si>
    <t>KATIA GREEN</t>
  </si>
  <si>
    <t xml:space="preserve">KATIA GREEN </t>
  </si>
  <si>
    <t>Atencion al vecino</t>
  </si>
  <si>
    <t>DMQ</t>
  </si>
  <si>
    <t>STEEL SHANE</t>
  </si>
  <si>
    <t>PALO ALUMINIO</t>
  </si>
  <si>
    <t>Biblioteca (Tigre)</t>
  </si>
  <si>
    <t>BRUJA</t>
  </si>
  <si>
    <t>VALOT</t>
  </si>
  <si>
    <t>SET PUERTO</t>
  </si>
  <si>
    <t>SACATELARAÑAS</t>
  </si>
  <si>
    <t xml:space="preserve">  </t>
  </si>
  <si>
    <t>DISPENSER PORTA ROLLO</t>
  </si>
  <si>
    <t>SET 197</t>
  </si>
  <si>
    <t>MES: FEBRERO</t>
  </si>
  <si>
    <t>CONO CHICO ELITE</t>
  </si>
  <si>
    <t>MES: MARZO 2026</t>
  </si>
  <si>
    <t>MES: MARZO  2026</t>
  </si>
  <si>
    <t>SIN SERVICIO</t>
  </si>
  <si>
    <t>MES MARZO 2026</t>
  </si>
  <si>
    <t>MES : MARZO 2026</t>
  </si>
  <si>
    <t>MES: MARZO 2025</t>
  </si>
  <si>
    <t>baje</t>
  </si>
  <si>
    <t>*</t>
  </si>
  <si>
    <t>n/hay</t>
  </si>
  <si>
    <t>NO HAY</t>
  </si>
  <si>
    <t>ARMAZON 60 CM</t>
  </si>
  <si>
    <t>N/H</t>
  </si>
  <si>
    <t>JARRA</t>
  </si>
  <si>
    <t>|</t>
  </si>
  <si>
    <t>NITRILO M</t>
  </si>
  <si>
    <t xml:space="preserve">DISPENSER DE TOALLA EN ROLLO </t>
  </si>
  <si>
    <t>plumero</t>
  </si>
  <si>
    <t>PATITO S</t>
  </si>
  <si>
    <t>SECUESTRANTE</t>
  </si>
  <si>
    <t>MOPA COMPLETA 80 CM</t>
  </si>
  <si>
    <t>SOPAPA CHICA</t>
  </si>
  <si>
    <t>PULVERIZADOR</t>
  </si>
  <si>
    <t>PORTA ROLLO</t>
  </si>
  <si>
    <t>BARBIJOS</t>
  </si>
  <si>
    <t>MOPA 1,20</t>
  </si>
  <si>
    <t>MOPA COMPLETA 1,50 CM</t>
  </si>
  <si>
    <t>DISPENSER DE ROLLO</t>
  </si>
  <si>
    <t>CUATERNARIO</t>
  </si>
  <si>
    <t>DISPENSER CONO</t>
  </si>
  <si>
    <t>DISPENSER INTERCALADAS</t>
  </si>
  <si>
    <t>MOPA COMPLETA 1,20</t>
  </si>
  <si>
    <t>ALCOHOL</t>
  </si>
  <si>
    <t>DISP INTERCALADA</t>
  </si>
  <si>
    <t>SOPAPA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</si>
</sst>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rgb="FF000000"/>
      <name val="Calibri"/>
      <family val="2"/>
    </font>
    <font>
      <sz val="22"/>
      <color theme="1"/>
      <name val="Calibri"/>
      <family val="2"/>
      <scheme val="minor"/>
    </font>
    <font>
      <sz val="8"/>
      <name val="Arial"/>
      <family val="2"/>
    </font>
    <font>
      <b/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color rgb="FF2121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82" fillId="0" borderId="0"/>
    <xf numFmtId="0" fontId="76" fillId="0" borderId="0"/>
    <xf numFmtId="0" fontId="75" fillId="0" borderId="0"/>
    <xf numFmtId="0" fontId="74" fillId="0" borderId="0"/>
    <xf numFmtId="0" fontId="50" fillId="0" borderId="0"/>
    <xf numFmtId="0" fontId="48" fillId="0" borderId="0"/>
    <xf numFmtId="0" fontId="47" fillId="0" borderId="0"/>
    <xf numFmtId="0" fontId="45" fillId="0" borderId="0"/>
    <xf numFmtId="0" fontId="40" fillId="0" borderId="0"/>
  </cellStyleXfs>
  <cellXfs count="821">
    <xf numFmtId="0" fontId="0" fillId="0" borderId="0" xfId="0"/>
    <xf numFmtId="0" fontId="80" fillId="0" borderId="3" xfId="0" applyFont="1" applyBorder="1"/>
    <xf numFmtId="0" fontId="81" fillId="0" borderId="0" xfId="1" applyFont="1"/>
    <xf numFmtId="0" fontId="82" fillId="0" borderId="0" xfId="1"/>
    <xf numFmtId="0" fontId="77" fillId="0" borderId="0" xfId="1" applyFont="1" applyAlignment="1">
      <alignment horizontal="center" vertical="center"/>
    </xf>
    <xf numFmtId="0" fontId="81" fillId="0" borderId="21" xfId="1" applyFont="1" applyBorder="1" applyAlignment="1">
      <alignment horizontal="center" vertical="center"/>
    </xf>
    <xf numFmtId="0" fontId="77" fillId="0" borderId="12" xfId="1" applyFont="1" applyBorder="1" applyAlignment="1">
      <alignment horizontal="center" vertical="center"/>
    </xf>
    <xf numFmtId="0" fontId="77" fillId="0" borderId="12" xfId="1" applyFont="1" applyBorder="1" applyAlignment="1">
      <alignment horizontal="center"/>
    </xf>
    <xf numFmtId="0" fontId="77" fillId="0" borderId="0" xfId="1" applyFont="1"/>
    <xf numFmtId="0" fontId="77" fillId="0" borderId="13" xfId="1" applyFont="1" applyBorder="1" applyAlignment="1">
      <alignment horizontal="center"/>
    </xf>
    <xf numFmtId="0" fontId="77" fillId="0" borderId="14" xfId="1" applyFont="1" applyBorder="1" applyAlignment="1">
      <alignment horizontal="center"/>
    </xf>
    <xf numFmtId="0" fontId="80" fillId="0" borderId="18" xfId="1" applyFont="1" applyBorder="1"/>
    <xf numFmtId="0" fontId="80" fillId="0" borderId="19" xfId="1" applyFont="1" applyBorder="1"/>
    <xf numFmtId="0" fontId="80" fillId="0" borderId="27" xfId="1" applyFont="1" applyBorder="1"/>
    <xf numFmtId="0" fontId="80" fillId="0" borderId="36" xfId="1" applyFont="1" applyBorder="1"/>
    <xf numFmtId="0" fontId="79" fillId="0" borderId="0" xfId="1" applyFont="1"/>
    <xf numFmtId="2" fontId="79" fillId="0" borderId="27" xfId="1" applyNumberFormat="1" applyFont="1" applyBorder="1"/>
    <xf numFmtId="0" fontId="80" fillId="0" borderId="20" xfId="1" applyFont="1" applyBorder="1"/>
    <xf numFmtId="0" fontId="81" fillId="0" borderId="0" xfId="1" applyFont="1" applyAlignment="1">
      <alignment horizontal="center" vertical="center"/>
    </xf>
    <xf numFmtId="0" fontId="77" fillId="0" borderId="32" xfId="1" applyFont="1" applyBorder="1" applyAlignment="1">
      <alignment horizontal="center"/>
    </xf>
    <xf numFmtId="0" fontId="77" fillId="0" borderId="33" xfId="1" applyFont="1" applyBorder="1" applyAlignment="1">
      <alignment horizontal="center"/>
    </xf>
    <xf numFmtId="0" fontId="77" fillId="0" borderId="26" xfId="1" applyFont="1" applyBorder="1" applyAlignment="1">
      <alignment horizontal="center"/>
    </xf>
    <xf numFmtId="0" fontId="80" fillId="0" borderId="31" xfId="1" applyFont="1" applyBorder="1"/>
    <xf numFmtId="0" fontId="80" fillId="0" borderId="30" xfId="1" applyFont="1" applyBorder="1"/>
    <xf numFmtId="0" fontId="80" fillId="0" borderId="35" xfId="1" applyFont="1" applyBorder="1"/>
    <xf numFmtId="0" fontId="80" fillId="0" borderId="38" xfId="1" applyFont="1" applyBorder="1"/>
    <xf numFmtId="0" fontId="87" fillId="0" borderId="0" xfId="0" applyFont="1" applyAlignment="1">
      <alignment vertical="center"/>
    </xf>
    <xf numFmtId="0" fontId="75" fillId="0" borderId="0" xfId="1" applyFont="1"/>
    <xf numFmtId="0" fontId="75" fillId="0" borderId="8" xfId="1" applyFont="1" applyBorder="1"/>
    <xf numFmtId="0" fontId="75" fillId="0" borderId="15" xfId="1" applyFont="1" applyBorder="1"/>
    <xf numFmtId="0" fontId="75" fillId="0" borderId="18" xfId="1" applyFont="1" applyBorder="1"/>
    <xf numFmtId="0" fontId="75" fillId="0" borderId="4" xfId="1" applyFont="1" applyBorder="1"/>
    <xf numFmtId="0" fontId="75" fillId="0" borderId="19" xfId="1" applyFont="1" applyBorder="1" applyAlignment="1">
      <alignment horizontal="center"/>
    </xf>
    <xf numFmtId="0" fontId="75" fillId="0" borderId="7" xfId="1" applyFont="1" applyBorder="1"/>
    <xf numFmtId="0" fontId="75" fillId="0" borderId="16" xfId="1" applyFont="1" applyBorder="1"/>
    <xf numFmtId="0" fontId="75" fillId="0" borderId="19" xfId="1" applyFont="1" applyBorder="1"/>
    <xf numFmtId="0" fontId="75" fillId="0" borderId="1" xfId="1" applyFont="1" applyBorder="1"/>
    <xf numFmtId="164" fontId="75" fillId="0" borderId="19" xfId="1" applyNumberFormat="1" applyFont="1" applyBorder="1"/>
    <xf numFmtId="0" fontId="75" fillId="0" borderId="20" xfId="1" applyFont="1" applyBorder="1"/>
    <xf numFmtId="0" fontId="75" fillId="0" borderId="10" xfId="1" applyFont="1" applyBorder="1"/>
    <xf numFmtId="0" fontId="75" fillId="0" borderId="17" xfId="1" applyFont="1" applyBorder="1"/>
    <xf numFmtId="0" fontId="75" fillId="0" borderId="0" xfId="1" applyFont="1" applyAlignment="1">
      <alignment horizontal="center"/>
    </xf>
    <xf numFmtId="1" fontId="75" fillId="0" borderId="18" xfId="1" applyNumberFormat="1" applyFont="1" applyBorder="1" applyAlignment="1">
      <alignment horizontal="center"/>
    </xf>
    <xf numFmtId="1" fontId="75" fillId="0" borderId="19" xfId="1" applyNumberFormat="1" applyFont="1" applyBorder="1" applyAlignment="1">
      <alignment horizontal="center"/>
    </xf>
    <xf numFmtId="0" fontId="75" fillId="0" borderId="27" xfId="1" applyFont="1" applyBorder="1"/>
    <xf numFmtId="164" fontId="75" fillId="0" borderId="27" xfId="1" applyNumberFormat="1" applyFont="1" applyBorder="1" applyAlignment="1">
      <alignment horizontal="center"/>
    </xf>
    <xf numFmtId="164" fontId="75" fillId="0" borderId="20" xfId="1" applyNumberFormat="1" applyFont="1" applyBorder="1" applyAlignment="1">
      <alignment horizontal="center"/>
    </xf>
    <xf numFmtId="164" fontId="75" fillId="0" borderId="19" xfId="1" applyNumberFormat="1" applyFont="1" applyBorder="1" applyAlignment="1">
      <alignment horizontal="center"/>
    </xf>
    <xf numFmtId="164" fontId="75" fillId="0" borderId="18" xfId="1" applyNumberFormat="1" applyFont="1" applyBorder="1" applyAlignment="1">
      <alignment horizontal="center"/>
    </xf>
    <xf numFmtId="0" fontId="80" fillId="0" borderId="3" xfId="1" applyFont="1" applyBorder="1"/>
    <xf numFmtId="0" fontId="77" fillId="0" borderId="22" xfId="1" applyFont="1" applyBorder="1" applyAlignment="1">
      <alignment horizontal="center" vertical="center"/>
    </xf>
    <xf numFmtId="0" fontId="80" fillId="0" borderId="0" xfId="1" applyFont="1"/>
    <xf numFmtId="0" fontId="77" fillId="0" borderId="26" xfId="1" applyFont="1" applyBorder="1" applyAlignment="1">
      <alignment horizontal="center" vertical="center"/>
    </xf>
    <xf numFmtId="2" fontId="80" fillId="0" borderId="30" xfId="1" applyNumberFormat="1" applyFont="1" applyBorder="1"/>
    <xf numFmtId="2" fontId="80" fillId="0" borderId="18" xfId="1" applyNumberFormat="1" applyFont="1" applyBorder="1"/>
    <xf numFmtId="2" fontId="80" fillId="0" borderId="31" xfId="1" applyNumberFormat="1" applyFont="1" applyBorder="1"/>
    <xf numFmtId="2" fontId="80" fillId="0" borderId="19" xfId="1" applyNumberFormat="1" applyFont="1" applyBorder="1"/>
    <xf numFmtId="0" fontId="82" fillId="0" borderId="26" xfId="1" applyBorder="1" applyAlignment="1">
      <alignment horizontal="center"/>
    </xf>
    <xf numFmtId="0" fontId="82" fillId="0" borderId="0" xfId="1" applyAlignment="1">
      <alignment horizontal="center"/>
    </xf>
    <xf numFmtId="164" fontId="75" fillId="0" borderId="18" xfId="1" applyNumberFormat="1" applyFont="1" applyBorder="1"/>
    <xf numFmtId="0" fontId="78" fillId="0" borderId="19" xfId="1" applyFont="1" applyBorder="1"/>
    <xf numFmtId="2" fontId="75" fillId="0" borderId="18" xfId="1" applyNumberFormat="1" applyFont="1" applyBorder="1"/>
    <xf numFmtId="2" fontId="75" fillId="0" borderId="19" xfId="1" applyNumberFormat="1" applyFont="1" applyBorder="1"/>
    <xf numFmtId="0" fontId="82" fillId="0" borderId="0" xfId="1" applyAlignment="1">
      <alignment horizontal="left"/>
    </xf>
    <xf numFmtId="0" fontId="80" fillId="0" borderId="12" xfId="1" applyFont="1" applyBorder="1"/>
    <xf numFmtId="0" fontId="80" fillId="0" borderId="31" xfId="3" applyFont="1" applyBorder="1"/>
    <xf numFmtId="0" fontId="75" fillId="0" borderId="16" xfId="3" applyBorder="1"/>
    <xf numFmtId="0" fontId="73" fillId="0" borderId="3" xfId="0" applyFont="1" applyBorder="1"/>
    <xf numFmtId="0" fontId="80" fillId="0" borderId="31" xfId="0" applyFont="1" applyBorder="1"/>
    <xf numFmtId="16" fontId="77" fillId="0" borderId="32" xfId="1" applyNumberFormat="1" applyFont="1" applyBorder="1" applyAlignment="1">
      <alignment horizontal="center"/>
    </xf>
    <xf numFmtId="0" fontId="72" fillId="0" borderId="3" xfId="0" applyFont="1" applyBorder="1"/>
    <xf numFmtId="0" fontId="72" fillId="0" borderId="19" xfId="1" applyFont="1" applyBorder="1"/>
    <xf numFmtId="0" fontId="73" fillId="0" borderId="16" xfId="0" applyFont="1" applyBorder="1"/>
    <xf numFmtId="0" fontId="71" fillId="0" borderId="0" xfId="1" applyFont="1"/>
    <xf numFmtId="14" fontId="77" fillId="0" borderId="13" xfId="1" applyNumberFormat="1" applyFont="1" applyBorder="1" applyAlignment="1">
      <alignment horizontal="center"/>
    </xf>
    <xf numFmtId="0" fontId="71" fillId="0" borderId="29" xfId="1" applyFont="1" applyBorder="1"/>
    <xf numFmtId="0" fontId="71" fillId="0" borderId="18" xfId="1" applyFont="1" applyBorder="1" applyAlignment="1">
      <alignment horizontal="center"/>
    </xf>
    <xf numFmtId="0" fontId="71" fillId="0" borderId="8" xfId="1" applyFont="1" applyBorder="1"/>
    <xf numFmtId="0" fontId="71" fillId="0" borderId="18" xfId="1" applyFont="1" applyBorder="1"/>
    <xf numFmtId="0" fontId="71" fillId="0" borderId="4" xfId="1" applyFont="1" applyBorder="1"/>
    <xf numFmtId="0" fontId="71" fillId="0" borderId="19" xfId="1" applyFont="1" applyBorder="1" applyAlignment="1">
      <alignment horizontal="center"/>
    </xf>
    <xf numFmtId="0" fontId="71" fillId="0" borderId="1" xfId="1" applyFont="1" applyBorder="1"/>
    <xf numFmtId="0" fontId="70" fillId="0" borderId="0" xfId="1" applyFont="1"/>
    <xf numFmtId="0" fontId="70" fillId="0" borderId="18" xfId="1" applyFont="1" applyBorder="1"/>
    <xf numFmtId="0" fontId="70" fillId="0" borderId="0" xfId="1" applyFont="1" applyAlignment="1">
      <alignment horizontal="center"/>
    </xf>
    <xf numFmtId="164" fontId="70" fillId="0" borderId="18" xfId="1" applyNumberFormat="1" applyFont="1" applyBorder="1" applyAlignment="1">
      <alignment horizontal="center"/>
    </xf>
    <xf numFmtId="0" fontId="70" fillId="0" borderId="8" xfId="1" applyFont="1" applyBorder="1"/>
    <xf numFmtId="0" fontId="70" fillId="0" borderId="19" xfId="1" applyFont="1" applyBorder="1"/>
    <xf numFmtId="164" fontId="70" fillId="0" borderId="19" xfId="1" applyNumberFormat="1" applyFont="1" applyBorder="1" applyAlignment="1">
      <alignment horizontal="center"/>
    </xf>
    <xf numFmtId="0" fontId="81" fillId="0" borderId="21" xfId="1" applyFont="1" applyBorder="1" applyAlignment="1">
      <alignment horizontal="left" vertical="center"/>
    </xf>
    <xf numFmtId="0" fontId="69" fillId="0" borderId="0" xfId="1" applyFont="1" applyAlignment="1">
      <alignment horizontal="left"/>
    </xf>
    <xf numFmtId="0" fontId="81" fillId="0" borderId="0" xfId="1" applyFont="1" applyAlignment="1">
      <alignment horizontal="left"/>
    </xf>
    <xf numFmtId="0" fontId="77" fillId="0" borderId="0" xfId="1" applyFont="1" applyAlignment="1">
      <alignment horizontal="left" vertical="center"/>
    </xf>
    <xf numFmtId="0" fontId="77" fillId="0" borderId="12" xfId="1" applyFont="1" applyBorder="1" applyAlignment="1">
      <alignment horizontal="left" vertical="center"/>
    </xf>
    <xf numFmtId="0" fontId="77" fillId="0" borderId="12" xfId="1" applyFont="1" applyBorder="1" applyAlignment="1">
      <alignment horizontal="left"/>
    </xf>
    <xf numFmtId="0" fontId="77" fillId="0" borderId="0" xfId="1" applyFont="1" applyAlignment="1">
      <alignment horizontal="left"/>
    </xf>
    <xf numFmtId="0" fontId="69" fillId="0" borderId="29" xfId="1" applyFont="1" applyBorder="1" applyAlignment="1">
      <alignment horizontal="left"/>
    </xf>
    <xf numFmtId="0" fontId="80" fillId="0" borderId="18" xfId="1" applyFont="1" applyBorder="1" applyAlignment="1">
      <alignment horizontal="left"/>
    </xf>
    <xf numFmtId="0" fontId="69" fillId="0" borderId="18" xfId="1" applyFont="1" applyBorder="1" applyAlignment="1">
      <alignment horizontal="left"/>
    </xf>
    <xf numFmtId="0" fontId="69" fillId="0" borderId="4" xfId="1" applyFont="1" applyBorder="1" applyAlignment="1">
      <alignment horizontal="left"/>
    </xf>
    <xf numFmtId="0" fontId="80" fillId="0" borderId="19" xfId="1" applyFont="1" applyBorder="1" applyAlignment="1">
      <alignment horizontal="left"/>
    </xf>
    <xf numFmtId="0" fontId="69" fillId="0" borderId="19" xfId="1" applyFont="1" applyBorder="1" applyAlignment="1">
      <alignment horizontal="left"/>
    </xf>
    <xf numFmtId="0" fontId="69" fillId="0" borderId="1" xfId="1" applyFont="1" applyBorder="1" applyAlignment="1">
      <alignment horizontal="left"/>
    </xf>
    <xf numFmtId="0" fontId="80" fillId="0" borderId="27" xfId="1" applyFont="1" applyBorder="1" applyAlignment="1">
      <alignment horizontal="left"/>
    </xf>
    <xf numFmtId="0" fontId="80" fillId="0" borderId="36" xfId="1" applyFont="1" applyBorder="1" applyAlignment="1">
      <alignment horizontal="left"/>
    </xf>
    <xf numFmtId="0" fontId="90" fillId="0" borderId="18" xfId="1" applyFont="1" applyBorder="1"/>
    <xf numFmtId="0" fontId="90" fillId="0" borderId="19" xfId="1" applyFont="1" applyBorder="1"/>
    <xf numFmtId="0" fontId="90" fillId="0" borderId="27" xfId="1" applyFont="1" applyBorder="1"/>
    <xf numFmtId="0" fontId="90" fillId="0" borderId="36" xfId="1" applyFont="1" applyBorder="1"/>
    <xf numFmtId="0" fontId="67" fillId="0" borderId="8" xfId="1" applyFont="1" applyBorder="1"/>
    <xf numFmtId="0" fontId="75" fillId="0" borderId="39" xfId="1" applyFont="1" applyBorder="1"/>
    <xf numFmtId="0" fontId="79" fillId="0" borderId="39" xfId="1" applyFont="1" applyBorder="1"/>
    <xf numFmtId="0" fontId="65" fillId="0" borderId="8" xfId="1" applyFont="1" applyBorder="1"/>
    <xf numFmtId="0" fontId="63" fillId="0" borderId="10" xfId="1" applyFont="1" applyBorder="1"/>
    <xf numFmtId="0" fontId="0" fillId="0" borderId="0" xfId="1" applyFont="1"/>
    <xf numFmtId="0" fontId="83" fillId="0" borderId="3" xfId="0" applyFont="1" applyBorder="1" applyAlignment="1">
      <alignment horizontal="right" vertical="center"/>
    </xf>
    <xf numFmtId="0" fontId="88" fillId="0" borderId="3" xfId="0" applyFont="1" applyBorder="1" applyAlignment="1">
      <alignment vertical="center"/>
    </xf>
    <xf numFmtId="0" fontId="61" fillId="0" borderId="18" xfId="1" applyFont="1" applyBorder="1"/>
    <xf numFmtId="0" fontId="60" fillId="0" borderId="7" xfId="1" applyFont="1" applyBorder="1"/>
    <xf numFmtId="0" fontId="59" fillId="0" borderId="3" xfId="0" applyFont="1" applyBorder="1"/>
    <xf numFmtId="0" fontId="89" fillId="0" borderId="3" xfId="0" applyFont="1" applyBorder="1" applyAlignment="1">
      <alignment vertical="center"/>
    </xf>
    <xf numFmtId="0" fontId="75" fillId="0" borderId="37" xfId="1" applyFont="1" applyBorder="1"/>
    <xf numFmtId="0" fontId="75" fillId="0" borderId="36" xfId="1" applyFont="1" applyBorder="1"/>
    <xf numFmtId="0" fontId="58" fillId="0" borderId="0" xfId="1" applyFont="1"/>
    <xf numFmtId="0" fontId="58" fillId="0" borderId="18" xfId="1" applyFont="1" applyBorder="1"/>
    <xf numFmtId="0" fontId="58" fillId="0" borderId="0" xfId="1" applyFont="1" applyAlignment="1">
      <alignment horizontal="center"/>
    </xf>
    <xf numFmtId="1" fontId="58" fillId="0" borderId="18" xfId="1" applyNumberFormat="1" applyFont="1" applyBorder="1" applyAlignment="1">
      <alignment horizontal="center"/>
    </xf>
    <xf numFmtId="0" fontId="58" fillId="0" borderId="8" xfId="1" applyFont="1" applyBorder="1"/>
    <xf numFmtId="0" fontId="58" fillId="0" borderId="19" xfId="1" applyFont="1" applyBorder="1"/>
    <xf numFmtId="1" fontId="58" fillId="0" borderId="19" xfId="1" applyNumberFormat="1" applyFont="1" applyBorder="1" applyAlignment="1">
      <alignment horizontal="center"/>
    </xf>
    <xf numFmtId="0" fontId="57" fillId="0" borderId="8" xfId="1" applyFont="1" applyBorder="1"/>
    <xf numFmtId="0" fontId="57" fillId="0" borderId="7" xfId="1" applyFont="1" applyBorder="1"/>
    <xf numFmtId="0" fontId="56" fillId="0" borderId="0" xfId="1" applyFont="1"/>
    <xf numFmtId="0" fontId="56" fillId="0" borderId="18" xfId="1" applyFont="1" applyBorder="1"/>
    <xf numFmtId="0" fontId="56" fillId="0" borderId="0" xfId="1" applyFont="1" applyAlignment="1">
      <alignment horizontal="center"/>
    </xf>
    <xf numFmtId="164" fontId="56" fillId="0" borderId="18" xfId="1" applyNumberFormat="1" applyFont="1" applyBorder="1" applyAlignment="1">
      <alignment horizontal="center"/>
    </xf>
    <xf numFmtId="0" fontId="56" fillId="0" borderId="8" xfId="1" applyFont="1" applyBorder="1"/>
    <xf numFmtId="0" fontId="56" fillId="0" borderId="15" xfId="1" applyFont="1" applyBorder="1"/>
    <xf numFmtId="0" fontId="56" fillId="0" borderId="19" xfId="1" applyFont="1" applyBorder="1"/>
    <xf numFmtId="164" fontId="56" fillId="0" borderId="19" xfId="1" applyNumberFormat="1" applyFont="1" applyBorder="1" applyAlignment="1">
      <alignment horizontal="center"/>
    </xf>
    <xf numFmtId="0" fontId="56" fillId="0" borderId="7" xfId="1" applyFont="1" applyBorder="1"/>
    <xf numFmtId="0" fontId="56" fillId="0" borderId="16" xfId="1" applyFont="1" applyBorder="1"/>
    <xf numFmtId="0" fontId="56" fillId="0" borderId="3" xfId="1" applyFont="1" applyBorder="1"/>
    <xf numFmtId="1" fontId="56" fillId="0" borderId="18" xfId="1" applyNumberFormat="1" applyFont="1" applyBorder="1" applyAlignment="1">
      <alignment horizontal="center"/>
    </xf>
    <xf numFmtId="1" fontId="56" fillId="0" borderId="19" xfId="1" applyNumberFormat="1" applyFont="1" applyBorder="1" applyAlignment="1">
      <alignment horizontal="center"/>
    </xf>
    <xf numFmtId="0" fontId="56" fillId="0" borderId="7" xfId="1" applyFont="1" applyBorder="1" applyAlignment="1">
      <alignment horizontal="center"/>
    </xf>
    <xf numFmtId="0" fontId="55" fillId="0" borderId="0" xfId="1" applyFont="1"/>
    <xf numFmtId="0" fontId="54" fillId="0" borderId="8" xfId="1" applyFont="1" applyBorder="1"/>
    <xf numFmtId="0" fontId="53" fillId="0" borderId="8" xfId="1" applyFont="1" applyBorder="1"/>
    <xf numFmtId="0" fontId="52" fillId="0" borderId="0" xfId="1" applyFont="1"/>
    <xf numFmtId="0" fontId="52" fillId="0" borderId="18" xfId="1" applyFont="1" applyBorder="1"/>
    <xf numFmtId="0" fontId="52" fillId="0" borderId="0" xfId="1" applyFont="1" applyAlignment="1">
      <alignment horizontal="center"/>
    </xf>
    <xf numFmtId="164" fontId="52" fillId="0" borderId="18" xfId="1" applyNumberFormat="1" applyFont="1" applyBorder="1" applyAlignment="1">
      <alignment horizontal="center"/>
    </xf>
    <xf numFmtId="0" fontId="52" fillId="0" borderId="8" xfId="1" applyFont="1" applyBorder="1"/>
    <xf numFmtId="0" fontId="52" fillId="0" borderId="19" xfId="1" applyFont="1" applyBorder="1"/>
    <xf numFmtId="164" fontId="52" fillId="0" borderId="19" xfId="1" applyNumberFormat="1" applyFont="1" applyBorder="1" applyAlignment="1">
      <alignment horizontal="center"/>
    </xf>
    <xf numFmtId="0" fontId="52" fillId="0" borderId="27" xfId="1" applyFont="1" applyBorder="1"/>
    <xf numFmtId="164" fontId="52" fillId="0" borderId="27" xfId="1" applyNumberFormat="1" applyFont="1" applyBorder="1" applyAlignment="1">
      <alignment horizontal="center"/>
    </xf>
    <xf numFmtId="0" fontId="51" fillId="0" borderId="7" xfId="1" applyFont="1" applyBorder="1"/>
    <xf numFmtId="0" fontId="49" fillId="0" borderId="8" xfId="1" applyFont="1" applyBorder="1"/>
    <xf numFmtId="0" fontId="81" fillId="0" borderId="23" xfId="1" applyFont="1" applyBorder="1" applyAlignment="1">
      <alignment vertical="center"/>
    </xf>
    <xf numFmtId="0" fontId="46" fillId="0" borderId="0" xfId="1" applyFont="1"/>
    <xf numFmtId="0" fontId="81" fillId="0" borderId="24" xfId="1" applyFont="1" applyBorder="1" applyAlignment="1">
      <alignment vertical="center"/>
    </xf>
    <xf numFmtId="0" fontId="77" fillId="0" borderId="12" xfId="1" applyFont="1" applyBorder="1"/>
    <xf numFmtId="0" fontId="78" fillId="0" borderId="18" xfId="1" applyFont="1" applyBorder="1"/>
    <xf numFmtId="0" fontId="46" fillId="0" borderId="36" xfId="1" applyFont="1" applyBorder="1" applyAlignment="1">
      <alignment horizontal="center"/>
    </xf>
    <xf numFmtId="164" fontId="46" fillId="0" borderId="18" xfId="1" applyNumberFormat="1" applyFont="1" applyBorder="1" applyAlignment="1">
      <alignment horizontal="center"/>
    </xf>
    <xf numFmtId="0" fontId="46" fillId="0" borderId="8" xfId="1" applyFont="1" applyBorder="1"/>
    <xf numFmtId="0" fontId="46" fillId="0" borderId="18" xfId="1" applyFont="1" applyBorder="1"/>
    <xf numFmtId="0" fontId="46" fillId="0" borderId="19" xfId="1" applyFont="1" applyBorder="1" applyAlignment="1">
      <alignment horizontal="center"/>
    </xf>
    <xf numFmtId="164" fontId="46" fillId="0" borderId="19" xfId="1" applyNumberFormat="1" applyFont="1" applyBorder="1" applyAlignment="1">
      <alignment horizontal="center"/>
    </xf>
    <xf numFmtId="0" fontId="82" fillId="0" borderId="19" xfId="1" applyBorder="1"/>
    <xf numFmtId="0" fontId="46" fillId="0" borderId="19" xfId="1" applyFont="1" applyBorder="1"/>
    <xf numFmtId="0" fontId="46" fillId="0" borderId="31" xfId="1" applyFont="1" applyBorder="1" applyAlignment="1">
      <alignment horizontal="center"/>
    </xf>
    <xf numFmtId="164" fontId="82" fillId="0" borderId="19" xfId="1" applyNumberFormat="1" applyBorder="1" applyAlignment="1">
      <alignment horizontal="center"/>
    </xf>
    <xf numFmtId="0" fontId="46" fillId="0" borderId="0" xfId="1" applyFont="1" applyAlignment="1">
      <alignment horizontal="center"/>
    </xf>
    <xf numFmtId="1" fontId="46" fillId="0" borderId="18" xfId="1" applyNumberFormat="1" applyFont="1" applyBorder="1" applyAlignment="1">
      <alignment horizontal="center"/>
    </xf>
    <xf numFmtId="1" fontId="46" fillId="0" borderId="19" xfId="1" applyNumberFormat="1" applyFont="1" applyBorder="1" applyAlignment="1">
      <alignment horizontal="center"/>
    </xf>
    <xf numFmtId="0" fontId="44" fillId="0" borderId="0" xfId="1" applyFont="1"/>
    <xf numFmtId="0" fontId="44" fillId="0" borderId="18" xfId="1" applyFont="1" applyBorder="1"/>
    <xf numFmtId="0" fontId="44" fillId="0" borderId="0" xfId="1" applyFont="1" applyAlignment="1">
      <alignment horizontal="center"/>
    </xf>
    <xf numFmtId="164" fontId="44" fillId="0" borderId="18" xfId="1" applyNumberFormat="1" applyFont="1" applyBorder="1" applyAlignment="1">
      <alignment horizontal="center"/>
    </xf>
    <xf numFmtId="0" fontId="44" fillId="0" borderId="8" xfId="1" applyFont="1" applyBorder="1"/>
    <xf numFmtId="0" fontId="44" fillId="0" borderId="19" xfId="1" applyFont="1" applyBorder="1"/>
    <xf numFmtId="164" fontId="44" fillId="0" borderId="19" xfId="1" applyNumberFormat="1" applyFont="1" applyBorder="1" applyAlignment="1">
      <alignment horizontal="center"/>
    </xf>
    <xf numFmtId="0" fontId="44" fillId="0" borderId="36" xfId="1" applyFont="1" applyBorder="1"/>
    <xf numFmtId="0" fontId="44" fillId="0" borderId="27" xfId="1" applyFont="1" applyBorder="1"/>
    <xf numFmtId="164" fontId="44" fillId="0" borderId="27" xfId="1" applyNumberFormat="1" applyFont="1" applyBorder="1" applyAlignment="1">
      <alignment horizontal="center"/>
    </xf>
    <xf numFmtId="0" fontId="43" fillId="0" borderId="0" xfId="1" applyFont="1"/>
    <xf numFmtId="0" fontId="43" fillId="0" borderId="18" xfId="1" applyFont="1" applyBorder="1"/>
    <xf numFmtId="0" fontId="43" fillId="0" borderId="0" xfId="1" applyFont="1" applyAlignment="1">
      <alignment horizontal="center"/>
    </xf>
    <xf numFmtId="0" fontId="43" fillId="0" borderId="8" xfId="1" applyFont="1" applyBorder="1"/>
    <xf numFmtId="0" fontId="43" fillId="0" borderId="15" xfId="1" applyFont="1" applyBorder="1"/>
    <xf numFmtId="0" fontId="43" fillId="0" borderId="19" xfId="1" applyFont="1" applyBorder="1"/>
    <xf numFmtId="0" fontId="43" fillId="0" borderId="7" xfId="1" applyFont="1" applyBorder="1"/>
    <xf numFmtId="0" fontId="43" fillId="0" borderId="16" xfId="1" applyFont="1" applyBorder="1"/>
    <xf numFmtId="0" fontId="43" fillId="0" borderId="28" xfId="1" applyFont="1" applyBorder="1"/>
    <xf numFmtId="0" fontId="43" fillId="0" borderId="27" xfId="1" applyFont="1" applyBorder="1"/>
    <xf numFmtId="164" fontId="43" fillId="0" borderId="18" xfId="1" applyNumberFormat="1" applyFont="1" applyBorder="1" applyAlignment="1">
      <alignment horizontal="center"/>
    </xf>
    <xf numFmtId="164" fontId="43" fillId="0" borderId="19" xfId="1" applyNumberFormat="1" applyFont="1" applyBorder="1" applyAlignment="1">
      <alignment horizontal="center"/>
    </xf>
    <xf numFmtId="0" fontId="42" fillId="0" borderId="0" xfId="1" applyFont="1"/>
    <xf numFmtId="0" fontId="42" fillId="0" borderId="18" xfId="1" applyFont="1" applyBorder="1"/>
    <xf numFmtId="0" fontId="42" fillId="0" borderId="0" xfId="1" applyFont="1" applyAlignment="1">
      <alignment horizontal="center"/>
    </xf>
    <xf numFmtId="164" fontId="42" fillId="0" borderId="18" xfId="1" applyNumberFormat="1" applyFont="1" applyBorder="1" applyAlignment="1">
      <alignment horizontal="center"/>
    </xf>
    <xf numFmtId="0" fontId="42" fillId="0" borderId="19" xfId="1" applyFont="1" applyBorder="1"/>
    <xf numFmtId="164" fontId="42" fillId="0" borderId="19" xfId="1" applyNumberFormat="1" applyFont="1" applyBorder="1" applyAlignment="1">
      <alignment horizontal="center"/>
    </xf>
    <xf numFmtId="0" fontId="42" fillId="0" borderId="27" xfId="1" applyFont="1" applyBorder="1"/>
    <xf numFmtId="0" fontId="83" fillId="0" borderId="11" xfId="0" applyFont="1" applyBorder="1" applyAlignment="1">
      <alignment horizontal="right" vertical="center"/>
    </xf>
    <xf numFmtId="0" fontId="41" fillId="0" borderId="0" xfId="1" applyFont="1"/>
    <xf numFmtId="0" fontId="41" fillId="0" borderId="18" xfId="1" applyFont="1" applyBorder="1"/>
    <xf numFmtId="0" fontId="41" fillId="0" borderId="0" xfId="1" applyFont="1" applyAlignment="1">
      <alignment horizontal="center"/>
    </xf>
    <xf numFmtId="1" fontId="41" fillId="0" borderId="18" xfId="1" applyNumberFormat="1" applyFont="1" applyBorder="1" applyAlignment="1">
      <alignment horizontal="center"/>
    </xf>
    <xf numFmtId="0" fontId="41" fillId="0" borderId="8" xfId="1" applyFont="1" applyBorder="1"/>
    <xf numFmtId="0" fontId="41" fillId="0" borderId="19" xfId="1" applyFont="1" applyBorder="1"/>
    <xf numFmtId="1" fontId="41" fillId="0" borderId="19" xfId="1" applyNumberFormat="1" applyFont="1" applyBorder="1" applyAlignment="1">
      <alignment horizontal="center"/>
    </xf>
    <xf numFmtId="0" fontId="75" fillId="0" borderId="5" xfId="1" applyFont="1" applyBorder="1"/>
    <xf numFmtId="0" fontId="40" fillId="0" borderId="0" xfId="1" applyFont="1"/>
    <xf numFmtId="0" fontId="40" fillId="0" borderId="18" xfId="1" applyFont="1" applyBorder="1"/>
    <xf numFmtId="0" fontId="40" fillId="0" borderId="0" xfId="1" applyFont="1" applyAlignment="1">
      <alignment horizontal="center"/>
    </xf>
    <xf numFmtId="1" fontId="40" fillId="0" borderId="18" xfId="1" applyNumberFormat="1" applyFont="1" applyBorder="1" applyAlignment="1">
      <alignment horizontal="center"/>
    </xf>
    <xf numFmtId="0" fontId="40" fillId="0" borderId="19" xfId="1" applyFont="1" applyBorder="1"/>
    <xf numFmtId="1" fontId="40" fillId="0" borderId="19" xfId="1" applyNumberFormat="1" applyFont="1" applyBorder="1" applyAlignment="1">
      <alignment horizontal="center"/>
    </xf>
    <xf numFmtId="0" fontId="39" fillId="0" borderId="7" xfId="1" applyFont="1" applyBorder="1"/>
    <xf numFmtId="0" fontId="38" fillId="0" borderId="0" xfId="1" applyFont="1"/>
    <xf numFmtId="0" fontId="38" fillId="0" borderId="18" xfId="1" applyFont="1" applyBorder="1"/>
    <xf numFmtId="0" fontId="38" fillId="0" borderId="8" xfId="1" applyFont="1" applyBorder="1"/>
    <xf numFmtId="0" fontId="38" fillId="0" borderId="19" xfId="1" applyFont="1" applyBorder="1"/>
    <xf numFmtId="0" fontId="37" fillId="0" borderId="0" xfId="1" applyFont="1"/>
    <xf numFmtId="0" fontId="37" fillId="0" borderId="18" xfId="1" applyFont="1" applyBorder="1"/>
    <xf numFmtId="0" fontId="37" fillId="0" borderId="0" xfId="1" applyFont="1" applyAlignment="1">
      <alignment horizontal="center"/>
    </xf>
    <xf numFmtId="1" fontId="37" fillId="0" borderId="18" xfId="1" applyNumberFormat="1" applyFont="1" applyBorder="1" applyAlignment="1">
      <alignment horizontal="center"/>
    </xf>
    <xf numFmtId="0" fontId="37" fillId="0" borderId="8" xfId="1" applyFont="1" applyBorder="1"/>
    <xf numFmtId="0" fontId="37" fillId="0" borderId="15" xfId="1" applyFont="1" applyBorder="1"/>
    <xf numFmtId="0" fontId="37" fillId="0" borderId="19" xfId="1" applyFont="1" applyBorder="1"/>
    <xf numFmtId="1" fontId="37" fillId="0" borderId="19" xfId="1" applyNumberFormat="1" applyFont="1" applyBorder="1" applyAlignment="1">
      <alignment horizontal="center"/>
    </xf>
    <xf numFmtId="0" fontId="37" fillId="0" borderId="7" xfId="1" applyFont="1" applyBorder="1"/>
    <xf numFmtId="0" fontId="37" fillId="0" borderId="16" xfId="1" applyFont="1" applyBorder="1"/>
    <xf numFmtId="0" fontId="37" fillId="0" borderId="28" xfId="1" applyFont="1" applyBorder="1"/>
    <xf numFmtId="0" fontId="37" fillId="0" borderId="27" xfId="1" applyFont="1" applyBorder="1"/>
    <xf numFmtId="164" fontId="37" fillId="0" borderId="18" xfId="1" applyNumberFormat="1" applyFont="1" applyBorder="1" applyAlignment="1">
      <alignment horizontal="center"/>
    </xf>
    <xf numFmtId="164" fontId="37" fillId="0" borderId="19" xfId="1" applyNumberFormat="1" applyFont="1" applyBorder="1" applyAlignment="1">
      <alignment horizontal="center"/>
    </xf>
    <xf numFmtId="0" fontId="75" fillId="0" borderId="6" xfId="1" applyFont="1" applyBorder="1"/>
    <xf numFmtId="0" fontId="83" fillId="0" borderId="19" xfId="0" applyFont="1" applyBorder="1" applyAlignment="1">
      <alignment horizontal="right" vertical="center"/>
    </xf>
    <xf numFmtId="0" fontId="83" fillId="0" borderId="20" xfId="0" applyFont="1" applyBorder="1" applyAlignment="1">
      <alignment horizontal="right" vertical="center"/>
    </xf>
    <xf numFmtId="0" fontId="87" fillId="0" borderId="12" xfId="0" applyFont="1" applyBorder="1" applyAlignment="1">
      <alignment vertical="center"/>
    </xf>
    <xf numFmtId="0" fontId="75" fillId="0" borderId="2" xfId="1" applyFont="1" applyBorder="1"/>
    <xf numFmtId="0" fontId="89" fillId="0" borderId="20" xfId="0" applyFont="1" applyBorder="1" applyAlignment="1">
      <alignment vertical="center"/>
    </xf>
    <xf numFmtId="0" fontId="89" fillId="0" borderId="18" xfId="0" applyFont="1" applyBorder="1" applyAlignment="1">
      <alignment vertical="center"/>
    </xf>
    <xf numFmtId="0" fontId="89" fillId="0" borderId="19" xfId="0" applyFont="1" applyBorder="1" applyAlignment="1">
      <alignment vertical="center"/>
    </xf>
    <xf numFmtId="0" fontId="83" fillId="0" borderId="7" xfId="0" applyFont="1" applyBorder="1" applyAlignment="1">
      <alignment horizontal="right" vertical="center"/>
    </xf>
    <xf numFmtId="0" fontId="89" fillId="0" borderId="31" xfId="0" applyFont="1" applyBorder="1" applyAlignment="1">
      <alignment vertical="center"/>
    </xf>
    <xf numFmtId="0" fontId="89" fillId="0" borderId="34" xfId="0" applyFont="1" applyBorder="1" applyAlignment="1">
      <alignment vertical="center"/>
    </xf>
    <xf numFmtId="0" fontId="77" fillId="0" borderId="22" xfId="1" applyFont="1" applyBorder="1" applyAlignment="1">
      <alignment horizontal="center"/>
    </xf>
    <xf numFmtId="164" fontId="75" fillId="0" borderId="2" xfId="1" applyNumberFormat="1" applyFont="1" applyBorder="1" applyAlignment="1">
      <alignment horizontal="center"/>
    </xf>
    <xf numFmtId="164" fontId="75" fillId="0" borderId="1" xfId="1" applyNumberFormat="1" applyFont="1" applyBorder="1" applyAlignment="1">
      <alignment horizontal="center"/>
    </xf>
    <xf numFmtId="0" fontId="80" fillId="0" borderId="19" xfId="0" applyFont="1" applyBorder="1"/>
    <xf numFmtId="0" fontId="68" fillId="0" borderId="19" xfId="0" applyFont="1" applyBorder="1"/>
    <xf numFmtId="0" fontId="66" fillId="0" borderId="19" xfId="0" applyFont="1" applyBorder="1"/>
    <xf numFmtId="0" fontId="64" fillId="0" borderId="19" xfId="0" applyFont="1" applyBorder="1"/>
    <xf numFmtId="0" fontId="62" fillId="0" borderId="19" xfId="0" applyFont="1" applyBorder="1"/>
    <xf numFmtId="0" fontId="82" fillId="0" borderId="6" xfId="1" applyBorder="1"/>
    <xf numFmtId="0" fontId="82" fillId="0" borderId="41" xfId="1" applyBorder="1"/>
    <xf numFmtId="0" fontId="87" fillId="0" borderId="19" xfId="0" applyFont="1" applyBorder="1" applyAlignment="1">
      <alignment vertical="center"/>
    </xf>
    <xf numFmtId="0" fontId="82" fillId="0" borderId="5" xfId="1" applyBorder="1"/>
    <xf numFmtId="0" fontId="82" fillId="0" borderId="39" xfId="1" applyBorder="1"/>
    <xf numFmtId="0" fontId="82" fillId="0" borderId="27" xfId="1" applyBorder="1"/>
    <xf numFmtId="164" fontId="75" fillId="0" borderId="18" xfId="1" applyNumberFormat="1" applyFont="1" applyBorder="1" applyAlignment="1">
      <alignment horizontal="left"/>
    </xf>
    <xf numFmtId="164" fontId="75" fillId="0" borderId="19" xfId="1" applyNumberFormat="1" applyFont="1" applyBorder="1" applyAlignment="1">
      <alignment horizontal="left"/>
    </xf>
    <xf numFmtId="164" fontId="75" fillId="0" borderId="20" xfId="1" applyNumberFormat="1" applyFont="1" applyBorder="1" applyAlignment="1">
      <alignment horizontal="left"/>
    </xf>
    <xf numFmtId="1" fontId="75" fillId="0" borderId="18" xfId="1" applyNumberFormat="1" applyFont="1" applyBorder="1" applyAlignment="1">
      <alignment horizontal="right"/>
    </xf>
    <xf numFmtId="0" fontId="46" fillId="0" borderId="19" xfId="0" applyFont="1" applyBorder="1"/>
    <xf numFmtId="0" fontId="46" fillId="0" borderId="20" xfId="0" applyFont="1" applyBorder="1"/>
    <xf numFmtId="0" fontId="80" fillId="0" borderId="20" xfId="0" applyFont="1" applyBorder="1"/>
    <xf numFmtId="0" fontId="82" fillId="0" borderId="1" xfId="1" applyBorder="1"/>
    <xf numFmtId="0" fontId="82" fillId="0" borderId="40" xfId="1" applyBorder="1"/>
    <xf numFmtId="0" fontId="82" fillId="0" borderId="1" xfId="1" applyBorder="1" applyAlignment="1">
      <alignment horizontal="center"/>
    </xf>
    <xf numFmtId="0" fontId="89" fillId="0" borderId="16" xfId="0" applyFont="1" applyBorder="1" applyAlignment="1">
      <alignment vertical="center"/>
    </xf>
    <xf numFmtId="0" fontId="36" fillId="0" borderId="0" xfId="1" applyFont="1"/>
    <xf numFmtId="0" fontId="36" fillId="0" borderId="18" xfId="1" applyFont="1" applyBorder="1"/>
    <xf numFmtId="0" fontId="36" fillId="0" borderId="0" xfId="1" applyFont="1" applyAlignment="1">
      <alignment horizontal="center"/>
    </xf>
    <xf numFmtId="0" fontId="36" fillId="0" borderId="8" xfId="1" applyFont="1" applyBorder="1"/>
    <xf numFmtId="0" fontId="36" fillId="0" borderId="15" xfId="1" applyFont="1" applyBorder="1"/>
    <xf numFmtId="0" fontId="36" fillId="0" borderId="19" xfId="1" applyFont="1" applyBorder="1"/>
    <xf numFmtId="0" fontId="36" fillId="0" borderId="7" xfId="1" applyFont="1" applyBorder="1"/>
    <xf numFmtId="0" fontId="36" fillId="0" borderId="16" xfId="1" applyFont="1" applyBorder="1"/>
    <xf numFmtId="0" fontId="36" fillId="0" borderId="3" xfId="0" applyFont="1" applyBorder="1"/>
    <xf numFmtId="0" fontId="36" fillId="0" borderId="9" xfId="1" applyFont="1" applyBorder="1"/>
    <xf numFmtId="0" fontId="36" fillId="0" borderId="28" xfId="1" applyFont="1" applyBorder="1"/>
    <xf numFmtId="0" fontId="36" fillId="0" borderId="27" xfId="1" applyFont="1" applyBorder="1"/>
    <xf numFmtId="164" fontId="36" fillId="0" borderId="27" xfId="1" applyNumberFormat="1" applyFont="1" applyBorder="1" applyAlignment="1">
      <alignment horizontal="center"/>
    </xf>
    <xf numFmtId="0" fontId="36" fillId="0" borderId="42" xfId="1" applyFont="1" applyBorder="1"/>
    <xf numFmtId="0" fontId="36" fillId="0" borderId="42" xfId="0" applyFont="1" applyBorder="1"/>
    <xf numFmtId="0" fontId="80" fillId="0" borderId="42" xfId="0" applyFont="1" applyBorder="1"/>
    <xf numFmtId="0" fontId="83" fillId="0" borderId="43" xfId="0" applyFont="1" applyBorder="1" applyAlignment="1">
      <alignment horizontal="right" vertical="center"/>
    </xf>
    <xf numFmtId="0" fontId="88" fillId="0" borderId="21" xfId="0" applyFont="1" applyBorder="1" applyAlignment="1">
      <alignment vertical="center"/>
    </xf>
    <xf numFmtId="0" fontId="87" fillId="0" borderId="3" xfId="0" applyFont="1" applyBorder="1" applyAlignment="1">
      <alignment vertical="center"/>
    </xf>
    <xf numFmtId="0" fontId="36" fillId="0" borderId="3" xfId="1" applyFont="1" applyBorder="1"/>
    <xf numFmtId="0" fontId="93" fillId="0" borderId="42" xfId="0" applyFont="1" applyBorder="1" applyAlignment="1">
      <alignment horizontal="right" vertical="center"/>
    </xf>
    <xf numFmtId="0" fontId="93" fillId="0" borderId="3" xfId="0" applyFont="1" applyBorder="1" applyAlignment="1">
      <alignment horizontal="right" vertical="center"/>
    </xf>
    <xf numFmtId="0" fontId="36" fillId="0" borderId="5" xfId="1" applyFont="1" applyBorder="1"/>
    <xf numFmtId="0" fontId="36" fillId="0" borderId="20" xfId="1" applyFont="1" applyBorder="1"/>
    <xf numFmtId="164" fontId="36" fillId="0" borderId="18" xfId="1" applyNumberFormat="1" applyFont="1" applyBorder="1" applyAlignment="1">
      <alignment horizontal="center"/>
    </xf>
    <xf numFmtId="164" fontId="36" fillId="0" borderId="19" xfId="1" applyNumberFormat="1" applyFont="1" applyBorder="1" applyAlignment="1">
      <alignment horizontal="center"/>
    </xf>
    <xf numFmtId="0" fontId="87" fillId="0" borderId="21" xfId="0" applyFont="1" applyBorder="1" applyAlignment="1">
      <alignment vertical="center"/>
    </xf>
    <xf numFmtId="0" fontId="36" fillId="0" borderId="35" xfId="1" applyFont="1" applyBorder="1"/>
    <xf numFmtId="0" fontId="83" fillId="0" borderId="42" xfId="0" applyFont="1" applyBorder="1" applyAlignment="1">
      <alignment horizontal="right" vertical="center"/>
    </xf>
    <xf numFmtId="0" fontId="87" fillId="0" borderId="42" xfId="0" applyFont="1" applyBorder="1" applyAlignment="1">
      <alignment vertical="center"/>
    </xf>
    <xf numFmtId="0" fontId="88" fillId="0" borderId="21" xfId="0" applyFont="1" applyBorder="1" applyAlignment="1">
      <alignment vertical="center" wrapText="1"/>
    </xf>
    <xf numFmtId="0" fontId="35" fillId="0" borderId="0" xfId="1" applyFont="1"/>
    <xf numFmtId="0" fontId="35" fillId="0" borderId="29" xfId="1" applyFont="1" applyBorder="1"/>
    <xf numFmtId="0" fontId="94" fillId="0" borderId="18" xfId="1" applyFont="1" applyBorder="1"/>
    <xf numFmtId="0" fontId="35" fillId="0" borderId="18" xfId="1" applyFont="1" applyBorder="1" applyAlignment="1">
      <alignment horizontal="center"/>
    </xf>
    <xf numFmtId="0" fontId="35" fillId="0" borderId="18" xfId="1" applyFont="1" applyBorder="1"/>
    <xf numFmtId="0" fontId="35" fillId="0" borderId="4" xfId="1" applyFont="1" applyBorder="1"/>
    <xf numFmtId="0" fontId="94" fillId="0" borderId="19" xfId="1" applyFont="1" applyBorder="1"/>
    <xf numFmtId="0" fontId="35" fillId="0" borderId="19" xfId="1" applyFont="1" applyBorder="1" applyAlignment="1">
      <alignment horizontal="center"/>
    </xf>
    <xf numFmtId="0" fontId="35" fillId="0" borderId="19" xfId="1" applyFont="1" applyBorder="1"/>
    <xf numFmtId="0" fontId="35" fillId="0" borderId="1" xfId="1" applyFont="1" applyBorder="1"/>
    <xf numFmtId="0" fontId="95" fillId="0" borderId="20" xfId="0" applyFont="1" applyBorder="1" applyAlignment="1">
      <alignment horizontal="right" vertical="center"/>
    </xf>
    <xf numFmtId="0" fontId="96" fillId="0" borderId="34" xfId="0" applyFont="1" applyBorder="1" applyAlignment="1">
      <alignment vertical="center"/>
    </xf>
    <xf numFmtId="0" fontId="35" fillId="0" borderId="5" xfId="1" applyFont="1" applyBorder="1"/>
    <xf numFmtId="0" fontId="35" fillId="0" borderId="20" xfId="1" applyFont="1" applyBorder="1"/>
    <xf numFmtId="0" fontId="35" fillId="0" borderId="27" xfId="1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5" fillId="0" borderId="0" xfId="1" applyFont="1" applyAlignment="1">
      <alignment horizontal="center" vertical="center"/>
    </xf>
    <xf numFmtId="0" fontId="82" fillId="0" borderId="0" xfId="1" applyAlignment="1">
      <alignment horizontal="center" vertical="center"/>
    </xf>
    <xf numFmtId="0" fontId="35" fillId="0" borderId="18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77" fillId="0" borderId="14" xfId="1" applyFont="1" applyBorder="1" applyAlignment="1">
      <alignment horizontal="center" vertical="center"/>
    </xf>
    <xf numFmtId="0" fontId="35" fillId="0" borderId="8" xfId="1" applyFont="1" applyBorder="1" applyAlignment="1">
      <alignment horizontal="center" vertical="center"/>
    </xf>
    <xf numFmtId="0" fontId="35" fillId="0" borderId="7" xfId="1" applyFont="1" applyBorder="1" applyAlignment="1">
      <alignment horizontal="center" vertical="center"/>
    </xf>
    <xf numFmtId="0" fontId="82" fillId="0" borderId="0" xfId="0" applyFont="1"/>
    <xf numFmtId="1" fontId="35" fillId="0" borderId="18" xfId="1" applyNumberFormat="1" applyFont="1" applyBorder="1" applyAlignment="1">
      <alignment horizontal="center"/>
    </xf>
    <xf numFmtId="1" fontId="35" fillId="0" borderId="19" xfId="1" applyNumberFormat="1" applyFont="1" applyBorder="1" applyAlignment="1">
      <alignment horizontal="center"/>
    </xf>
    <xf numFmtId="0" fontId="95" fillId="0" borderId="11" xfId="0" applyFont="1" applyBorder="1" applyAlignment="1">
      <alignment horizontal="right" vertical="center"/>
    </xf>
    <xf numFmtId="0" fontId="96" fillId="0" borderId="20" xfId="0" applyFont="1" applyBorder="1" applyAlignment="1">
      <alignment vertical="center"/>
    </xf>
    <xf numFmtId="0" fontId="97" fillId="0" borderId="0" xfId="1" applyFont="1" applyAlignment="1">
      <alignment horizontal="center" vertical="center"/>
    </xf>
    <xf numFmtId="0" fontId="99" fillId="0" borderId="0" xfId="1" applyFont="1"/>
    <xf numFmtId="0" fontId="97" fillId="0" borderId="0" xfId="1" applyFont="1"/>
    <xf numFmtId="0" fontId="99" fillId="0" borderId="0" xfId="0" applyFont="1"/>
    <xf numFmtId="0" fontId="97" fillId="0" borderId="21" xfId="1" applyFont="1" applyBorder="1" applyAlignment="1">
      <alignment horizontal="center" vertical="center"/>
    </xf>
    <xf numFmtId="0" fontId="97" fillId="0" borderId="12" xfId="1" applyFont="1" applyBorder="1" applyAlignment="1">
      <alignment horizontal="center" vertical="center"/>
    </xf>
    <xf numFmtId="0" fontId="97" fillId="0" borderId="12" xfId="1" applyFont="1" applyBorder="1" applyAlignment="1">
      <alignment horizontal="center"/>
    </xf>
    <xf numFmtId="0" fontId="99" fillId="0" borderId="18" xfId="1" applyFont="1" applyBorder="1"/>
    <xf numFmtId="0" fontId="100" fillId="0" borderId="18" xfId="1" applyFont="1" applyBorder="1"/>
    <xf numFmtId="0" fontId="99" fillId="0" borderId="0" xfId="1" applyFont="1" applyAlignment="1">
      <alignment horizontal="center"/>
    </xf>
    <xf numFmtId="1" fontId="99" fillId="0" borderId="18" xfId="1" applyNumberFormat="1" applyFont="1" applyBorder="1" applyAlignment="1">
      <alignment horizontal="center"/>
    </xf>
    <xf numFmtId="0" fontId="99" fillId="0" borderId="19" xfId="1" applyFont="1" applyBorder="1"/>
    <xf numFmtId="0" fontId="100" fillId="0" borderId="19" xfId="1" applyFont="1" applyBorder="1"/>
    <xf numFmtId="1" fontId="99" fillId="0" borderId="19" xfId="1" applyNumberFormat="1" applyFont="1" applyBorder="1" applyAlignment="1">
      <alignment horizontal="center"/>
    </xf>
    <xf numFmtId="0" fontId="101" fillId="0" borderId="11" xfId="0" applyFont="1" applyBorder="1" applyAlignment="1">
      <alignment horizontal="right" vertical="center"/>
    </xf>
    <xf numFmtId="0" fontId="99" fillId="0" borderId="20" xfId="0" applyFont="1" applyBorder="1" applyAlignment="1">
      <alignment vertical="center"/>
    </xf>
    <xf numFmtId="0" fontId="99" fillId="0" borderId="20" xfId="1" applyFont="1" applyBorder="1"/>
    <xf numFmtId="0" fontId="99" fillId="0" borderId="5" xfId="1" applyFont="1" applyBorder="1"/>
    <xf numFmtId="0" fontId="99" fillId="0" borderId="0" xfId="1" applyFont="1" applyAlignment="1">
      <alignment horizontal="center" vertical="center"/>
    </xf>
    <xf numFmtId="0" fontId="97" fillId="0" borderId="26" xfId="1" applyFont="1" applyBorder="1" applyAlignment="1">
      <alignment horizontal="center" vertical="center"/>
    </xf>
    <xf numFmtId="0" fontId="99" fillId="0" borderId="18" xfId="1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7" fillId="0" borderId="32" xfId="1" applyFont="1" applyBorder="1" applyAlignment="1">
      <alignment horizontal="center" vertical="center"/>
    </xf>
    <xf numFmtId="0" fontId="97" fillId="0" borderId="33" xfId="1" applyFont="1" applyBorder="1" applyAlignment="1">
      <alignment horizontal="center" vertical="center"/>
    </xf>
    <xf numFmtId="0" fontId="99" fillId="0" borderId="8" xfId="1" applyFont="1" applyBorder="1" applyAlignment="1">
      <alignment horizontal="center" vertical="center"/>
    </xf>
    <xf numFmtId="0" fontId="94" fillId="0" borderId="0" xfId="1" applyFont="1"/>
    <xf numFmtId="164" fontId="35" fillId="0" borderId="18" xfId="1" applyNumberFormat="1" applyFont="1" applyBorder="1" applyAlignment="1">
      <alignment horizontal="center"/>
    </xf>
    <xf numFmtId="164" fontId="35" fillId="0" borderId="19" xfId="1" applyNumberFormat="1" applyFont="1" applyBorder="1" applyAlignment="1">
      <alignment horizontal="center"/>
    </xf>
    <xf numFmtId="0" fontId="94" fillId="0" borderId="27" xfId="1" applyFont="1" applyBorder="1"/>
    <xf numFmtId="0" fontId="94" fillId="0" borderId="36" xfId="1" applyFont="1" applyBorder="1"/>
    <xf numFmtId="0" fontId="94" fillId="0" borderId="20" xfId="1" applyFont="1" applyBorder="1"/>
    <xf numFmtId="164" fontId="35" fillId="0" borderId="20" xfId="1" applyNumberFormat="1" applyFont="1" applyBorder="1" applyAlignment="1">
      <alignment horizontal="center"/>
    </xf>
    <xf numFmtId="0" fontId="35" fillId="0" borderId="19" xfId="0" applyFont="1" applyBorder="1"/>
    <xf numFmtId="0" fontId="94" fillId="0" borderId="19" xfId="0" applyFont="1" applyBorder="1"/>
    <xf numFmtId="164" fontId="35" fillId="0" borderId="27" xfId="1" applyNumberFormat="1" applyFont="1" applyBorder="1" applyAlignment="1">
      <alignment horizontal="center"/>
    </xf>
    <xf numFmtId="0" fontId="35" fillId="3" borderId="18" xfId="1" applyFont="1" applyFill="1" applyBorder="1" applyAlignment="1">
      <alignment horizontal="center" vertical="center"/>
    </xf>
    <xf numFmtId="0" fontId="77" fillId="0" borderId="32" xfId="1" applyFont="1" applyBorder="1" applyAlignment="1">
      <alignment horizontal="center" vertical="center"/>
    </xf>
    <xf numFmtId="0" fontId="77" fillId="0" borderId="33" xfId="1" applyFont="1" applyBorder="1" applyAlignment="1">
      <alignment horizontal="center" vertical="center"/>
    </xf>
    <xf numFmtId="0" fontId="104" fillId="0" borderId="19" xfId="1" applyFont="1" applyBorder="1"/>
    <xf numFmtId="0" fontId="77" fillId="0" borderId="47" xfId="1" applyFont="1" applyBorder="1" applyAlignment="1">
      <alignment horizontal="center" vertical="center"/>
    </xf>
    <xf numFmtId="0" fontId="35" fillId="0" borderId="2" xfId="1" applyFont="1" applyBorder="1"/>
    <xf numFmtId="0" fontId="35" fillId="0" borderId="4" xfId="0" applyFont="1" applyBorder="1"/>
    <xf numFmtId="0" fontId="84" fillId="0" borderId="0" xfId="1" applyFont="1" applyAlignment="1">
      <alignment horizontal="center" vertical="center"/>
    </xf>
    <xf numFmtId="0" fontId="85" fillId="4" borderId="22" xfId="1" applyFont="1" applyFill="1" applyBorder="1" applyAlignment="1">
      <alignment horizontal="center" vertical="center"/>
    </xf>
    <xf numFmtId="0" fontId="84" fillId="4" borderId="23" xfId="1" applyFont="1" applyFill="1" applyBorder="1" applyAlignment="1">
      <alignment horizontal="center" vertical="center"/>
    </xf>
    <xf numFmtId="0" fontId="100" fillId="0" borderId="36" xfId="1" applyFont="1" applyBorder="1"/>
    <xf numFmtId="0" fontId="99" fillId="0" borderId="1" xfId="1" applyFont="1" applyBorder="1"/>
    <xf numFmtId="0" fontId="8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8" xfId="1" applyFont="1" applyBorder="1" applyAlignment="1">
      <alignment horizontal="center" vertical="center"/>
    </xf>
    <xf numFmtId="0" fontId="40" fillId="0" borderId="18" xfId="1" applyFont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5" fillId="0" borderId="18" xfId="1" applyFont="1" applyBorder="1" applyAlignment="1">
      <alignment horizontal="center" vertical="center"/>
    </xf>
    <xf numFmtId="0" fontId="105" fillId="7" borderId="0" xfId="1" applyFont="1" applyFill="1" applyAlignment="1">
      <alignment horizontal="center" vertical="center"/>
    </xf>
    <xf numFmtId="0" fontId="106" fillId="0" borderId="8" xfId="1" applyFont="1" applyBorder="1"/>
    <xf numFmtId="0" fontId="106" fillId="0" borderId="18" xfId="1" applyFont="1" applyBorder="1"/>
    <xf numFmtId="0" fontId="106" fillId="0" borderId="0" xfId="1" applyFont="1"/>
    <xf numFmtId="0" fontId="106" fillId="0" borderId="19" xfId="1" applyFont="1" applyBorder="1"/>
    <xf numFmtId="0" fontId="106" fillId="0" borderId="20" xfId="1" applyFont="1" applyBorder="1"/>
    <xf numFmtId="0" fontId="106" fillId="3" borderId="18" xfId="1" applyFont="1" applyFill="1" applyBorder="1"/>
    <xf numFmtId="0" fontId="34" fillId="0" borderId="0" xfId="1" applyFont="1" applyAlignment="1">
      <alignment horizontal="center"/>
    </xf>
    <xf numFmtId="0" fontId="34" fillId="0" borderId="0" xfId="1" applyFont="1"/>
    <xf numFmtId="0" fontId="81" fillId="0" borderId="21" xfId="1" applyFont="1" applyBorder="1" applyAlignment="1">
      <alignment vertical="center"/>
    </xf>
    <xf numFmtId="0" fontId="86" fillId="7" borderId="0" xfId="1" applyFont="1" applyFill="1" applyAlignment="1">
      <alignment horizontal="center" vertical="center"/>
    </xf>
    <xf numFmtId="1" fontId="106" fillId="0" borderId="18" xfId="1" applyNumberFormat="1" applyFont="1" applyBorder="1" applyAlignment="1">
      <alignment horizontal="center"/>
    </xf>
    <xf numFmtId="1" fontId="106" fillId="0" borderId="19" xfId="1" applyNumberFormat="1" applyFont="1" applyBorder="1" applyAlignment="1">
      <alignment horizontal="center"/>
    </xf>
    <xf numFmtId="0" fontId="105" fillId="0" borderId="0" xfId="1" applyFont="1"/>
    <xf numFmtId="0" fontId="106" fillId="0" borderId="5" xfId="1" applyFont="1" applyBorder="1"/>
    <xf numFmtId="0" fontId="82" fillId="0" borderId="18" xfId="1" applyBorder="1"/>
    <xf numFmtId="0" fontId="82" fillId="0" borderId="3" xfId="0" applyFont="1" applyBorder="1"/>
    <xf numFmtId="0" fontId="90" fillId="0" borderId="3" xfId="0" applyFont="1" applyBorder="1"/>
    <xf numFmtId="0" fontId="107" fillId="0" borderId="3" xfId="0" applyFont="1" applyBorder="1" applyAlignment="1">
      <alignment horizontal="right" vertical="center"/>
    </xf>
    <xf numFmtId="0" fontId="91" fillId="0" borderId="3" xfId="0" applyFont="1" applyBorder="1" applyAlignment="1">
      <alignment vertical="center"/>
    </xf>
    <xf numFmtId="0" fontId="82" fillId="0" borderId="36" xfId="1" applyBorder="1"/>
    <xf numFmtId="0" fontId="107" fillId="0" borderId="11" xfId="0" applyFont="1" applyBorder="1" applyAlignment="1">
      <alignment horizontal="right" vertical="center"/>
    </xf>
    <xf numFmtId="0" fontId="91" fillId="0" borderId="20" xfId="0" applyFont="1" applyBorder="1" applyAlignment="1">
      <alignment vertical="center"/>
    </xf>
    <xf numFmtId="0" fontId="77" fillId="7" borderId="0" xfId="1" applyFont="1" applyFill="1" applyAlignment="1">
      <alignment horizontal="center" vertical="center"/>
    </xf>
    <xf numFmtId="0" fontId="75" fillId="3" borderId="19" xfId="1" applyFont="1" applyFill="1" applyBorder="1"/>
    <xf numFmtId="0" fontId="79" fillId="7" borderId="0" xfId="1" applyFont="1" applyFill="1" applyAlignment="1">
      <alignment horizontal="center" vertical="center"/>
    </xf>
    <xf numFmtId="0" fontId="77" fillId="8" borderId="0" xfId="1" applyFont="1" applyFill="1" applyAlignment="1">
      <alignment horizontal="center" vertical="center"/>
    </xf>
    <xf numFmtId="0" fontId="75" fillId="3" borderId="18" xfId="1" applyFont="1" applyFill="1" applyBorder="1"/>
    <xf numFmtId="0" fontId="98" fillId="0" borderId="21" xfId="1" applyFont="1" applyBorder="1" applyAlignment="1">
      <alignment horizontal="center" vertical="center"/>
    </xf>
    <xf numFmtId="0" fontId="86" fillId="0" borderId="21" xfId="1" applyFont="1" applyBorder="1" applyAlignment="1">
      <alignment horizontal="center" vertical="center"/>
    </xf>
    <xf numFmtId="0" fontId="86" fillId="0" borderId="0" xfId="1" applyFont="1" applyAlignment="1">
      <alignment horizontal="center" vertical="center"/>
    </xf>
    <xf numFmtId="0" fontId="86" fillId="0" borderId="33" xfId="1" applyFont="1" applyBorder="1" applyAlignment="1">
      <alignment horizontal="center"/>
    </xf>
    <xf numFmtId="0" fontId="86" fillId="0" borderId="26" xfId="1" applyFont="1" applyBorder="1" applyAlignment="1">
      <alignment horizontal="center"/>
    </xf>
    <xf numFmtId="0" fontId="112" fillId="0" borderId="18" xfId="1" applyFont="1" applyBorder="1"/>
    <xf numFmtId="0" fontId="112" fillId="0" borderId="19" xfId="1" applyFont="1" applyBorder="1"/>
    <xf numFmtId="0" fontId="112" fillId="0" borderId="27" xfId="1" applyFont="1" applyBorder="1"/>
    <xf numFmtId="0" fontId="114" fillId="0" borderId="21" xfId="1" applyFont="1" applyBorder="1" applyAlignment="1">
      <alignment vertical="center" wrapText="1"/>
    </xf>
    <xf numFmtId="0" fontId="77" fillId="2" borderId="0" xfId="1" applyFont="1" applyFill="1" applyAlignment="1">
      <alignment horizontal="center" vertical="center"/>
    </xf>
    <xf numFmtId="0" fontId="81" fillId="0" borderId="21" xfId="1" applyFont="1" applyBorder="1" applyAlignment="1">
      <alignment horizontal="center" vertical="center" wrapText="1"/>
    </xf>
    <xf numFmtId="0" fontId="106" fillId="2" borderId="0" xfId="1" applyFont="1" applyFill="1"/>
    <xf numFmtId="0" fontId="105" fillId="2" borderId="0" xfId="1" applyFont="1" applyFill="1" applyAlignment="1">
      <alignment horizontal="center" vertical="center"/>
    </xf>
    <xf numFmtId="0" fontId="111" fillId="2" borderId="0" xfId="1" applyFont="1" applyFill="1"/>
    <xf numFmtId="0" fontId="86" fillId="2" borderId="0" xfId="1" applyFont="1" applyFill="1" applyAlignment="1">
      <alignment horizontal="center" vertical="center"/>
    </xf>
    <xf numFmtId="0" fontId="82" fillId="2" borderId="0" xfId="1" applyFill="1"/>
    <xf numFmtId="0" fontId="33" fillId="0" borderId="0" xfId="1" applyFont="1"/>
    <xf numFmtId="0" fontId="79" fillId="2" borderId="0" xfId="1" applyFont="1" applyFill="1" applyAlignment="1">
      <alignment horizontal="center" vertical="center"/>
    </xf>
    <xf numFmtId="0" fontId="46" fillId="3" borderId="18" xfId="1" applyFont="1" applyFill="1" applyBorder="1"/>
    <xf numFmtId="0" fontId="82" fillId="2" borderId="0" xfId="1" applyFill="1" applyAlignment="1">
      <alignment horizontal="left"/>
    </xf>
    <xf numFmtId="0" fontId="98" fillId="2" borderId="0" xfId="1" applyFont="1" applyFill="1" applyAlignment="1">
      <alignment horizontal="center" vertical="center"/>
    </xf>
    <xf numFmtId="0" fontId="36" fillId="0" borderId="0" xfId="1" applyFont="1" applyAlignment="1">
      <alignment horizontal="left" wrapText="1" indent="1"/>
    </xf>
    <xf numFmtId="49" fontId="80" fillId="0" borderId="18" xfId="1" applyNumberFormat="1" applyFont="1" applyBorder="1" applyAlignment="1">
      <alignment horizontal="left" indent="6"/>
    </xf>
    <xf numFmtId="0" fontId="81" fillId="2" borderId="0" xfId="1" applyFont="1" applyFill="1" applyAlignment="1">
      <alignment horizontal="center" vertical="center"/>
    </xf>
    <xf numFmtId="1" fontId="80" fillId="3" borderId="18" xfId="1" applyNumberFormat="1" applyFont="1" applyFill="1" applyBorder="1"/>
    <xf numFmtId="1" fontId="80" fillId="0" borderId="18" xfId="1" applyNumberFormat="1" applyFont="1" applyBorder="1"/>
    <xf numFmtId="0" fontId="32" fillId="0" borderId="0" xfId="1" applyFont="1"/>
    <xf numFmtId="0" fontId="61" fillId="3" borderId="18" xfId="1" applyFont="1" applyFill="1" applyBorder="1"/>
    <xf numFmtId="0" fontId="98" fillId="0" borderId="0" xfId="1" applyFont="1"/>
    <xf numFmtId="0" fontId="77" fillId="2" borderId="0" xfId="1" applyFont="1" applyFill="1"/>
    <xf numFmtId="0" fontId="31" fillId="2" borderId="0" xfId="1" applyFont="1" applyFill="1"/>
    <xf numFmtId="0" fontId="31" fillId="0" borderId="0" xfId="1" applyFont="1"/>
    <xf numFmtId="0" fontId="113" fillId="0" borderId="2" xfId="1" applyFont="1" applyBorder="1"/>
    <xf numFmtId="0" fontId="112" fillId="0" borderId="0" xfId="1" applyFont="1"/>
    <xf numFmtId="2" fontId="112" fillId="0" borderId="18" xfId="1" applyNumberFormat="1" applyFont="1" applyBorder="1"/>
    <xf numFmtId="0" fontId="113" fillId="0" borderId="0" xfId="1" applyFont="1"/>
    <xf numFmtId="0" fontId="113" fillId="0" borderId="8" xfId="1" applyFont="1" applyBorder="1"/>
    <xf numFmtId="0" fontId="113" fillId="0" borderId="15" xfId="1" applyFont="1" applyBorder="1"/>
    <xf numFmtId="0" fontId="113" fillId="0" borderId="1" xfId="1" applyFont="1" applyBorder="1"/>
    <xf numFmtId="2" fontId="112" fillId="0" borderId="19" xfId="1" applyNumberFormat="1" applyFont="1" applyBorder="1"/>
    <xf numFmtId="0" fontId="113" fillId="0" borderId="7" xfId="1" applyFont="1" applyBorder="1"/>
    <xf numFmtId="0" fontId="113" fillId="0" borderId="16" xfId="1" applyFont="1" applyBorder="1"/>
    <xf numFmtId="0" fontId="112" fillId="0" borderId="36" xfId="1" applyFont="1" applyBorder="1"/>
    <xf numFmtId="0" fontId="115" fillId="0" borderId="0" xfId="1" applyFont="1"/>
    <xf numFmtId="0" fontId="111" fillId="0" borderId="20" xfId="1" applyFont="1" applyBorder="1"/>
    <xf numFmtId="0" fontId="112" fillId="0" borderId="20" xfId="1" applyFont="1" applyBorder="1"/>
    <xf numFmtId="0" fontId="111" fillId="0" borderId="0" xfId="1" applyFont="1" applyAlignment="1">
      <alignment horizontal="center"/>
    </xf>
    <xf numFmtId="164" fontId="111" fillId="0" borderId="20" xfId="1" applyNumberFormat="1" applyFont="1" applyBorder="1" applyAlignment="1">
      <alignment horizontal="center"/>
    </xf>
    <xf numFmtId="0" fontId="111" fillId="0" borderId="0" xfId="1" applyFont="1"/>
    <xf numFmtId="0" fontId="111" fillId="0" borderId="10" xfId="1" applyFont="1" applyBorder="1"/>
    <xf numFmtId="0" fontId="111" fillId="0" borderId="17" xfId="1" applyFont="1" applyBorder="1"/>
    <xf numFmtId="1" fontId="112" fillId="0" borderId="18" xfId="1" applyNumberFormat="1" applyFont="1" applyBorder="1"/>
    <xf numFmtId="0" fontId="111" fillId="0" borderId="19" xfId="1" applyFont="1" applyBorder="1"/>
    <xf numFmtId="1" fontId="112" fillId="3" borderId="18" xfId="1" applyNumberFormat="1" applyFont="1" applyFill="1" applyBorder="1"/>
    <xf numFmtId="0" fontId="116" fillId="0" borderId="18" xfId="1" applyFont="1" applyBorder="1"/>
    <xf numFmtId="0" fontId="106" fillId="0" borderId="0" xfId="1" applyFont="1" applyAlignment="1">
      <alignment horizontal="center"/>
    </xf>
    <xf numFmtId="0" fontId="116" fillId="0" borderId="19" xfId="1" applyFont="1" applyBorder="1"/>
    <xf numFmtId="0" fontId="106" fillId="0" borderId="1" xfId="1" applyFont="1" applyBorder="1"/>
    <xf numFmtId="0" fontId="106" fillId="0" borderId="0" xfId="0" applyFont="1"/>
    <xf numFmtId="0" fontId="86" fillId="0" borderId="12" xfId="1" applyFont="1" applyBorder="1" applyAlignment="1">
      <alignment horizontal="center" vertical="center"/>
    </xf>
    <xf numFmtId="0" fontId="86" fillId="0" borderId="12" xfId="1" applyFont="1" applyBorder="1" applyAlignment="1">
      <alignment horizontal="center"/>
    </xf>
    <xf numFmtId="0" fontId="86" fillId="0" borderId="32" xfId="1" applyFont="1" applyBorder="1" applyAlignment="1">
      <alignment horizontal="center"/>
    </xf>
    <xf numFmtId="1" fontId="82" fillId="0" borderId="18" xfId="1" applyNumberFormat="1" applyBorder="1" applyAlignment="1">
      <alignment horizontal="center"/>
    </xf>
    <xf numFmtId="0" fontId="82" fillId="0" borderId="8" xfId="1" applyBorder="1"/>
    <xf numFmtId="1" fontId="82" fillId="0" borderId="19" xfId="1" applyNumberFormat="1" applyBorder="1" applyAlignment="1">
      <alignment horizontal="center"/>
    </xf>
    <xf numFmtId="0" fontId="82" fillId="0" borderId="20" xfId="1" applyBorder="1"/>
    <xf numFmtId="0" fontId="30" fillId="0" borderId="0" xfId="1" applyFont="1"/>
    <xf numFmtId="0" fontId="30" fillId="0" borderId="18" xfId="1" applyFont="1" applyBorder="1"/>
    <xf numFmtId="0" fontId="30" fillId="0" borderId="0" xfId="1" applyFont="1" applyAlignment="1">
      <alignment horizontal="center"/>
    </xf>
    <xf numFmtId="1" fontId="30" fillId="0" borderId="18" xfId="1" applyNumberFormat="1" applyFont="1" applyBorder="1" applyAlignment="1">
      <alignment horizontal="center"/>
    </xf>
    <xf numFmtId="0" fontId="30" fillId="0" borderId="8" xfId="1" applyFont="1" applyBorder="1"/>
    <xf numFmtId="0" fontId="30" fillId="3" borderId="18" xfId="1" applyFont="1" applyFill="1" applyBorder="1"/>
    <xf numFmtId="0" fontId="30" fillId="0" borderId="19" xfId="1" applyFont="1" applyBorder="1"/>
    <xf numFmtId="1" fontId="30" fillId="0" borderId="19" xfId="1" applyNumberFormat="1" applyFont="1" applyBorder="1" applyAlignment="1">
      <alignment horizontal="center"/>
    </xf>
    <xf numFmtId="0" fontId="30" fillId="0" borderId="7" xfId="1" applyFont="1" applyBorder="1"/>
    <xf numFmtId="0" fontId="30" fillId="3" borderId="19" xfId="1" applyFont="1" applyFill="1" applyBorder="1"/>
    <xf numFmtId="0" fontId="30" fillId="0" borderId="20" xfId="1" applyFont="1" applyBorder="1"/>
    <xf numFmtId="0" fontId="30" fillId="0" borderId="5" xfId="1" applyFont="1" applyBorder="1"/>
    <xf numFmtId="2" fontId="30" fillId="0" borderId="18" xfId="1" applyNumberFormat="1" applyFont="1" applyBorder="1"/>
    <xf numFmtId="2" fontId="30" fillId="0" borderId="19" xfId="1" applyNumberFormat="1" applyFont="1" applyBorder="1"/>
    <xf numFmtId="0" fontId="30" fillId="0" borderId="27" xfId="1" applyFont="1" applyBorder="1"/>
    <xf numFmtId="0" fontId="30" fillId="0" borderId="39" xfId="1" applyFont="1" applyBorder="1"/>
    <xf numFmtId="0" fontId="30" fillId="0" borderId="6" xfId="1" applyFont="1" applyBorder="1"/>
    <xf numFmtId="164" fontId="30" fillId="0" borderId="20" xfId="1" applyNumberFormat="1" applyFont="1" applyBorder="1" applyAlignment="1">
      <alignment horizontal="center"/>
    </xf>
    <xf numFmtId="164" fontId="30" fillId="0" borderId="19" xfId="1" applyNumberFormat="1" applyFont="1" applyBorder="1" applyAlignment="1">
      <alignment horizontal="center"/>
    </xf>
    <xf numFmtId="0" fontId="30" fillId="0" borderId="4" xfId="1" applyFont="1" applyBorder="1"/>
    <xf numFmtId="164" fontId="30" fillId="0" borderId="18" xfId="1" applyNumberFormat="1" applyFont="1" applyBorder="1" applyAlignment="1">
      <alignment horizontal="center"/>
    </xf>
    <xf numFmtId="0" fontId="30" fillId="0" borderId="1" xfId="1" applyFont="1" applyBorder="1"/>
    <xf numFmtId="0" fontId="30" fillId="0" borderId="29" xfId="1" applyFont="1" applyBorder="1"/>
    <xf numFmtId="0" fontId="30" fillId="0" borderId="18" xfId="1" applyFont="1" applyBorder="1" applyAlignment="1">
      <alignment horizontal="center"/>
    </xf>
    <xf numFmtId="0" fontId="30" fillId="0" borderId="19" xfId="1" applyFont="1" applyBorder="1" applyAlignment="1">
      <alignment horizontal="center"/>
    </xf>
    <xf numFmtId="2" fontId="30" fillId="0" borderId="18" xfId="1" applyNumberFormat="1" applyFont="1" applyBorder="1" applyAlignment="1">
      <alignment horizontal="center"/>
    </xf>
    <xf numFmtId="2" fontId="30" fillId="0" borderId="19" xfId="1" applyNumberFormat="1" applyFont="1" applyBorder="1" applyAlignment="1">
      <alignment horizontal="center"/>
    </xf>
    <xf numFmtId="0" fontId="67" fillId="3" borderId="8" xfId="1" applyFont="1" applyFill="1" applyBorder="1"/>
    <xf numFmtId="0" fontId="29" fillId="0" borderId="19" xfId="1" applyFont="1" applyBorder="1"/>
    <xf numFmtId="0" fontId="29" fillId="0" borderId="0" xfId="1" applyFont="1"/>
    <xf numFmtId="0" fontId="28" fillId="0" borderId="0" xfId="1" applyFont="1"/>
    <xf numFmtId="0" fontId="28" fillId="0" borderId="18" xfId="1" applyFont="1" applyBorder="1"/>
    <xf numFmtId="164" fontId="28" fillId="0" borderId="18" xfId="1" applyNumberFormat="1" applyFont="1" applyBorder="1" applyAlignment="1">
      <alignment horizontal="center"/>
    </xf>
    <xf numFmtId="0" fontId="28" fillId="0" borderId="8" xfId="1" applyFont="1" applyBorder="1"/>
    <xf numFmtId="0" fontId="28" fillId="0" borderId="19" xfId="1" applyFont="1" applyBorder="1"/>
    <xf numFmtId="164" fontId="28" fillId="0" borderId="19" xfId="1" applyNumberFormat="1" applyFont="1" applyBorder="1" applyAlignment="1">
      <alignment horizontal="center"/>
    </xf>
    <xf numFmtId="0" fontId="28" fillId="0" borderId="1" xfId="1" applyFont="1" applyBorder="1"/>
    <xf numFmtId="0" fontId="28" fillId="0" borderId="20" xfId="1" applyFont="1" applyBorder="1"/>
    <xf numFmtId="0" fontId="27" fillId="0" borderId="0" xfId="1" applyFont="1"/>
    <xf numFmtId="0" fontId="78" fillId="0" borderId="36" xfId="1" applyFont="1" applyBorder="1"/>
    <xf numFmtId="0" fontId="58" fillId="3" borderId="18" xfId="1" applyFont="1" applyFill="1" applyBorder="1"/>
    <xf numFmtId="0" fontId="70" fillId="3" borderId="18" xfId="1" applyFont="1" applyFill="1" applyBorder="1"/>
    <xf numFmtId="0" fontId="26" fillId="0" borderId="0" xfId="1" applyFont="1"/>
    <xf numFmtId="0" fontId="105" fillId="0" borderId="0" xfId="1" applyFont="1" applyAlignment="1">
      <alignment horizontal="center" vertical="center"/>
    </xf>
    <xf numFmtId="0" fontId="105" fillId="0" borderId="12" xfId="1" applyFont="1" applyBorder="1" applyAlignment="1">
      <alignment horizontal="center" vertical="center"/>
    </xf>
    <xf numFmtId="0" fontId="105" fillId="0" borderId="12" xfId="1" applyFont="1" applyBorder="1" applyAlignment="1">
      <alignment horizontal="center"/>
    </xf>
    <xf numFmtId="0" fontId="105" fillId="0" borderId="32" xfId="1" applyFont="1" applyBorder="1" applyAlignment="1">
      <alignment horizontal="center"/>
    </xf>
    <xf numFmtId="0" fontId="105" fillId="0" borderId="33" xfId="1" applyFont="1" applyBorder="1" applyAlignment="1">
      <alignment horizontal="center"/>
    </xf>
    <xf numFmtId="0" fontId="105" fillId="0" borderId="26" xfId="1" applyFont="1" applyBorder="1" applyAlignment="1">
      <alignment horizontal="center"/>
    </xf>
    <xf numFmtId="164" fontId="106" fillId="0" borderId="18" xfId="1" applyNumberFormat="1" applyFont="1" applyBorder="1" applyAlignment="1">
      <alignment horizontal="center"/>
    </xf>
    <xf numFmtId="164" fontId="106" fillId="0" borderId="19" xfId="1" applyNumberFormat="1" applyFont="1" applyBorder="1" applyAlignment="1">
      <alignment horizontal="center"/>
    </xf>
    <xf numFmtId="0" fontId="116" fillId="0" borderId="27" xfId="1" applyFont="1" applyBorder="1"/>
    <xf numFmtId="0" fontId="116" fillId="0" borderId="36" xfId="1" applyFont="1" applyBorder="1"/>
    <xf numFmtId="0" fontId="117" fillId="0" borderId="20" xfId="0" applyFont="1" applyBorder="1" applyAlignment="1">
      <alignment horizontal="right" vertical="center"/>
    </xf>
    <xf numFmtId="0" fontId="92" fillId="0" borderId="34" xfId="0" applyFont="1" applyBorder="1" applyAlignment="1">
      <alignment vertical="center"/>
    </xf>
    <xf numFmtId="0" fontId="118" fillId="0" borderId="0" xfId="1" applyFont="1"/>
    <xf numFmtId="0" fontId="25" fillId="0" borderId="0" xfId="1" applyFont="1"/>
    <xf numFmtId="0" fontId="24" fillId="0" borderId="19" xfId="1" applyFont="1" applyBorder="1"/>
    <xf numFmtId="0" fontId="23" fillId="0" borderId="0" xfId="1" applyFont="1"/>
    <xf numFmtId="0" fontId="99" fillId="0" borderId="49" xfId="1" applyFont="1" applyBorder="1"/>
    <xf numFmtId="0" fontId="99" fillId="9" borderId="0" xfId="1" applyFont="1" applyFill="1"/>
    <xf numFmtId="0" fontId="99" fillId="0" borderId="45" xfId="1" applyFont="1" applyBorder="1"/>
    <xf numFmtId="0" fontId="97" fillId="9" borderId="45" xfId="1" applyFont="1" applyFill="1" applyBorder="1" applyAlignment="1">
      <alignment horizontal="center" vertical="center"/>
    </xf>
    <xf numFmtId="0" fontId="99" fillId="3" borderId="18" xfId="1" applyFont="1" applyFill="1" applyBorder="1" applyAlignment="1">
      <alignment horizontal="center" vertical="center"/>
    </xf>
    <xf numFmtId="0" fontId="119" fillId="0" borderId="19" xfId="1" applyFont="1" applyBorder="1"/>
    <xf numFmtId="0" fontId="82" fillId="4" borderId="0" xfId="1" applyFill="1"/>
    <xf numFmtId="0" fontId="22" fillId="0" borderId="0" xfId="1" applyFont="1"/>
    <xf numFmtId="0" fontId="75" fillId="0" borderId="45" xfId="1" applyFont="1" applyBorder="1"/>
    <xf numFmtId="0" fontId="71" fillId="3" borderId="18" xfId="1" applyFont="1" applyFill="1" applyBorder="1"/>
    <xf numFmtId="0" fontId="21" fillId="0" borderId="0" xfId="1" applyFont="1"/>
    <xf numFmtId="0" fontId="30" fillId="3" borderId="8" xfId="1" applyFont="1" applyFill="1" applyBorder="1"/>
    <xf numFmtId="0" fontId="75" fillId="3" borderId="8" xfId="1" applyFont="1" applyFill="1" applyBorder="1"/>
    <xf numFmtId="0" fontId="41" fillId="3" borderId="8" xfId="1" applyFont="1" applyFill="1" applyBorder="1"/>
    <xf numFmtId="0" fontId="28" fillId="3" borderId="18" xfId="1" applyFont="1" applyFill="1" applyBorder="1"/>
    <xf numFmtId="0" fontId="42" fillId="0" borderId="31" xfId="1" applyFont="1" applyBorder="1"/>
    <xf numFmtId="0" fontId="42" fillId="0" borderId="3" xfId="1" applyFont="1" applyBorder="1"/>
    <xf numFmtId="14" fontId="77" fillId="0" borderId="32" xfId="1" applyNumberFormat="1" applyFont="1" applyBorder="1" applyAlignment="1">
      <alignment horizontal="left"/>
    </xf>
    <xf numFmtId="0" fontId="77" fillId="0" borderId="33" xfId="1" applyFont="1" applyBorder="1" applyAlignment="1">
      <alignment horizontal="left"/>
    </xf>
    <xf numFmtId="0" fontId="69" fillId="3" borderId="30" xfId="1" applyFont="1" applyFill="1" applyBorder="1" applyAlignment="1">
      <alignment horizontal="left" indent="4"/>
    </xf>
    <xf numFmtId="0" fontId="69" fillId="0" borderId="30" xfId="1" applyFont="1" applyBorder="1" applyAlignment="1">
      <alignment horizontal="left" indent="4"/>
    </xf>
    <xf numFmtId="0" fontId="52" fillId="3" borderId="18" xfId="1" applyFont="1" applyFill="1" applyBorder="1"/>
    <xf numFmtId="0" fontId="20" fillId="0" borderId="0" xfId="1" applyFont="1"/>
    <xf numFmtId="0" fontId="75" fillId="0" borderId="3" xfId="1" applyFont="1" applyBorder="1"/>
    <xf numFmtId="0" fontId="30" fillId="0" borderId="3" xfId="1" applyFont="1" applyBorder="1"/>
    <xf numFmtId="0" fontId="30" fillId="3" borderId="3" xfId="1" applyFont="1" applyFill="1" applyBorder="1"/>
    <xf numFmtId="0" fontId="43" fillId="0" borderId="3" xfId="1" applyFont="1" applyBorder="1"/>
    <xf numFmtId="0" fontId="43" fillId="3" borderId="3" xfId="1" applyFont="1" applyFill="1" applyBorder="1"/>
    <xf numFmtId="1" fontId="80" fillId="0" borderId="3" xfId="1" applyNumberFormat="1" applyFont="1" applyBorder="1"/>
    <xf numFmtId="1" fontId="80" fillId="3" borderId="3" xfId="1" applyNumberFormat="1" applyFont="1" applyFill="1" applyBorder="1"/>
    <xf numFmtId="0" fontId="32" fillId="0" borderId="3" xfId="1" applyFont="1" applyBorder="1"/>
    <xf numFmtId="0" fontId="32" fillId="3" borderId="3" xfId="1" applyFont="1" applyFill="1" applyBorder="1"/>
    <xf numFmtId="0" fontId="19" fillId="0" borderId="0" xfId="1" applyFont="1"/>
    <xf numFmtId="0" fontId="19" fillId="0" borderId="18" xfId="1" applyFont="1" applyBorder="1"/>
    <xf numFmtId="0" fontId="19" fillId="0" borderId="0" xfId="1" applyFont="1" applyAlignment="1">
      <alignment horizontal="center"/>
    </xf>
    <xf numFmtId="164" fontId="19" fillId="0" borderId="18" xfId="1" applyNumberFormat="1" applyFont="1" applyBorder="1" applyAlignment="1">
      <alignment horizontal="center"/>
    </xf>
    <xf numFmtId="0" fontId="19" fillId="0" borderId="8" xfId="1" applyFont="1" applyBorder="1"/>
    <xf numFmtId="0" fontId="19" fillId="0" borderId="19" xfId="1" applyFont="1" applyBorder="1"/>
    <xf numFmtId="164" fontId="19" fillId="0" borderId="19" xfId="1" applyNumberFormat="1" applyFont="1" applyBorder="1" applyAlignment="1">
      <alignment horizontal="center"/>
    </xf>
    <xf numFmtId="0" fontId="19" fillId="0" borderId="5" xfId="1" applyFont="1" applyBorder="1"/>
    <xf numFmtId="0" fontId="19" fillId="0" borderId="20" xfId="1" applyFont="1" applyBorder="1"/>
    <xf numFmtId="0" fontId="75" fillId="0" borderId="50" xfId="1" applyFont="1" applyBorder="1"/>
    <xf numFmtId="0" fontId="79" fillId="0" borderId="4" xfId="1" applyFont="1" applyBorder="1"/>
    <xf numFmtId="0" fontId="79" fillId="0" borderId="3" xfId="1" applyFont="1" applyBorder="1"/>
    <xf numFmtId="0" fontId="79" fillId="3" borderId="3" xfId="1" applyFont="1" applyFill="1" applyBorder="1"/>
    <xf numFmtId="0" fontId="18" fillId="0" borderId="0" xfId="1" applyFont="1"/>
    <xf numFmtId="0" fontId="82" fillId="3" borderId="18" xfId="1" applyFill="1" applyBorder="1"/>
    <xf numFmtId="0" fontId="17" fillId="0" borderId="0" xfId="1" applyFont="1"/>
    <xf numFmtId="0" fontId="17" fillId="0" borderId="19" xfId="1" applyFont="1" applyBorder="1"/>
    <xf numFmtId="0" fontId="75" fillId="0" borderId="49" xfId="1" applyFont="1" applyBorder="1"/>
    <xf numFmtId="0" fontId="75" fillId="3" borderId="12" xfId="1" applyFont="1" applyFill="1" applyBorder="1"/>
    <xf numFmtId="0" fontId="75" fillId="0" borderId="12" xfId="1" applyFont="1" applyBorder="1"/>
    <xf numFmtId="0" fontId="16" fillId="2" borderId="0" xfId="1" applyFont="1" applyFill="1"/>
    <xf numFmtId="0" fontId="35" fillId="0" borderId="30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37" fillId="3" borderId="18" xfId="1" applyFont="1" applyFill="1" applyBorder="1"/>
    <xf numFmtId="0" fontId="75" fillId="3" borderId="18" xfId="1" applyFont="1" applyFill="1" applyBorder="1" applyAlignment="1">
      <alignment horizontal="center" vertical="center"/>
    </xf>
    <xf numFmtId="0" fontId="35" fillId="3" borderId="30" xfId="1" applyFont="1" applyFill="1" applyBorder="1" applyAlignment="1">
      <alignment horizontal="center" vertical="center"/>
    </xf>
    <xf numFmtId="0" fontId="79" fillId="3" borderId="12" xfId="1" applyFont="1" applyFill="1" applyBorder="1" applyAlignment="1">
      <alignment horizontal="center" vertical="center"/>
    </xf>
    <xf numFmtId="0" fontId="56" fillId="3" borderId="18" xfId="1" applyFont="1" applyFill="1" applyBorder="1"/>
    <xf numFmtId="0" fontId="75" fillId="3" borderId="50" xfId="1" applyFont="1" applyFill="1" applyBorder="1"/>
    <xf numFmtId="0" fontId="75" fillId="3" borderId="3" xfId="1" applyFont="1" applyFill="1" applyBorder="1"/>
    <xf numFmtId="0" fontId="15" fillId="3" borderId="3" xfId="1" applyFont="1" applyFill="1" applyBorder="1"/>
    <xf numFmtId="1" fontId="75" fillId="3" borderId="18" xfId="1" applyNumberFormat="1" applyFont="1" applyFill="1" applyBorder="1" applyAlignment="1">
      <alignment horizontal="center"/>
    </xf>
    <xf numFmtId="0" fontId="69" fillId="0" borderId="3" xfId="1" applyFont="1" applyBorder="1" applyAlignment="1">
      <alignment horizontal="left" indent="5"/>
    </xf>
    <xf numFmtId="0" fontId="44" fillId="3" borderId="18" xfId="1" applyFont="1" applyFill="1" applyBorder="1"/>
    <xf numFmtId="49" fontId="80" fillId="3" borderId="18" xfId="1" applyNumberFormat="1" applyFont="1" applyFill="1" applyBorder="1" applyAlignment="1">
      <alignment horizontal="left" indent="6"/>
    </xf>
    <xf numFmtId="0" fontId="42" fillId="3" borderId="31" xfId="1" applyFont="1" applyFill="1" applyBorder="1"/>
    <xf numFmtId="0" fontId="43" fillId="3" borderId="18" xfId="1" applyFont="1" applyFill="1" applyBorder="1"/>
    <xf numFmtId="0" fontId="14" fillId="0" borderId="0" xfId="1" applyFont="1"/>
    <xf numFmtId="0" fontId="19" fillId="3" borderId="27" xfId="1" applyFont="1" applyFill="1" applyBorder="1"/>
    <xf numFmtId="0" fontId="19" fillId="3" borderId="37" xfId="1" applyFont="1" applyFill="1" applyBorder="1"/>
    <xf numFmtId="0" fontId="19" fillId="3" borderId="12" xfId="1" applyFont="1" applyFill="1" applyBorder="1"/>
    <xf numFmtId="0" fontId="19" fillId="3" borderId="26" xfId="1" applyFont="1" applyFill="1" applyBorder="1"/>
    <xf numFmtId="0" fontId="19" fillId="0" borderId="37" xfId="1" applyFont="1" applyBorder="1"/>
    <xf numFmtId="0" fontId="19" fillId="0" borderId="12" xfId="1" applyFont="1" applyBorder="1"/>
    <xf numFmtId="0" fontId="19" fillId="0" borderId="26" xfId="1" applyFont="1" applyBorder="1"/>
    <xf numFmtId="0" fontId="75" fillId="0" borderId="25" xfId="1" applyFont="1" applyBorder="1"/>
    <xf numFmtId="0" fontId="94" fillId="3" borderId="18" xfId="1" applyFont="1" applyFill="1" applyBorder="1" applyAlignment="1">
      <alignment horizontal="center" vertical="center"/>
    </xf>
    <xf numFmtId="0" fontId="35" fillId="3" borderId="8" xfId="1" applyFont="1" applyFill="1" applyBorder="1" applyAlignment="1">
      <alignment horizontal="center" vertical="center"/>
    </xf>
    <xf numFmtId="0" fontId="40" fillId="3" borderId="18" xfId="1" applyFont="1" applyFill="1" applyBorder="1" applyAlignment="1">
      <alignment horizontal="center" vertical="center"/>
    </xf>
    <xf numFmtId="0" fontId="13" fillId="0" borderId="0" xfId="1" applyFont="1"/>
    <xf numFmtId="0" fontId="75" fillId="3" borderId="20" xfId="1" applyFont="1" applyFill="1" applyBorder="1"/>
    <xf numFmtId="0" fontId="37" fillId="3" borderId="19" xfId="1" applyFont="1" applyFill="1" applyBorder="1"/>
    <xf numFmtId="0" fontId="12" fillId="0" borderId="0" xfId="1" applyFont="1"/>
    <xf numFmtId="0" fontId="11" fillId="0" borderId="0" xfId="1" applyFont="1"/>
    <xf numFmtId="0" fontId="75" fillId="10" borderId="19" xfId="1" applyFont="1" applyFill="1" applyBorder="1"/>
    <xf numFmtId="0" fontId="52" fillId="0" borderId="18" xfId="1" applyFont="1" applyBorder="1" applyAlignment="1">
      <alignment horizontal="left" indent="7"/>
    </xf>
    <xf numFmtId="0" fontId="75" fillId="3" borderId="0" xfId="1" applyFont="1" applyFill="1"/>
    <xf numFmtId="0" fontId="19" fillId="0" borderId="2" xfId="1" applyFont="1" applyBorder="1"/>
    <xf numFmtId="0" fontId="75" fillId="0" borderId="22" xfId="1" applyFont="1" applyBorder="1"/>
    <xf numFmtId="0" fontId="79" fillId="0" borderId="26" xfId="1" applyFont="1" applyBorder="1"/>
    <xf numFmtId="0" fontId="79" fillId="0" borderId="51" xfId="1" applyFont="1" applyBorder="1"/>
    <xf numFmtId="0" fontId="79" fillId="0" borderId="14" xfId="1" applyFont="1" applyBorder="1"/>
    <xf numFmtId="0" fontId="56" fillId="3" borderId="19" xfId="1" applyFont="1" applyFill="1" applyBorder="1"/>
    <xf numFmtId="0" fontId="10" fillId="0" borderId="0" xfId="1" applyFont="1"/>
    <xf numFmtId="0" fontId="36" fillId="3" borderId="18" xfId="1" applyFont="1" applyFill="1" applyBorder="1"/>
    <xf numFmtId="0" fontId="36" fillId="3" borderId="19" xfId="1" applyFont="1" applyFill="1" applyBorder="1"/>
    <xf numFmtId="0" fontId="36" fillId="3" borderId="27" xfId="1" applyFont="1" applyFill="1" applyBorder="1"/>
    <xf numFmtId="0" fontId="36" fillId="3" borderId="28" xfId="1" applyFont="1" applyFill="1" applyBorder="1"/>
    <xf numFmtId="0" fontId="9" fillId="0" borderId="0" xfId="1" applyFont="1"/>
    <xf numFmtId="0" fontId="8" fillId="0" borderId="18" xfId="1" applyFont="1" applyBorder="1"/>
    <xf numFmtId="0" fontId="96" fillId="0" borderId="1" xfId="1" applyFont="1" applyBorder="1"/>
    <xf numFmtId="0" fontId="96" fillId="0" borderId="19" xfId="1" applyFont="1" applyBorder="1"/>
    <xf numFmtId="0" fontId="121" fillId="0" borderId="8" xfId="1" applyFont="1" applyBorder="1"/>
    <xf numFmtId="0" fontId="7" fillId="0" borderId="8" xfId="1" quotePrefix="1" applyFont="1" applyBorder="1"/>
    <xf numFmtId="0" fontId="7" fillId="0" borderId="8" xfId="1" applyFont="1" applyBorder="1"/>
    <xf numFmtId="0" fontId="75" fillId="10" borderId="18" xfId="1" applyFont="1" applyFill="1" applyBorder="1"/>
    <xf numFmtId="0" fontId="6" fillId="0" borderId="8" xfId="1" applyFont="1" applyBorder="1"/>
    <xf numFmtId="0" fontId="5" fillId="0" borderId="0" xfId="1" applyFont="1"/>
    <xf numFmtId="164" fontId="4" fillId="0" borderId="19" xfId="1" applyNumberFormat="1" applyFont="1" applyBorder="1" applyAlignment="1">
      <alignment horizontal="left"/>
    </xf>
    <xf numFmtId="164" fontId="3" fillId="0" borderId="19" xfId="1" applyNumberFormat="1" applyFont="1" applyBorder="1" applyAlignment="1">
      <alignment horizontal="left"/>
    </xf>
    <xf numFmtId="0" fontId="3" fillId="0" borderId="8" xfId="1" applyFont="1" applyBorder="1"/>
    <xf numFmtId="0" fontId="110" fillId="0" borderId="18" xfId="1" applyFont="1" applyBorder="1" applyAlignment="1">
      <alignment horizontal="center" vertical="center"/>
    </xf>
    <xf numFmtId="0" fontId="110" fillId="0" borderId="0" xfId="1" applyFont="1"/>
    <xf numFmtId="0" fontId="122" fillId="0" borderId="0" xfId="1" applyFont="1"/>
    <xf numFmtId="0" fontId="110" fillId="2" borderId="19" xfId="1" applyFont="1" applyFill="1" applyBorder="1" applyAlignment="1">
      <alignment horizontal="center" vertical="center"/>
    </xf>
    <xf numFmtId="0" fontId="122" fillId="2" borderId="0" xfId="1" applyFont="1" applyFill="1" applyAlignment="1">
      <alignment horizontal="center" vertical="center"/>
    </xf>
    <xf numFmtId="0" fontId="110" fillId="0" borderId="52" xfId="1" applyFont="1" applyBorder="1" applyAlignment="1">
      <alignment horizontal="center" vertical="center"/>
    </xf>
    <xf numFmtId="0" fontId="122" fillId="0" borderId="52" xfId="1" applyFont="1" applyBorder="1" applyAlignment="1">
      <alignment horizontal="center" vertical="center"/>
    </xf>
    <xf numFmtId="0" fontId="110" fillId="0" borderId="19" xfId="1" applyFont="1" applyBorder="1" applyAlignment="1">
      <alignment horizontal="center" vertical="center"/>
    </xf>
    <xf numFmtId="0" fontId="110" fillId="0" borderId="47" xfId="1" applyFont="1" applyBorder="1" applyAlignment="1">
      <alignment horizontal="center" vertical="center"/>
    </xf>
    <xf numFmtId="0" fontId="110" fillId="0" borderId="43" xfId="1" applyFont="1" applyBorder="1" applyAlignment="1">
      <alignment horizontal="center" vertical="center"/>
    </xf>
    <xf numFmtId="0" fontId="110" fillId="0" borderId="19" xfId="1" applyFont="1" applyBorder="1" applyAlignment="1">
      <alignment horizontal="center"/>
    </xf>
    <xf numFmtId="0" fontId="110" fillId="0" borderId="48" xfId="1" applyFont="1" applyBorder="1" applyAlignment="1">
      <alignment horizontal="center"/>
    </xf>
    <xf numFmtId="0" fontId="110" fillId="0" borderId="33" xfId="1" applyFont="1" applyBorder="1" applyAlignment="1">
      <alignment horizontal="center"/>
    </xf>
    <xf numFmtId="0" fontId="110" fillId="0" borderId="26" xfId="1" applyFont="1" applyBorder="1" applyAlignment="1">
      <alignment horizontal="center"/>
    </xf>
    <xf numFmtId="0" fontId="122" fillId="0" borderId="2" xfId="1" applyFont="1" applyBorder="1"/>
    <xf numFmtId="0" fontId="123" fillId="0" borderId="18" xfId="1" applyFont="1" applyBorder="1"/>
    <xf numFmtId="164" fontId="122" fillId="0" borderId="1" xfId="1" applyNumberFormat="1" applyFont="1" applyBorder="1" applyAlignment="1">
      <alignment horizontal="center"/>
    </xf>
    <xf numFmtId="0" fontId="122" fillId="0" borderId="3" xfId="1" applyFont="1" applyBorder="1"/>
    <xf numFmtId="0" fontId="122" fillId="0" borderId="18" xfId="1" applyFont="1" applyBorder="1"/>
    <xf numFmtId="0" fontId="122" fillId="0" borderId="1" xfId="1" applyFont="1" applyBorder="1"/>
    <xf numFmtId="0" fontId="123" fillId="0" borderId="19" xfId="1" applyFont="1" applyBorder="1"/>
    <xf numFmtId="0" fontId="122" fillId="3" borderId="18" xfId="1" applyFont="1" applyFill="1" applyBorder="1"/>
    <xf numFmtId="0" fontId="123" fillId="0" borderId="27" xfId="1" applyFont="1" applyBorder="1"/>
    <xf numFmtId="0" fontId="122" fillId="0" borderId="19" xfId="1" applyFont="1" applyBorder="1"/>
    <xf numFmtId="0" fontId="122" fillId="0" borderId="0" xfId="0" applyFont="1"/>
    <xf numFmtId="0" fontId="2" fillId="3" borderId="18" xfId="1" applyFont="1" applyFill="1" applyBorder="1"/>
    <xf numFmtId="0" fontId="2" fillId="0" borderId="8" xfId="1" applyFont="1" applyBorder="1"/>
    <xf numFmtId="0" fontId="2" fillId="0" borderId="0" xfId="1" applyFont="1"/>
    <xf numFmtId="0" fontId="81" fillId="0" borderId="22" xfId="1" applyFont="1" applyBorder="1" applyAlignment="1">
      <alignment horizontal="center" vertical="center"/>
    </xf>
    <xf numFmtId="0" fontId="81" fillId="0" borderId="23" xfId="1" applyFont="1" applyBorder="1" applyAlignment="1">
      <alignment horizontal="center" vertical="center"/>
    </xf>
    <xf numFmtId="0" fontId="81" fillId="0" borderId="11" xfId="1" applyFont="1" applyBorder="1" applyAlignment="1">
      <alignment horizontal="center" vertical="center"/>
    </xf>
    <xf numFmtId="0" fontId="81" fillId="0" borderId="24" xfId="1" applyFont="1" applyBorder="1" applyAlignment="1">
      <alignment horizontal="center" vertical="center"/>
    </xf>
    <xf numFmtId="0" fontId="98" fillId="3" borderId="22" xfId="1" applyFont="1" applyFill="1" applyBorder="1" applyAlignment="1">
      <alignment horizontal="center" vertical="center"/>
    </xf>
    <xf numFmtId="0" fontId="98" fillId="3" borderId="25" xfId="1" applyFont="1" applyFill="1" applyBorder="1" applyAlignment="1">
      <alignment horizontal="center" vertical="center"/>
    </xf>
    <xf numFmtId="0" fontId="98" fillId="3" borderId="23" xfId="1" applyFont="1" applyFill="1" applyBorder="1" applyAlignment="1">
      <alignment horizontal="center" vertical="center"/>
    </xf>
    <xf numFmtId="0" fontId="98" fillId="3" borderId="11" xfId="1" applyFont="1" applyFill="1" applyBorder="1" applyAlignment="1">
      <alignment horizontal="center" vertical="center"/>
    </xf>
    <xf numFmtId="0" fontId="98" fillId="3" borderId="21" xfId="1" applyFont="1" applyFill="1" applyBorder="1" applyAlignment="1">
      <alignment horizontal="center" vertical="center"/>
    </xf>
    <xf numFmtId="0" fontId="98" fillId="3" borderId="24" xfId="1" applyFont="1" applyFill="1" applyBorder="1" applyAlignment="1">
      <alignment horizontal="center" vertical="center"/>
    </xf>
    <xf numFmtId="0" fontId="86" fillId="0" borderId="44" xfId="1" applyFont="1" applyBorder="1" applyAlignment="1">
      <alignment horizontal="center" vertical="center"/>
    </xf>
    <xf numFmtId="0" fontId="79" fillId="5" borderId="0" xfId="1" applyFont="1" applyFill="1" applyAlignment="1">
      <alignment horizontal="center" vertical="center"/>
    </xf>
    <xf numFmtId="0" fontId="98" fillId="0" borderId="44" xfId="1" applyFont="1" applyBorder="1" applyAlignment="1">
      <alignment horizontal="center" vertical="center"/>
    </xf>
    <xf numFmtId="0" fontId="86" fillId="3" borderId="22" xfId="1" applyFont="1" applyFill="1" applyBorder="1" applyAlignment="1">
      <alignment horizontal="center" vertical="center"/>
    </xf>
    <xf numFmtId="0" fontId="86" fillId="3" borderId="25" xfId="1" applyFont="1" applyFill="1" applyBorder="1" applyAlignment="1">
      <alignment horizontal="center" vertical="center"/>
    </xf>
    <xf numFmtId="0" fontId="86" fillId="3" borderId="23" xfId="1" applyFont="1" applyFill="1" applyBorder="1" applyAlignment="1">
      <alignment horizontal="center" vertical="center"/>
    </xf>
    <xf numFmtId="0" fontId="86" fillId="3" borderId="11" xfId="1" applyFont="1" applyFill="1" applyBorder="1" applyAlignment="1">
      <alignment horizontal="center" vertical="center"/>
    </xf>
    <xf numFmtId="0" fontId="86" fillId="3" borderId="21" xfId="1" applyFont="1" applyFill="1" applyBorder="1" applyAlignment="1">
      <alignment horizontal="center" vertical="center"/>
    </xf>
    <xf numFmtId="0" fontId="86" fillId="3" borderId="24" xfId="1" applyFont="1" applyFill="1" applyBorder="1" applyAlignment="1">
      <alignment horizontal="center" vertical="center"/>
    </xf>
    <xf numFmtId="0" fontId="103" fillId="0" borderId="22" xfId="1" applyFont="1" applyBorder="1" applyAlignment="1">
      <alignment horizontal="center" vertical="center"/>
    </xf>
    <xf numFmtId="0" fontId="103" fillId="0" borderId="23" xfId="1" applyFont="1" applyBorder="1" applyAlignment="1">
      <alignment horizontal="center" vertical="center"/>
    </xf>
    <xf numFmtId="0" fontId="103" fillId="0" borderId="11" xfId="1" applyFont="1" applyBorder="1" applyAlignment="1">
      <alignment horizontal="center" vertical="center"/>
    </xf>
    <xf numFmtId="0" fontId="103" fillId="0" borderId="24" xfId="1" applyFont="1" applyBorder="1" applyAlignment="1">
      <alignment horizontal="center" vertical="center"/>
    </xf>
    <xf numFmtId="0" fontId="97" fillId="3" borderId="22" xfId="1" applyFont="1" applyFill="1" applyBorder="1" applyAlignment="1">
      <alignment horizontal="center" vertical="center"/>
    </xf>
    <xf numFmtId="0" fontId="97" fillId="3" borderId="25" xfId="1" applyFont="1" applyFill="1" applyBorder="1" applyAlignment="1">
      <alignment horizontal="center" vertical="center"/>
    </xf>
    <xf numFmtId="0" fontId="97" fillId="3" borderId="23" xfId="1" applyFont="1" applyFill="1" applyBorder="1" applyAlignment="1">
      <alignment horizontal="center" vertical="center"/>
    </xf>
    <xf numFmtId="0" fontId="97" fillId="3" borderId="11" xfId="1" applyFont="1" applyFill="1" applyBorder="1" applyAlignment="1">
      <alignment horizontal="center" vertical="center"/>
    </xf>
    <xf numFmtId="0" fontId="97" fillId="3" borderId="21" xfId="1" applyFont="1" applyFill="1" applyBorder="1" applyAlignment="1">
      <alignment horizontal="center" vertical="center"/>
    </xf>
    <xf numFmtId="0" fontId="97" fillId="3" borderId="24" xfId="1" applyFont="1" applyFill="1" applyBorder="1" applyAlignment="1">
      <alignment horizontal="center" vertical="center"/>
    </xf>
    <xf numFmtId="0" fontId="102" fillId="0" borderId="44" xfId="1" applyFont="1" applyBorder="1" applyAlignment="1">
      <alignment horizontal="center" vertical="center"/>
    </xf>
    <xf numFmtId="0" fontId="98" fillId="0" borderId="22" xfId="1" applyFont="1" applyBorder="1" applyAlignment="1">
      <alignment horizontal="center" vertical="center"/>
    </xf>
    <xf numFmtId="0" fontId="98" fillId="0" borderId="23" xfId="1" applyFont="1" applyBorder="1" applyAlignment="1">
      <alignment horizontal="center" vertical="center"/>
    </xf>
    <xf numFmtId="0" fontId="98" fillId="0" borderId="11" xfId="1" applyFont="1" applyBorder="1" applyAlignment="1">
      <alignment horizontal="center" vertical="center"/>
    </xf>
    <xf numFmtId="0" fontId="98" fillId="0" borderId="24" xfId="1" applyFont="1" applyBorder="1" applyAlignment="1">
      <alignment horizontal="center" vertical="center"/>
    </xf>
    <xf numFmtId="0" fontId="81" fillId="0" borderId="44" xfId="1" applyFont="1" applyBorder="1" applyAlignment="1">
      <alignment horizontal="center" vertical="center"/>
    </xf>
    <xf numFmtId="0" fontId="85" fillId="4" borderId="22" xfId="1" applyFont="1" applyFill="1" applyBorder="1" applyAlignment="1">
      <alignment horizontal="center" vertical="center"/>
    </xf>
    <xf numFmtId="0" fontId="84" fillId="4" borderId="11" xfId="1" applyFont="1" applyFill="1" applyBorder="1" applyAlignment="1">
      <alignment horizontal="center" vertical="center"/>
    </xf>
    <xf numFmtId="0" fontId="84" fillId="4" borderId="23" xfId="1" applyFont="1" applyFill="1" applyBorder="1" applyAlignment="1">
      <alignment horizontal="center" vertical="center"/>
    </xf>
    <xf numFmtId="0" fontId="84" fillId="4" borderId="24" xfId="1" applyFont="1" applyFill="1" applyBorder="1" applyAlignment="1">
      <alignment horizontal="center" vertical="center"/>
    </xf>
    <xf numFmtId="0" fontId="97" fillId="0" borderId="44" xfId="1" applyFont="1" applyBorder="1" applyAlignment="1">
      <alignment horizontal="center" vertical="center"/>
    </xf>
    <xf numFmtId="0" fontId="102" fillId="3" borderId="22" xfId="1" applyFont="1" applyFill="1" applyBorder="1" applyAlignment="1">
      <alignment horizontal="center" vertical="center"/>
    </xf>
    <xf numFmtId="0" fontId="102" fillId="3" borderId="25" xfId="1" applyFont="1" applyFill="1" applyBorder="1" applyAlignment="1">
      <alignment horizontal="center" vertical="center"/>
    </xf>
    <xf numFmtId="0" fontId="102" fillId="3" borderId="23" xfId="1" applyFont="1" applyFill="1" applyBorder="1" applyAlignment="1">
      <alignment horizontal="center" vertical="center"/>
    </xf>
    <xf numFmtId="0" fontId="102" fillId="3" borderId="11" xfId="1" applyFont="1" applyFill="1" applyBorder="1" applyAlignment="1">
      <alignment horizontal="center" vertical="center"/>
    </xf>
    <xf numFmtId="0" fontId="102" fillId="3" borderId="21" xfId="1" applyFont="1" applyFill="1" applyBorder="1" applyAlignment="1">
      <alignment horizontal="center" vertical="center"/>
    </xf>
    <xf numFmtId="0" fontId="102" fillId="3" borderId="24" xfId="1" applyFont="1" applyFill="1" applyBorder="1" applyAlignment="1">
      <alignment horizontal="center" vertical="center"/>
    </xf>
    <xf numFmtId="0" fontId="81" fillId="0" borderId="45" xfId="1" applyFont="1" applyBorder="1" applyAlignment="1">
      <alignment horizontal="center" vertical="center"/>
    </xf>
    <xf numFmtId="0" fontId="81" fillId="0" borderId="46" xfId="1" applyFont="1" applyBorder="1" applyAlignment="1">
      <alignment horizontal="center" vertical="center"/>
    </xf>
    <xf numFmtId="0" fontId="98" fillId="3" borderId="45" xfId="1" applyFont="1" applyFill="1" applyBorder="1" applyAlignment="1">
      <alignment horizontal="center" vertical="center"/>
    </xf>
    <xf numFmtId="0" fontId="98" fillId="3" borderId="0" xfId="1" applyFont="1" applyFill="1" applyAlignment="1">
      <alignment horizontal="center" vertical="center"/>
    </xf>
    <xf numFmtId="0" fontId="98" fillId="3" borderId="46" xfId="1" applyFont="1" applyFill="1" applyBorder="1" applyAlignment="1">
      <alignment horizontal="center" vertical="center"/>
    </xf>
    <xf numFmtId="0" fontId="97" fillId="3" borderId="22" xfId="1" applyFont="1" applyFill="1" applyBorder="1" applyAlignment="1">
      <alignment horizontal="left"/>
    </xf>
    <xf numFmtId="0" fontId="97" fillId="3" borderId="25" xfId="1" applyFont="1" applyFill="1" applyBorder="1" applyAlignment="1">
      <alignment horizontal="left"/>
    </xf>
    <xf numFmtId="0" fontId="97" fillId="3" borderId="23" xfId="1" applyFont="1" applyFill="1" applyBorder="1" applyAlignment="1">
      <alignment horizontal="left"/>
    </xf>
    <xf numFmtId="0" fontId="97" fillId="3" borderId="11" xfId="1" applyFont="1" applyFill="1" applyBorder="1" applyAlignment="1">
      <alignment horizontal="left"/>
    </xf>
    <xf numFmtId="0" fontId="97" fillId="3" borderId="21" xfId="1" applyFont="1" applyFill="1" applyBorder="1" applyAlignment="1">
      <alignment horizontal="left"/>
    </xf>
    <xf numFmtId="0" fontId="97" fillId="3" borderId="24" xfId="1" applyFont="1" applyFill="1" applyBorder="1" applyAlignment="1">
      <alignment horizontal="left"/>
    </xf>
    <xf numFmtId="0" fontId="97" fillId="0" borderId="22" xfId="1" applyFont="1" applyBorder="1" applyAlignment="1">
      <alignment horizontal="center" vertical="center"/>
    </xf>
    <xf numFmtId="0" fontId="97" fillId="0" borderId="23" xfId="1" applyFont="1" applyBorder="1" applyAlignment="1">
      <alignment horizontal="center" vertical="center"/>
    </xf>
    <xf numFmtId="0" fontId="97" fillId="0" borderId="11" xfId="1" applyFont="1" applyBorder="1" applyAlignment="1">
      <alignment horizontal="center" vertical="center"/>
    </xf>
    <xf numFmtId="0" fontId="97" fillId="0" borderId="24" xfId="1" applyFont="1" applyBorder="1" applyAlignment="1">
      <alignment horizontal="center" vertical="center"/>
    </xf>
    <xf numFmtId="0" fontId="85" fillId="0" borderId="22" xfId="1" applyFont="1" applyBorder="1" applyAlignment="1">
      <alignment horizontal="center" vertical="center"/>
    </xf>
    <xf numFmtId="0" fontId="84" fillId="0" borderId="11" xfId="1" applyFont="1" applyBorder="1" applyAlignment="1">
      <alignment horizontal="center" vertical="center"/>
    </xf>
    <xf numFmtId="0" fontId="84" fillId="0" borderId="23" xfId="1" applyFont="1" applyBorder="1" applyAlignment="1">
      <alignment horizontal="center" vertical="center"/>
    </xf>
    <xf numFmtId="0" fontId="84" fillId="0" borderId="24" xfId="1" applyFont="1" applyBorder="1" applyAlignment="1">
      <alignment horizontal="center" vertical="center"/>
    </xf>
    <xf numFmtId="0" fontId="81" fillId="3" borderId="22" xfId="1" applyFont="1" applyFill="1" applyBorder="1" applyAlignment="1">
      <alignment horizontal="left"/>
    </xf>
    <xf numFmtId="0" fontId="81" fillId="3" borderId="25" xfId="1" applyFont="1" applyFill="1" applyBorder="1" applyAlignment="1">
      <alignment horizontal="left"/>
    </xf>
    <xf numFmtId="0" fontId="81" fillId="3" borderId="23" xfId="1" applyFont="1" applyFill="1" applyBorder="1" applyAlignment="1">
      <alignment horizontal="left"/>
    </xf>
    <xf numFmtId="0" fontId="81" fillId="3" borderId="11" xfId="1" applyFont="1" applyFill="1" applyBorder="1" applyAlignment="1">
      <alignment horizontal="left"/>
    </xf>
    <xf numFmtId="0" fontId="81" fillId="3" borderId="21" xfId="1" applyFont="1" applyFill="1" applyBorder="1" applyAlignment="1">
      <alignment horizontal="left"/>
    </xf>
    <xf numFmtId="0" fontId="81" fillId="3" borderId="24" xfId="1" applyFont="1" applyFill="1" applyBorder="1" applyAlignment="1">
      <alignment horizontal="left"/>
    </xf>
    <xf numFmtId="0" fontId="109" fillId="6" borderId="22" xfId="1" applyFont="1" applyFill="1" applyBorder="1" applyAlignment="1">
      <alignment horizontal="center" vertical="center"/>
    </xf>
    <xf numFmtId="0" fontId="109" fillId="6" borderId="11" xfId="1" applyFont="1" applyFill="1" applyBorder="1" applyAlignment="1">
      <alignment horizontal="center" vertical="center"/>
    </xf>
    <xf numFmtId="0" fontId="110" fillId="6" borderId="23" xfId="1" applyFont="1" applyFill="1" applyBorder="1" applyAlignment="1">
      <alignment horizontal="center" vertical="center"/>
    </xf>
    <xf numFmtId="0" fontId="110" fillId="6" borderId="24" xfId="1" applyFont="1" applyFill="1" applyBorder="1" applyAlignment="1">
      <alignment horizontal="center" vertical="center"/>
    </xf>
    <xf numFmtId="0" fontId="81" fillId="3" borderId="45" xfId="1" applyFont="1" applyFill="1" applyBorder="1" applyAlignment="1">
      <alignment horizontal="left"/>
    </xf>
    <xf numFmtId="0" fontId="81" fillId="3" borderId="0" xfId="1" applyFont="1" applyFill="1" applyAlignment="1">
      <alignment horizontal="left"/>
    </xf>
    <xf numFmtId="0" fontId="81" fillId="3" borderId="46" xfId="1" applyFont="1" applyFill="1" applyBorder="1" applyAlignment="1">
      <alignment horizontal="left"/>
    </xf>
    <xf numFmtId="0" fontId="98" fillId="3" borderId="22" xfId="1" applyFont="1" applyFill="1" applyBorder="1" applyAlignment="1">
      <alignment horizontal="left"/>
    </xf>
    <xf numFmtId="0" fontId="98" fillId="3" borderId="25" xfId="1" applyFont="1" applyFill="1" applyBorder="1" applyAlignment="1">
      <alignment horizontal="left"/>
    </xf>
    <xf numFmtId="0" fontId="98" fillId="3" borderId="23" xfId="1" applyFont="1" applyFill="1" applyBorder="1" applyAlignment="1">
      <alignment horizontal="left"/>
    </xf>
    <xf numFmtId="0" fontId="98" fillId="3" borderId="11" xfId="1" applyFont="1" applyFill="1" applyBorder="1" applyAlignment="1">
      <alignment horizontal="left"/>
    </xf>
    <xf numFmtId="0" fontId="98" fillId="3" borderId="21" xfId="1" applyFont="1" applyFill="1" applyBorder="1" applyAlignment="1">
      <alignment horizontal="left"/>
    </xf>
    <xf numFmtId="0" fontId="98" fillId="3" borderId="24" xfId="1" applyFont="1" applyFill="1" applyBorder="1" applyAlignment="1">
      <alignment horizontal="left"/>
    </xf>
    <xf numFmtId="0" fontId="102" fillId="0" borderId="22" xfId="1" applyFont="1" applyBorder="1" applyAlignment="1">
      <alignment horizontal="center" vertical="center"/>
    </xf>
    <xf numFmtId="0" fontId="102" fillId="0" borderId="23" xfId="1" applyFont="1" applyBorder="1" applyAlignment="1">
      <alignment horizontal="center" vertical="center"/>
    </xf>
    <xf numFmtId="0" fontId="102" fillId="0" borderId="11" xfId="1" applyFont="1" applyBorder="1" applyAlignment="1">
      <alignment horizontal="center" vertical="center"/>
    </xf>
    <xf numFmtId="0" fontId="102" fillId="0" borderId="24" xfId="1" applyFont="1" applyBorder="1" applyAlignment="1">
      <alignment horizontal="center" vertical="center"/>
    </xf>
    <xf numFmtId="0" fontId="85" fillId="0" borderId="11" xfId="1" applyFont="1" applyBorder="1" applyAlignment="1">
      <alignment horizontal="center" vertical="center"/>
    </xf>
    <xf numFmtId="0" fontId="120" fillId="0" borderId="22" xfId="1" applyFont="1" applyBorder="1" applyAlignment="1">
      <alignment horizontal="center" vertical="center"/>
    </xf>
    <xf numFmtId="0" fontId="120" fillId="0" borderId="23" xfId="1" applyFont="1" applyBorder="1" applyAlignment="1">
      <alignment horizontal="center" vertical="center"/>
    </xf>
    <xf numFmtId="0" fontId="120" fillId="0" borderId="11" xfId="1" applyFont="1" applyBorder="1" applyAlignment="1">
      <alignment horizontal="center" vertical="center"/>
    </xf>
    <xf numFmtId="0" fontId="120" fillId="0" borderId="24" xfId="1" applyFont="1" applyBorder="1" applyAlignment="1">
      <alignment horizontal="center" vertical="center"/>
    </xf>
    <xf numFmtId="0" fontId="81" fillId="2" borderId="0" xfId="1" applyFont="1" applyFill="1" applyAlignment="1">
      <alignment horizontal="center" vertical="center"/>
    </xf>
    <xf numFmtId="0" fontId="81" fillId="0" borderId="22" xfId="1" applyFont="1" applyBorder="1" applyAlignment="1">
      <alignment horizontal="center" vertical="center" wrapText="1"/>
    </xf>
    <xf numFmtId="0" fontId="81" fillId="0" borderId="23" xfId="1" applyFont="1" applyBorder="1" applyAlignment="1">
      <alignment horizontal="center" vertical="center" wrapText="1"/>
    </xf>
    <xf numFmtId="0" fontId="81" fillId="0" borderId="11" xfId="1" applyFont="1" applyBorder="1" applyAlignment="1">
      <alignment horizontal="center" vertical="center" wrapText="1"/>
    </xf>
    <xf numFmtId="0" fontId="81" fillId="0" borderId="24" xfId="1" applyFont="1" applyBorder="1" applyAlignment="1">
      <alignment horizontal="center" vertical="center" wrapText="1"/>
    </xf>
    <xf numFmtId="0" fontId="105" fillId="0" borderId="22" xfId="1" applyFont="1" applyBorder="1" applyAlignment="1">
      <alignment horizontal="center" vertical="center"/>
    </xf>
    <xf numFmtId="0" fontId="105" fillId="0" borderId="23" xfId="1" applyFont="1" applyBorder="1" applyAlignment="1">
      <alignment horizontal="center" vertical="center"/>
    </xf>
    <xf numFmtId="0" fontId="105" fillId="0" borderId="11" xfId="1" applyFont="1" applyBorder="1" applyAlignment="1">
      <alignment horizontal="center" vertical="center"/>
    </xf>
    <xf numFmtId="0" fontId="105" fillId="0" borderId="24" xfId="1" applyFont="1" applyBorder="1" applyAlignment="1">
      <alignment horizontal="center" vertical="center"/>
    </xf>
    <xf numFmtId="0" fontId="105" fillId="3" borderId="22" xfId="1" applyFont="1" applyFill="1" applyBorder="1" applyAlignment="1">
      <alignment horizontal="center" vertical="center"/>
    </xf>
    <xf numFmtId="0" fontId="105" fillId="3" borderId="25" xfId="1" applyFont="1" applyFill="1" applyBorder="1" applyAlignment="1">
      <alignment horizontal="center" vertical="center"/>
    </xf>
    <xf numFmtId="0" fontId="105" fillId="3" borderId="23" xfId="1" applyFont="1" applyFill="1" applyBorder="1" applyAlignment="1">
      <alignment horizontal="center" vertical="center"/>
    </xf>
    <xf numFmtId="0" fontId="105" fillId="3" borderId="11" xfId="1" applyFont="1" applyFill="1" applyBorder="1" applyAlignment="1">
      <alignment horizontal="center" vertical="center"/>
    </xf>
    <xf numFmtId="0" fontId="105" fillId="3" borderId="21" xfId="1" applyFont="1" applyFill="1" applyBorder="1" applyAlignment="1">
      <alignment horizontal="center" vertical="center"/>
    </xf>
    <xf numFmtId="0" fontId="105" fillId="3" borderId="24" xfId="1" applyFont="1" applyFill="1" applyBorder="1" applyAlignment="1">
      <alignment horizontal="center" vertical="center"/>
    </xf>
    <xf numFmtId="0" fontId="81" fillId="0" borderId="25" xfId="1" applyFont="1" applyBorder="1" applyAlignment="1">
      <alignment horizontal="center" vertical="center"/>
    </xf>
    <xf numFmtId="0" fontId="81" fillId="0" borderId="21" xfId="1" applyFont="1" applyBorder="1" applyAlignment="1">
      <alignment horizontal="center" vertical="center"/>
    </xf>
    <xf numFmtId="0" fontId="81" fillId="0" borderId="22" xfId="1" applyFont="1" applyBorder="1" applyAlignment="1">
      <alignment horizontal="left"/>
    </xf>
    <xf numFmtId="0" fontId="81" fillId="0" borderId="25" xfId="1" applyFont="1" applyBorder="1" applyAlignment="1">
      <alignment horizontal="left"/>
    </xf>
    <xf numFmtId="0" fontId="81" fillId="0" borderId="23" xfId="1" applyFont="1" applyBorder="1" applyAlignment="1">
      <alignment horizontal="left"/>
    </xf>
    <xf numFmtId="0" fontId="81" fillId="0" borderId="11" xfId="1" applyFont="1" applyBorder="1" applyAlignment="1">
      <alignment horizontal="left"/>
    </xf>
    <xf numFmtId="0" fontId="81" fillId="0" borderId="21" xfId="1" applyFont="1" applyBorder="1" applyAlignment="1">
      <alignment horizontal="left"/>
    </xf>
    <xf numFmtId="0" fontId="81" fillId="0" borderId="24" xfId="1" applyFont="1" applyBorder="1" applyAlignment="1">
      <alignment horizontal="left"/>
    </xf>
    <xf numFmtId="0" fontId="81" fillId="0" borderId="0" xfId="1" applyFont="1" applyAlignment="1">
      <alignment horizontal="center" vertical="center"/>
    </xf>
    <xf numFmtId="0" fontId="30" fillId="0" borderId="8" xfId="1" applyFont="1" applyFill="1" applyBorder="1"/>
    <xf numFmtId="0" fontId="30" fillId="0" borderId="19" xfId="1" applyFont="1" applyFill="1" applyBorder="1"/>
    <xf numFmtId="0" fontId="75" fillId="0" borderId="8" xfId="1" applyFont="1" applyFill="1" applyBorder="1"/>
    <xf numFmtId="0" fontId="75" fillId="0" borderId="18" xfId="1" applyFont="1" applyFill="1" applyBorder="1"/>
    <xf numFmtId="0" fontId="1" fillId="3" borderId="18" xfId="1" applyFont="1" applyFill="1" applyBorder="1"/>
    <xf numFmtId="0" fontId="44" fillId="0" borderId="18" xfId="1" applyFont="1" applyFill="1" applyBorder="1"/>
    <xf numFmtId="0" fontId="124" fillId="3" borderId="18" xfId="1" applyFont="1" applyFill="1" applyBorder="1"/>
    <xf numFmtId="0" fontId="42" fillId="0" borderId="31" xfId="1" applyFont="1" applyFill="1" applyBorder="1"/>
    <xf numFmtId="0" fontId="30" fillId="3" borderId="3" xfId="1" applyFont="1" applyFill="1" applyBorder="1" applyAlignment="1"/>
    <xf numFmtId="0" fontId="30" fillId="0" borderId="3" xfId="1" applyFont="1" applyFill="1" applyBorder="1"/>
    <xf numFmtId="1" fontId="80" fillId="0" borderId="3" xfId="1" applyNumberFormat="1" applyFont="1" applyFill="1" applyBorder="1"/>
    <xf numFmtId="0" fontId="43" fillId="0" borderId="3" xfId="1" applyFont="1" applyFill="1" applyBorder="1"/>
    <xf numFmtId="0" fontId="1" fillId="0" borderId="8" xfId="1" applyFont="1" applyBorder="1"/>
    <xf numFmtId="0" fontId="79" fillId="3" borderId="51" xfId="1" applyFont="1" applyFill="1" applyBorder="1"/>
    <xf numFmtId="0" fontId="19" fillId="0" borderId="37" xfId="1" applyFont="1" applyFill="1" applyBorder="1"/>
    <xf numFmtId="0" fontId="30" fillId="0" borderId="18" xfId="1" applyFont="1" applyFill="1" applyBorder="1"/>
    <xf numFmtId="0" fontId="32" fillId="0" borderId="3" xfId="1" applyFont="1" applyFill="1" applyBorder="1"/>
    <xf numFmtId="0" fontId="28" fillId="0" borderId="18" xfId="1" applyFont="1" applyFill="1" applyBorder="1"/>
  </cellXfs>
  <cellStyles count="10">
    <cellStyle name="Normal" xfId="0" builtinId="0"/>
    <cellStyle name="Normal 2" xfId="1" xr:uid="{C7150223-1A5F-422B-A4EA-981553414D54}"/>
    <cellStyle name="Normal 3" xfId="2" xr:uid="{75B1B732-3429-46EE-A80A-EE9756574425}"/>
    <cellStyle name="Normal 3 2" xfId="3" xr:uid="{00B25A01-1F2F-4AFE-BA6C-ADBF97573F85}"/>
    <cellStyle name="Normal 4" xfId="4" xr:uid="{BC0A8192-04D1-4C91-A992-67750D83ADC1}"/>
    <cellStyle name="Normal 5" xfId="5" xr:uid="{5119D696-E31B-4290-A8BE-091CDCCC12BA}"/>
    <cellStyle name="Normal 6" xfId="6" xr:uid="{92D2EA5A-C9C5-4A27-897D-711789679D13}"/>
    <cellStyle name="Normal 7" xfId="7" xr:uid="{7196F4EE-8ED0-4242-BAF8-126B07E9CE7B}"/>
    <cellStyle name="Normal 7 2" xfId="9" xr:uid="{CE57C0CD-2C0E-45BC-AB3A-71DA16ECA4F3}"/>
    <cellStyle name="Normal 9" xfId="8" xr:uid="{AC05E37F-67A7-4855-9027-F53E840AE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alcChain" Target="calcChai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6156-2986-43F1-8298-6C9A716EAD69}">
  <dimension ref="A1"/>
  <sheetViews>
    <sheetView workbookViewId="0">
      <selection activeCell="E33" sqref="E33"/>
    </sheetView>
  </sheetViews>
  <sheetFormatPr baseColWidth="10" defaultRowHeight="15.75" x14ac:dyDescent="0.2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1C67-BA42-4694-9EAC-FAE4E2B91390}">
  <sheetPr>
    <tabColor rgb="FFFF0000"/>
    <pageSetUpPr fitToPage="1"/>
  </sheetPr>
  <dimension ref="A1:S51"/>
  <sheetViews>
    <sheetView zoomScale="85" zoomScaleNormal="85" workbookViewId="0">
      <selection activeCell="T39" sqref="T39"/>
    </sheetView>
  </sheetViews>
  <sheetFormatPr baseColWidth="10" defaultColWidth="10.875" defaultRowHeight="15" x14ac:dyDescent="0.25"/>
  <cols>
    <col min="1" max="1" width="7.875" style="308" bestFit="1" customWidth="1"/>
    <col min="2" max="2" width="35.75" style="308" customWidth="1"/>
    <col min="3" max="3" width="2.75" style="308" customWidth="1"/>
    <col min="4" max="4" width="8.5" style="308" bestFit="1" customWidth="1"/>
    <col min="5" max="5" width="1" style="308" customWidth="1"/>
    <col min="6" max="6" width="6.625" style="324" bestFit="1" customWidth="1"/>
    <col min="7" max="7" width="4.375" style="324" bestFit="1" customWidth="1"/>
    <col min="8" max="8" width="6.625" style="324" bestFit="1" customWidth="1"/>
    <col min="9" max="9" width="4.375" style="324" bestFit="1" customWidth="1"/>
    <col min="10" max="10" width="6.125" style="324" bestFit="1" customWidth="1"/>
    <col min="11" max="11" width="4.375" style="324" bestFit="1" customWidth="1"/>
    <col min="12" max="12" width="6.625" style="324" bestFit="1" customWidth="1"/>
    <col min="13" max="13" width="4.375" style="324" bestFit="1" customWidth="1"/>
    <col min="14" max="14" width="6.625" style="324" bestFit="1" customWidth="1"/>
    <col min="15" max="15" width="4.375" style="324" bestFit="1" customWidth="1"/>
    <col min="16" max="16" width="5.375" style="324" bestFit="1" customWidth="1"/>
    <col min="17" max="16384" width="10.875" style="308"/>
  </cols>
  <sheetData>
    <row r="1" spans="1:16" ht="17.25" customHeight="1" x14ac:dyDescent="0.25">
      <c r="A1" s="686" t="s">
        <v>190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</row>
    <row r="2" spans="1:16" s="3" customFormat="1" ht="17.2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L2" s="325"/>
      <c r="M2" s="325"/>
      <c r="N2" s="325"/>
      <c r="O2" s="325"/>
      <c r="P2" s="325"/>
    </row>
    <row r="3" spans="1:16" s="3" customFormat="1" ht="17.25" customHeight="1" thickBot="1" x14ac:dyDescent="0.3">
      <c r="A3" s="696" t="s">
        <v>291</v>
      </c>
      <c r="B3" s="696"/>
      <c r="C3" s="18"/>
      <c r="D3" s="18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17.25" customHeight="1" thickBot="1" x14ac:dyDescent="0.3">
      <c r="A4" s="5"/>
      <c r="B4" s="5"/>
      <c r="C4" s="18"/>
      <c r="D4" s="18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7.25" customHeight="1" thickBot="1" x14ac:dyDescent="0.3">
      <c r="A5" s="6" t="s">
        <v>0</v>
      </c>
      <c r="B5" s="6" t="s">
        <v>105</v>
      </c>
      <c r="C5" s="4"/>
      <c r="D5" s="21" t="s">
        <v>106</v>
      </c>
      <c r="E5" s="308"/>
      <c r="F5" s="372" t="s">
        <v>292</v>
      </c>
      <c r="G5" s="373" t="s">
        <v>288</v>
      </c>
      <c r="H5" s="372" t="s">
        <v>293</v>
      </c>
      <c r="I5" s="373" t="s">
        <v>288</v>
      </c>
      <c r="J5" s="372" t="s">
        <v>285</v>
      </c>
      <c r="K5" s="373" t="s">
        <v>288</v>
      </c>
      <c r="L5" s="372" t="s">
        <v>294</v>
      </c>
      <c r="M5" s="373" t="s">
        <v>288</v>
      </c>
      <c r="N5" s="372" t="s">
        <v>295</v>
      </c>
      <c r="O5" s="373" t="s">
        <v>288</v>
      </c>
      <c r="P5" s="52" t="s">
        <v>98</v>
      </c>
    </row>
    <row r="6" spans="1:16" ht="15.75" thickBot="1" x14ac:dyDescent="0.3">
      <c r="A6" s="312">
        <v>10000015</v>
      </c>
      <c r="B6" s="310" t="s">
        <v>1</v>
      </c>
      <c r="C6" s="323"/>
      <c r="D6" s="362">
        <v>5</v>
      </c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6">
        <f t="shared" ref="P6:P51" si="0">SUM(F6:O6)</f>
        <v>0</v>
      </c>
    </row>
    <row r="7" spans="1:16" ht="15.75" thickBot="1" x14ac:dyDescent="0.3">
      <c r="A7" s="316">
        <v>1000006</v>
      </c>
      <c r="B7" s="314" t="s">
        <v>4</v>
      </c>
      <c r="C7" s="323"/>
      <c r="D7" s="363">
        <v>200</v>
      </c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6">
        <f t="shared" si="0"/>
        <v>0</v>
      </c>
    </row>
    <row r="8" spans="1:16" ht="15.75" thickBot="1" x14ac:dyDescent="0.3">
      <c r="A8" s="316">
        <v>1000007</v>
      </c>
      <c r="B8" s="314" t="s">
        <v>5</v>
      </c>
      <c r="C8" s="323"/>
      <c r="D8" s="363">
        <v>200</v>
      </c>
      <c r="F8" s="329"/>
      <c r="G8" s="329"/>
      <c r="H8" s="329"/>
      <c r="I8" s="329"/>
      <c r="J8" s="329"/>
      <c r="K8" s="329"/>
      <c r="L8" s="329"/>
      <c r="M8" s="329"/>
      <c r="N8" s="329">
        <v>100</v>
      </c>
      <c r="O8" s="329"/>
      <c r="P8" s="371">
        <f t="shared" si="0"/>
        <v>100</v>
      </c>
    </row>
    <row r="9" spans="1:16" ht="15.75" thickBot="1" x14ac:dyDescent="0.3">
      <c r="A9" s="316">
        <v>1000008</v>
      </c>
      <c r="B9" s="314" t="s">
        <v>7</v>
      </c>
      <c r="C9" s="323"/>
      <c r="D9" s="363">
        <v>15</v>
      </c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6">
        <f t="shared" si="0"/>
        <v>0</v>
      </c>
    </row>
    <row r="10" spans="1:16" ht="15.75" thickBot="1" x14ac:dyDescent="0.3">
      <c r="A10" s="316">
        <v>1000001</v>
      </c>
      <c r="B10" s="314" t="s">
        <v>8</v>
      </c>
      <c r="C10" s="323"/>
      <c r="D10" s="363">
        <v>2</v>
      </c>
      <c r="F10" s="329">
        <v>4</v>
      </c>
      <c r="G10" s="329"/>
      <c r="H10" s="329"/>
      <c r="I10" s="329"/>
      <c r="J10" s="329"/>
      <c r="K10" s="329"/>
      <c r="L10" s="329"/>
      <c r="M10" s="329"/>
      <c r="N10" s="329">
        <v>4</v>
      </c>
      <c r="O10" s="329"/>
      <c r="P10" s="371">
        <f t="shared" si="0"/>
        <v>8</v>
      </c>
    </row>
    <row r="11" spans="1:16" ht="15.75" thickBot="1" x14ac:dyDescent="0.3">
      <c r="A11" s="316">
        <v>1000002</v>
      </c>
      <c r="B11" s="314" t="s">
        <v>9</v>
      </c>
      <c r="C11" s="323"/>
      <c r="D11" s="363">
        <v>1</v>
      </c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6">
        <f t="shared" si="0"/>
        <v>0</v>
      </c>
    </row>
    <row r="12" spans="1:16" ht="15.75" thickBot="1" x14ac:dyDescent="0.3">
      <c r="A12" s="316">
        <v>1000067</v>
      </c>
      <c r="B12" s="314" t="s">
        <v>11</v>
      </c>
      <c r="C12" s="323"/>
      <c r="D12" s="363">
        <v>1</v>
      </c>
      <c r="F12" s="329">
        <v>1</v>
      </c>
      <c r="G12" s="329"/>
      <c r="H12" s="329"/>
      <c r="I12" s="329"/>
      <c r="J12" s="329"/>
      <c r="K12" s="329"/>
      <c r="L12" s="329"/>
      <c r="M12" s="329"/>
      <c r="N12" s="329">
        <v>1</v>
      </c>
      <c r="O12" s="329"/>
      <c r="P12" s="371">
        <f t="shared" si="0"/>
        <v>2</v>
      </c>
    </row>
    <row r="13" spans="1:16" ht="15.75" thickBot="1" x14ac:dyDescent="0.3">
      <c r="A13" s="316">
        <v>1000054</v>
      </c>
      <c r="B13" s="314" t="s">
        <v>12</v>
      </c>
      <c r="C13" s="323"/>
      <c r="D13" s="363">
        <v>30</v>
      </c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6">
        <f t="shared" si="0"/>
        <v>0</v>
      </c>
    </row>
    <row r="14" spans="1:16" ht="15.75" thickBot="1" x14ac:dyDescent="0.3">
      <c r="A14" s="316">
        <v>1000070</v>
      </c>
      <c r="B14" s="314" t="s">
        <v>13</v>
      </c>
      <c r="C14" s="323"/>
      <c r="D14" s="363">
        <v>1</v>
      </c>
      <c r="F14" s="329">
        <v>1</v>
      </c>
      <c r="G14" s="329"/>
      <c r="H14" s="329"/>
      <c r="I14" s="329"/>
      <c r="J14" s="329"/>
      <c r="K14" s="329"/>
      <c r="L14" s="329"/>
      <c r="M14" s="329"/>
      <c r="N14" s="329">
        <v>1</v>
      </c>
      <c r="O14" s="329"/>
      <c r="P14" s="371">
        <f t="shared" si="0"/>
        <v>2</v>
      </c>
    </row>
    <row r="15" spans="1:16" ht="15.75" thickBot="1" x14ac:dyDescent="0.3">
      <c r="A15" s="316">
        <v>1000017</v>
      </c>
      <c r="B15" s="314" t="s">
        <v>14</v>
      </c>
      <c r="C15" s="323"/>
      <c r="D15" s="363">
        <v>20</v>
      </c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6">
        <f t="shared" si="0"/>
        <v>0</v>
      </c>
    </row>
    <row r="16" spans="1:16" ht="15.75" thickBot="1" x14ac:dyDescent="0.3">
      <c r="A16" s="316">
        <v>1000016</v>
      </c>
      <c r="B16" s="314" t="s">
        <v>15</v>
      </c>
      <c r="C16" s="323"/>
      <c r="D16" s="363">
        <v>5</v>
      </c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6">
        <f t="shared" si="0"/>
        <v>0</v>
      </c>
    </row>
    <row r="17" spans="1:16" ht="15.75" thickBot="1" x14ac:dyDescent="0.3">
      <c r="A17" s="316">
        <v>1000041</v>
      </c>
      <c r="B17" s="364" t="s">
        <v>16</v>
      </c>
      <c r="C17" s="323"/>
      <c r="D17" s="363">
        <v>5</v>
      </c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6">
        <f t="shared" si="0"/>
        <v>0</v>
      </c>
    </row>
    <row r="18" spans="1:16" ht="15.75" thickBot="1" x14ac:dyDescent="0.3">
      <c r="A18" s="316">
        <v>1000049</v>
      </c>
      <c r="B18" s="314" t="s">
        <v>21</v>
      </c>
      <c r="C18" s="323"/>
      <c r="D18" s="363">
        <v>2</v>
      </c>
      <c r="F18" s="329">
        <v>3</v>
      </c>
      <c r="G18" s="329"/>
      <c r="H18" s="329"/>
      <c r="I18" s="329"/>
      <c r="J18" s="329"/>
      <c r="K18" s="329"/>
      <c r="L18" s="329"/>
      <c r="M18" s="329"/>
      <c r="N18" s="329">
        <v>3</v>
      </c>
      <c r="O18" s="329"/>
      <c r="P18" s="371">
        <f t="shared" si="0"/>
        <v>6</v>
      </c>
    </row>
    <row r="19" spans="1:16" ht="15.75" thickBot="1" x14ac:dyDescent="0.3">
      <c r="A19" s="316">
        <v>1000050</v>
      </c>
      <c r="B19" s="365" t="s">
        <v>22</v>
      </c>
      <c r="C19" s="323"/>
      <c r="D19" s="363">
        <v>2</v>
      </c>
      <c r="F19" s="329">
        <v>4</v>
      </c>
      <c r="G19" s="329"/>
      <c r="H19" s="329"/>
      <c r="I19" s="329"/>
      <c r="J19" s="329"/>
      <c r="K19" s="329"/>
      <c r="L19" s="329"/>
      <c r="M19" s="329"/>
      <c r="N19" s="329">
        <v>3</v>
      </c>
      <c r="O19" s="329"/>
      <c r="P19" s="371">
        <f t="shared" si="0"/>
        <v>7</v>
      </c>
    </row>
    <row r="20" spans="1:16" ht="15.75" thickBot="1" x14ac:dyDescent="0.3">
      <c r="A20" s="316">
        <v>1000031</v>
      </c>
      <c r="B20" s="314" t="s">
        <v>25</v>
      </c>
      <c r="C20" s="323"/>
      <c r="D20" s="363">
        <v>0</v>
      </c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6">
        <f t="shared" si="0"/>
        <v>0</v>
      </c>
    </row>
    <row r="21" spans="1:16" ht="15.75" thickBot="1" x14ac:dyDescent="0.3">
      <c r="A21" s="316">
        <v>1000025</v>
      </c>
      <c r="B21" s="314" t="s">
        <v>32</v>
      </c>
      <c r="C21" s="323"/>
      <c r="D21" s="363">
        <v>5</v>
      </c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6">
        <f t="shared" si="0"/>
        <v>0</v>
      </c>
    </row>
    <row r="22" spans="1:16" ht="15.75" thickBot="1" x14ac:dyDescent="0.3">
      <c r="A22" s="316">
        <v>1000101</v>
      </c>
      <c r="B22" s="314" t="s">
        <v>35</v>
      </c>
      <c r="C22" s="323"/>
      <c r="D22" s="363">
        <v>0</v>
      </c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6">
        <f t="shared" si="0"/>
        <v>0</v>
      </c>
    </row>
    <row r="23" spans="1:16" ht="15.75" thickBot="1" x14ac:dyDescent="0.3">
      <c r="A23" s="316">
        <v>1000082</v>
      </c>
      <c r="B23" s="314" t="s">
        <v>37</v>
      </c>
      <c r="C23" s="323"/>
      <c r="D23" s="363">
        <v>45</v>
      </c>
      <c r="F23" s="329">
        <v>24</v>
      </c>
      <c r="G23" s="329"/>
      <c r="H23" s="329"/>
      <c r="I23" s="329"/>
      <c r="J23" s="329"/>
      <c r="K23" s="329"/>
      <c r="L23" s="329"/>
      <c r="M23" s="329"/>
      <c r="N23" s="329">
        <v>16</v>
      </c>
      <c r="O23" s="329"/>
      <c r="P23" s="371">
        <f t="shared" si="0"/>
        <v>40</v>
      </c>
    </row>
    <row r="24" spans="1:16" ht="15.75" thickBot="1" x14ac:dyDescent="0.3">
      <c r="A24" s="316">
        <v>1000146</v>
      </c>
      <c r="B24" s="314" t="s">
        <v>39</v>
      </c>
      <c r="C24" s="323"/>
      <c r="D24" s="363">
        <v>90</v>
      </c>
      <c r="F24" s="329"/>
      <c r="G24" s="329"/>
      <c r="H24" s="329"/>
      <c r="I24" s="329"/>
      <c r="J24" s="329"/>
      <c r="K24" s="329"/>
      <c r="L24" s="329"/>
      <c r="M24" s="329"/>
      <c r="N24" s="329">
        <v>10</v>
      </c>
      <c r="O24" s="329"/>
      <c r="P24" s="371">
        <f t="shared" si="0"/>
        <v>10</v>
      </c>
    </row>
    <row r="25" spans="1:16" ht="15.75" thickBot="1" x14ac:dyDescent="0.3">
      <c r="A25" s="316">
        <v>10248</v>
      </c>
      <c r="B25" s="314" t="s">
        <v>183</v>
      </c>
      <c r="C25" s="323"/>
      <c r="D25" s="363">
        <v>0</v>
      </c>
      <c r="F25" s="329">
        <v>12</v>
      </c>
      <c r="G25" s="329"/>
      <c r="H25" s="329"/>
      <c r="I25" s="329"/>
      <c r="J25" s="329"/>
      <c r="K25" s="329"/>
      <c r="L25" s="329"/>
      <c r="M25" s="329"/>
      <c r="N25" s="329">
        <v>12</v>
      </c>
      <c r="O25" s="329"/>
      <c r="P25" s="371">
        <f t="shared" si="0"/>
        <v>24</v>
      </c>
    </row>
    <row r="26" spans="1:16" ht="15.75" thickBot="1" x14ac:dyDescent="0.3">
      <c r="A26" s="316">
        <v>1000090</v>
      </c>
      <c r="B26" s="314" t="s">
        <v>40</v>
      </c>
      <c r="C26" s="323"/>
      <c r="D26" s="363">
        <v>3</v>
      </c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6">
        <f t="shared" si="0"/>
        <v>0</v>
      </c>
    </row>
    <row r="27" spans="1:16" ht="15.75" thickBot="1" x14ac:dyDescent="0.3">
      <c r="A27" s="316">
        <v>1000052</v>
      </c>
      <c r="B27" s="314" t="s">
        <v>41</v>
      </c>
      <c r="C27" s="323"/>
      <c r="D27" s="363">
        <v>4</v>
      </c>
      <c r="F27" s="329">
        <v>4</v>
      </c>
      <c r="G27" s="329"/>
      <c r="H27" s="329"/>
      <c r="I27" s="329"/>
      <c r="J27" s="329"/>
      <c r="K27" s="329"/>
      <c r="L27" s="329"/>
      <c r="M27" s="329"/>
      <c r="N27" s="329">
        <v>4</v>
      </c>
      <c r="O27" s="329"/>
      <c r="P27" s="371">
        <f t="shared" si="0"/>
        <v>8</v>
      </c>
    </row>
    <row r="28" spans="1:16" ht="15.75" thickBot="1" x14ac:dyDescent="0.3">
      <c r="A28" s="316">
        <v>1000089</v>
      </c>
      <c r="B28" s="314" t="s">
        <v>42</v>
      </c>
      <c r="C28" s="323"/>
      <c r="D28" s="363">
        <v>4</v>
      </c>
      <c r="F28" s="329">
        <v>4</v>
      </c>
      <c r="G28" s="329"/>
      <c r="H28" s="329"/>
      <c r="I28" s="329"/>
      <c r="J28" s="329"/>
      <c r="K28" s="329"/>
      <c r="L28" s="329"/>
      <c r="M28" s="329"/>
      <c r="N28" s="329">
        <v>4</v>
      </c>
      <c r="O28" s="329"/>
      <c r="P28" s="371">
        <f t="shared" si="0"/>
        <v>8</v>
      </c>
    </row>
    <row r="29" spans="1:16" ht="15.75" thickBot="1" x14ac:dyDescent="0.3">
      <c r="A29" s="316">
        <v>1000051</v>
      </c>
      <c r="B29" s="314" t="s">
        <v>43</v>
      </c>
      <c r="C29" s="323"/>
      <c r="D29" s="363">
        <v>1</v>
      </c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6">
        <f t="shared" si="0"/>
        <v>0</v>
      </c>
    </row>
    <row r="30" spans="1:16" ht="15.75" thickBot="1" x14ac:dyDescent="0.3">
      <c r="A30" s="316">
        <v>1000048</v>
      </c>
      <c r="B30" s="314" t="s">
        <v>45</v>
      </c>
      <c r="C30" s="323"/>
      <c r="D30" s="363">
        <v>0</v>
      </c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6">
        <f t="shared" si="0"/>
        <v>0</v>
      </c>
    </row>
    <row r="31" spans="1:16" ht="15.75" thickBot="1" x14ac:dyDescent="0.3">
      <c r="A31" s="316">
        <v>1000148</v>
      </c>
      <c r="B31" s="314" t="s">
        <v>53</v>
      </c>
      <c r="C31" s="323"/>
      <c r="D31" s="363">
        <v>0</v>
      </c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6">
        <f t="shared" si="0"/>
        <v>0</v>
      </c>
    </row>
    <row r="32" spans="1:16" ht="15.75" thickBot="1" x14ac:dyDescent="0.3">
      <c r="A32" s="316">
        <v>1000142</v>
      </c>
      <c r="B32" s="314" t="s">
        <v>54</v>
      </c>
      <c r="C32" s="323"/>
      <c r="D32" s="363">
        <v>1</v>
      </c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6">
        <f t="shared" si="0"/>
        <v>0</v>
      </c>
    </row>
    <row r="33" spans="1:19" ht="15.75" thickBot="1" x14ac:dyDescent="0.3">
      <c r="A33" s="316">
        <v>1000035</v>
      </c>
      <c r="B33" s="314" t="s">
        <v>29</v>
      </c>
      <c r="C33" s="323"/>
      <c r="D33" s="363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6">
        <f t="shared" si="0"/>
        <v>0</v>
      </c>
    </row>
    <row r="34" spans="1:19" s="15" customFormat="1" ht="15.95" customHeight="1" thickBot="1" x14ac:dyDescent="0.3">
      <c r="A34" s="316">
        <v>1000214</v>
      </c>
      <c r="B34" s="314" t="s">
        <v>49</v>
      </c>
      <c r="C34" s="323"/>
      <c r="D34" s="363"/>
      <c r="E34" s="308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6">
        <f t="shared" si="0"/>
        <v>0</v>
      </c>
      <c r="S34" s="308"/>
    </row>
    <row r="35" spans="1:19" ht="15.75" thickBot="1" x14ac:dyDescent="0.3">
      <c r="A35" s="316">
        <v>1000085</v>
      </c>
      <c r="B35" s="314" t="s">
        <v>50</v>
      </c>
      <c r="C35" s="323"/>
      <c r="D35" s="363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6">
        <f t="shared" si="0"/>
        <v>0</v>
      </c>
    </row>
    <row r="36" spans="1:19" ht="15.75" thickBot="1" x14ac:dyDescent="0.3">
      <c r="A36" s="316">
        <v>1000033</v>
      </c>
      <c r="B36" s="314" t="s">
        <v>27</v>
      </c>
      <c r="C36" s="323"/>
      <c r="D36" s="363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6">
        <f t="shared" si="0"/>
        <v>0</v>
      </c>
    </row>
    <row r="37" spans="1:19" ht="15.75" thickBot="1" x14ac:dyDescent="0.3">
      <c r="A37" s="316">
        <v>1000029</v>
      </c>
      <c r="B37" s="314" t="s">
        <v>30</v>
      </c>
      <c r="C37" s="323"/>
      <c r="D37" s="363"/>
      <c r="F37" s="329">
        <v>1</v>
      </c>
      <c r="G37" s="329"/>
      <c r="H37" s="329"/>
      <c r="I37" s="329"/>
      <c r="J37" s="329"/>
      <c r="K37" s="329"/>
      <c r="L37" s="329"/>
      <c r="M37" s="329"/>
      <c r="N37" s="329">
        <v>1</v>
      </c>
      <c r="O37" s="329"/>
      <c r="P37" s="371">
        <f t="shared" si="0"/>
        <v>2</v>
      </c>
    </row>
    <row r="38" spans="1:19" ht="15.75" thickBot="1" x14ac:dyDescent="0.3">
      <c r="A38" s="316">
        <v>1000076</v>
      </c>
      <c r="B38" s="314" t="s">
        <v>46</v>
      </c>
      <c r="C38" s="323"/>
      <c r="D38" s="363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6">
        <f t="shared" si="0"/>
        <v>0</v>
      </c>
    </row>
    <row r="39" spans="1:19" ht="15.75" thickBot="1" x14ac:dyDescent="0.3">
      <c r="A39" s="316">
        <v>1000004</v>
      </c>
      <c r="B39" s="314" t="s">
        <v>10</v>
      </c>
      <c r="C39" s="323"/>
      <c r="D39" s="363"/>
      <c r="F39" s="329">
        <v>5</v>
      </c>
      <c r="G39" s="329"/>
      <c r="H39" s="329"/>
      <c r="I39" s="329"/>
      <c r="J39" s="329"/>
      <c r="K39" s="329"/>
      <c r="L39" s="329"/>
      <c r="M39" s="329"/>
      <c r="N39" s="329">
        <v>5</v>
      </c>
      <c r="O39" s="329"/>
      <c r="P39" s="371">
        <f t="shared" si="0"/>
        <v>10</v>
      </c>
    </row>
    <row r="40" spans="1:19" ht="15.75" thickBot="1" x14ac:dyDescent="0.3">
      <c r="A40" s="316">
        <v>1000084</v>
      </c>
      <c r="B40" s="314" t="s">
        <v>38</v>
      </c>
      <c r="C40" s="323"/>
      <c r="D40" s="363"/>
      <c r="F40" s="329"/>
      <c r="G40" s="329"/>
      <c r="H40" s="329"/>
      <c r="I40" s="329"/>
      <c r="J40" s="329"/>
      <c r="K40" s="329"/>
      <c r="L40" s="329"/>
      <c r="M40" s="329"/>
      <c r="N40" s="329">
        <v>8</v>
      </c>
      <c r="O40" s="329"/>
      <c r="P40" s="371">
        <f t="shared" si="0"/>
        <v>8</v>
      </c>
    </row>
    <row r="41" spans="1:19" ht="15.75" thickBot="1" x14ac:dyDescent="0.3">
      <c r="A41" s="316">
        <v>1000383</v>
      </c>
      <c r="B41" s="314" t="s">
        <v>264</v>
      </c>
      <c r="C41" s="323"/>
      <c r="D41" s="363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6">
        <f t="shared" si="0"/>
        <v>0</v>
      </c>
    </row>
    <row r="42" spans="1:19" ht="15.75" thickBot="1" x14ac:dyDescent="0.3">
      <c r="A42" s="374">
        <v>1000087</v>
      </c>
      <c r="B42" s="364" t="s">
        <v>197</v>
      </c>
      <c r="C42" s="323"/>
      <c r="D42" s="363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6">
        <f t="shared" si="0"/>
        <v>0</v>
      </c>
    </row>
    <row r="43" spans="1:19" ht="15.75" thickBot="1" x14ac:dyDescent="0.3">
      <c r="A43" s="316">
        <v>1000057</v>
      </c>
      <c r="B43" s="314" t="s">
        <v>70</v>
      </c>
      <c r="C43" s="323"/>
      <c r="D43" s="363"/>
      <c r="F43" s="329">
        <v>1</v>
      </c>
      <c r="G43" s="329"/>
      <c r="H43" s="329"/>
      <c r="I43" s="329"/>
      <c r="J43" s="329"/>
      <c r="K43" s="329"/>
      <c r="L43" s="329"/>
      <c r="M43" s="329"/>
      <c r="N43" s="329">
        <v>1</v>
      </c>
      <c r="O43" s="329"/>
      <c r="P43" s="371">
        <f t="shared" si="0"/>
        <v>2</v>
      </c>
    </row>
    <row r="44" spans="1:19" ht="15.75" thickBot="1" x14ac:dyDescent="0.3">
      <c r="A44" s="316">
        <v>1000026</v>
      </c>
      <c r="B44" s="314" t="s">
        <v>31</v>
      </c>
      <c r="C44" s="323"/>
      <c r="D44" s="363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6">
        <f t="shared" si="0"/>
        <v>0</v>
      </c>
    </row>
    <row r="45" spans="1:19" ht="15.75" thickBot="1" x14ac:dyDescent="0.3">
      <c r="A45" s="316">
        <v>1000027</v>
      </c>
      <c r="B45" s="314" t="s">
        <v>33</v>
      </c>
      <c r="C45" s="323"/>
      <c r="D45" s="363"/>
      <c r="F45" s="329">
        <v>6</v>
      </c>
      <c r="G45" s="329"/>
      <c r="H45" s="329"/>
      <c r="I45" s="329"/>
      <c r="J45" s="329"/>
      <c r="K45" s="329"/>
      <c r="L45" s="329"/>
      <c r="M45" s="329"/>
      <c r="N45" s="329"/>
      <c r="O45" s="329"/>
      <c r="P45" s="371">
        <f t="shared" si="0"/>
        <v>6</v>
      </c>
      <c r="S45" s="543"/>
    </row>
    <row r="46" spans="1:19" ht="15.75" thickBot="1" x14ac:dyDescent="0.3">
      <c r="A46" s="316">
        <v>1000080</v>
      </c>
      <c r="B46" s="314" t="s">
        <v>275</v>
      </c>
      <c r="C46" s="323"/>
      <c r="D46" s="363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6">
        <f t="shared" si="0"/>
        <v>0</v>
      </c>
    </row>
    <row r="47" spans="1:19" ht="15.75" thickBot="1" x14ac:dyDescent="0.3">
      <c r="A47" s="316">
        <v>1000436</v>
      </c>
      <c r="B47" s="314" t="s">
        <v>276</v>
      </c>
      <c r="C47" s="323"/>
      <c r="D47" s="363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6">
        <f t="shared" si="0"/>
        <v>0</v>
      </c>
    </row>
    <row r="48" spans="1:19" ht="15.75" thickBot="1" x14ac:dyDescent="0.3">
      <c r="A48" s="316">
        <v>1000550</v>
      </c>
      <c r="B48" s="314" t="s">
        <v>277</v>
      </c>
      <c r="C48" s="323"/>
      <c r="D48" s="363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6">
        <f t="shared" si="0"/>
        <v>0</v>
      </c>
    </row>
    <row r="49" spans="1:16" ht="16.5" thickBot="1" x14ac:dyDescent="0.3">
      <c r="A49" s="317">
        <v>1000551</v>
      </c>
      <c r="B49" s="314" t="s">
        <v>278</v>
      </c>
      <c r="C49" s="331"/>
      <c r="D49" s="316"/>
      <c r="E49" s="320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6">
        <f t="shared" si="0"/>
        <v>0</v>
      </c>
    </row>
    <row r="50" spans="1:16" ht="16.5" thickBot="1" x14ac:dyDescent="0.3">
      <c r="A50" s="334">
        <v>1000552</v>
      </c>
      <c r="B50" s="335" t="s">
        <v>279</v>
      </c>
      <c r="C50" s="331"/>
      <c r="D50" s="321"/>
      <c r="E50" s="320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6">
        <f t="shared" si="0"/>
        <v>0</v>
      </c>
    </row>
    <row r="51" spans="1:16" ht="15.75" thickBot="1" x14ac:dyDescent="0.3">
      <c r="A51" s="334"/>
      <c r="B51" s="335" t="s">
        <v>447</v>
      </c>
      <c r="D51" s="321"/>
      <c r="F51" s="329">
        <v>1</v>
      </c>
      <c r="G51" s="329"/>
      <c r="H51" s="329"/>
      <c r="I51" s="329"/>
      <c r="J51" s="329"/>
      <c r="K51" s="329"/>
      <c r="L51" s="329"/>
      <c r="M51" s="329"/>
      <c r="N51" s="329">
        <v>2</v>
      </c>
      <c r="O51" s="329"/>
      <c r="P51" s="371">
        <f t="shared" si="0"/>
        <v>3</v>
      </c>
    </row>
  </sheetData>
  <mergeCells count="4">
    <mergeCell ref="A1:B2"/>
    <mergeCell ref="F1:J2"/>
    <mergeCell ref="A3:B3"/>
    <mergeCell ref="D1:D2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DE22-1BE2-48BE-80F3-15E758A4EC99}">
  <sheetPr>
    <tabColor rgb="FFFF0000"/>
    <pageSetUpPr fitToPage="1"/>
  </sheetPr>
  <dimension ref="A1:P42"/>
  <sheetViews>
    <sheetView topLeftCell="A17" zoomScale="90" zoomScaleNormal="90" workbookViewId="0">
      <selection activeCell="R37" sqref="R37"/>
    </sheetView>
  </sheetViews>
  <sheetFormatPr baseColWidth="10" defaultColWidth="10.875" defaultRowHeight="15" x14ac:dyDescent="0.25"/>
  <cols>
    <col min="1" max="1" width="8.75" style="308" bestFit="1" customWidth="1"/>
    <col min="2" max="2" width="30.5" style="308" bestFit="1" customWidth="1"/>
    <col min="3" max="3" width="1.375" style="308" customWidth="1"/>
    <col min="4" max="4" width="8.125" style="308" bestFit="1" customWidth="1"/>
    <col min="5" max="5" width="1.625" style="308" customWidth="1"/>
    <col min="6" max="6" width="8.5" style="324" customWidth="1"/>
    <col min="7" max="7" width="4.5" style="324" customWidth="1"/>
    <col min="8" max="8" width="9" style="324" customWidth="1"/>
    <col min="9" max="9" width="5.125" style="324" customWidth="1"/>
    <col min="10" max="10" width="7.75" style="324" customWidth="1"/>
    <col min="11" max="11" width="5.25" style="324" customWidth="1"/>
    <col min="12" max="12" width="7.75" style="324" customWidth="1"/>
    <col min="13" max="13" width="4.625" style="324" customWidth="1"/>
    <col min="14" max="14" width="8.625" style="324" customWidth="1"/>
    <col min="15" max="15" width="5.25" style="324" customWidth="1"/>
    <col min="16" max="16" width="7.5" style="324" customWidth="1"/>
    <col min="17" max="16384" width="10.875" style="308"/>
  </cols>
  <sheetData>
    <row r="1" spans="1:16" ht="15" customHeight="1" x14ac:dyDescent="0.25">
      <c r="A1" s="686" t="s">
        <v>282</v>
      </c>
      <c r="B1" s="687"/>
      <c r="D1" s="697" t="s">
        <v>305</v>
      </c>
      <c r="F1" s="699" t="s">
        <v>474</v>
      </c>
      <c r="G1" s="700"/>
      <c r="H1" s="700"/>
      <c r="I1" s="700"/>
      <c r="J1" s="701"/>
      <c r="K1" s="18"/>
    </row>
    <row r="2" spans="1:16" s="3" customFormat="1" ht="16.5" customHeight="1" thickBot="1" x14ac:dyDescent="0.3">
      <c r="A2" s="688"/>
      <c r="B2" s="689"/>
      <c r="C2" s="4"/>
      <c r="D2" s="697"/>
      <c r="F2" s="702"/>
      <c r="G2" s="703"/>
      <c r="H2" s="703"/>
      <c r="I2" s="703"/>
      <c r="J2" s="704"/>
      <c r="K2" s="18"/>
      <c r="L2" s="325"/>
      <c r="M2" s="325"/>
      <c r="N2" s="325"/>
      <c r="O2" s="325"/>
      <c r="P2" s="325"/>
    </row>
    <row r="3" spans="1:16" s="3" customFormat="1" ht="24" thickBot="1" x14ac:dyDescent="0.3">
      <c r="A3" s="698"/>
      <c r="B3" s="698"/>
      <c r="C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29.25" thickBot="1" x14ac:dyDescent="0.3">
      <c r="A4" s="5"/>
      <c r="B4" s="5"/>
      <c r="C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8"/>
      <c r="F5" s="327" t="s">
        <v>283</v>
      </c>
      <c r="G5" s="328" t="s">
        <v>288</v>
      </c>
      <c r="H5" s="327" t="s">
        <v>284</v>
      </c>
      <c r="I5" s="328" t="s">
        <v>288</v>
      </c>
      <c r="J5" s="327" t="s">
        <v>285</v>
      </c>
      <c r="K5" s="328" t="s">
        <v>288</v>
      </c>
      <c r="L5" s="327" t="s">
        <v>286</v>
      </c>
      <c r="M5" s="328" t="s">
        <v>288</v>
      </c>
      <c r="N5" s="327" t="s">
        <v>287</v>
      </c>
      <c r="O5" s="328" t="s">
        <v>288</v>
      </c>
      <c r="P5" s="6" t="s">
        <v>98</v>
      </c>
    </row>
    <row r="6" spans="1:16" ht="15.75" thickBot="1" x14ac:dyDescent="0.3">
      <c r="A6" s="309">
        <v>10000015</v>
      </c>
      <c r="B6" s="310" t="s">
        <v>1</v>
      </c>
      <c r="D6" s="311">
        <v>1</v>
      </c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6">
        <f t="shared" ref="P6:P42" si="0">SUM(F6:O6)</f>
        <v>0</v>
      </c>
    </row>
    <row r="7" spans="1:16" ht="15.75" thickBot="1" x14ac:dyDescent="0.3">
      <c r="A7" s="313">
        <v>10000102</v>
      </c>
      <c r="B7" s="314" t="s">
        <v>2</v>
      </c>
      <c r="D7" s="315">
        <v>0</v>
      </c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6">
        <f t="shared" si="0"/>
        <v>0</v>
      </c>
    </row>
    <row r="8" spans="1:16" ht="15.75" thickBot="1" x14ac:dyDescent="0.3">
      <c r="A8" s="313">
        <v>1000006</v>
      </c>
      <c r="B8" s="314" t="s">
        <v>4</v>
      </c>
      <c r="D8" s="315">
        <v>60</v>
      </c>
      <c r="F8" s="329"/>
      <c r="G8" s="329"/>
      <c r="H8" s="329">
        <v>50</v>
      </c>
      <c r="I8" s="329"/>
      <c r="J8" s="329"/>
      <c r="K8" s="329"/>
      <c r="L8" s="329"/>
      <c r="M8" s="329"/>
      <c r="N8" s="329">
        <v>50</v>
      </c>
      <c r="O8" s="329"/>
      <c r="P8" s="371">
        <f t="shared" si="0"/>
        <v>100</v>
      </c>
    </row>
    <row r="9" spans="1:16" ht="15.75" thickBot="1" x14ac:dyDescent="0.3">
      <c r="A9" s="313">
        <v>1000007</v>
      </c>
      <c r="B9" s="314" t="s">
        <v>5</v>
      </c>
      <c r="D9" s="315">
        <v>30</v>
      </c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6">
        <f t="shared" si="0"/>
        <v>0</v>
      </c>
    </row>
    <row r="10" spans="1:16" ht="15.75" thickBot="1" x14ac:dyDescent="0.3">
      <c r="A10" s="317">
        <v>1000001</v>
      </c>
      <c r="B10" s="314" t="s">
        <v>8</v>
      </c>
      <c r="D10" s="315">
        <v>3</v>
      </c>
      <c r="F10" s="329"/>
      <c r="G10" s="329"/>
      <c r="H10" s="329">
        <v>1</v>
      </c>
      <c r="I10" s="329"/>
      <c r="J10" s="329"/>
      <c r="K10" s="329"/>
      <c r="L10" s="329"/>
      <c r="M10" s="329"/>
      <c r="N10" s="329">
        <v>1</v>
      </c>
      <c r="O10" s="329"/>
      <c r="P10" s="371">
        <f t="shared" si="0"/>
        <v>2</v>
      </c>
    </row>
    <row r="11" spans="1:16" ht="15.75" thickBot="1" x14ac:dyDescent="0.3">
      <c r="A11" s="313">
        <v>1000002</v>
      </c>
      <c r="B11" s="314" t="s">
        <v>9</v>
      </c>
      <c r="D11" s="315">
        <v>1</v>
      </c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6">
        <f t="shared" si="0"/>
        <v>0</v>
      </c>
    </row>
    <row r="12" spans="1:16" ht="15.75" thickBot="1" x14ac:dyDescent="0.3">
      <c r="A12" s="313">
        <v>1000004</v>
      </c>
      <c r="B12" s="314" t="s">
        <v>10</v>
      </c>
      <c r="D12" s="315">
        <v>1</v>
      </c>
      <c r="F12" s="329"/>
      <c r="G12" s="329"/>
      <c r="H12" s="329">
        <v>1</v>
      </c>
      <c r="I12" s="329"/>
      <c r="J12" s="329"/>
      <c r="K12" s="329"/>
      <c r="L12" s="329"/>
      <c r="M12" s="329"/>
      <c r="N12" s="329">
        <v>1</v>
      </c>
      <c r="O12" s="329"/>
      <c r="P12" s="371">
        <f t="shared" si="0"/>
        <v>2</v>
      </c>
    </row>
    <row r="13" spans="1:16" ht="15.75" thickBot="1" x14ac:dyDescent="0.3">
      <c r="A13" s="313">
        <v>1000067</v>
      </c>
      <c r="B13" s="314" t="s">
        <v>11</v>
      </c>
      <c r="D13" s="315">
        <v>0</v>
      </c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6">
        <f t="shared" si="0"/>
        <v>0</v>
      </c>
    </row>
    <row r="14" spans="1:16" ht="15.75" thickBot="1" x14ac:dyDescent="0.3">
      <c r="A14" s="313">
        <v>1000054</v>
      </c>
      <c r="B14" s="314" t="s">
        <v>12</v>
      </c>
      <c r="D14" s="315">
        <v>5</v>
      </c>
      <c r="F14" s="329"/>
      <c r="G14" s="329"/>
      <c r="H14" s="329">
        <v>5</v>
      </c>
      <c r="I14" s="329"/>
      <c r="J14" s="329"/>
      <c r="K14" s="329"/>
      <c r="L14" s="329"/>
      <c r="M14" s="329"/>
      <c r="N14" s="329"/>
      <c r="O14" s="329"/>
      <c r="P14" s="371">
        <f t="shared" si="0"/>
        <v>5</v>
      </c>
    </row>
    <row r="15" spans="1:16" ht="15.75" thickBot="1" x14ac:dyDescent="0.3">
      <c r="A15" s="31">
        <v>1000070</v>
      </c>
      <c r="B15" s="314" t="s">
        <v>13</v>
      </c>
      <c r="D15" s="315"/>
      <c r="F15" s="329"/>
      <c r="G15" s="329"/>
      <c r="H15" s="329">
        <v>1</v>
      </c>
      <c r="I15" s="329"/>
      <c r="J15" s="329"/>
      <c r="K15" s="329"/>
      <c r="L15" s="329"/>
      <c r="M15" s="329"/>
      <c r="N15" s="329">
        <v>1</v>
      </c>
      <c r="O15" s="329"/>
      <c r="P15" s="371">
        <f t="shared" si="0"/>
        <v>2</v>
      </c>
    </row>
    <row r="16" spans="1:16" ht="15.75" thickBot="1" x14ac:dyDescent="0.3">
      <c r="A16" s="313">
        <v>1000017</v>
      </c>
      <c r="B16" s="314" t="s">
        <v>14</v>
      </c>
      <c r="D16" s="315">
        <v>10</v>
      </c>
      <c r="F16" s="329"/>
      <c r="G16" s="329"/>
      <c r="H16" s="329">
        <v>5</v>
      </c>
      <c r="I16" s="329"/>
      <c r="J16" s="329"/>
      <c r="K16" s="329"/>
      <c r="L16" s="329"/>
      <c r="M16" s="329"/>
      <c r="N16" s="329">
        <v>5</v>
      </c>
      <c r="O16" s="329"/>
      <c r="P16" s="371">
        <f t="shared" si="0"/>
        <v>10</v>
      </c>
    </row>
    <row r="17" spans="1:16" ht="15.75" thickBot="1" x14ac:dyDescent="0.3">
      <c r="A17" s="313">
        <v>1000016</v>
      </c>
      <c r="B17" s="314" t="s">
        <v>15</v>
      </c>
      <c r="D17" s="315">
        <v>3</v>
      </c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6">
        <f t="shared" si="0"/>
        <v>0</v>
      </c>
    </row>
    <row r="18" spans="1:16" ht="15.75" thickBot="1" x14ac:dyDescent="0.3">
      <c r="A18" s="313">
        <v>1000041</v>
      </c>
      <c r="B18" s="314" t="s">
        <v>16</v>
      </c>
      <c r="D18" s="315">
        <v>1</v>
      </c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6">
        <f t="shared" si="0"/>
        <v>0</v>
      </c>
    </row>
    <row r="19" spans="1:16" ht="15.75" thickBot="1" x14ac:dyDescent="0.3">
      <c r="A19" s="313">
        <v>1000049</v>
      </c>
      <c r="B19" s="314" t="s">
        <v>21</v>
      </c>
      <c r="D19" s="315">
        <v>0</v>
      </c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6">
        <f t="shared" si="0"/>
        <v>0</v>
      </c>
    </row>
    <row r="20" spans="1:16" ht="15.75" thickBot="1" x14ac:dyDescent="0.3">
      <c r="A20" s="313">
        <v>1000050</v>
      </c>
      <c r="B20" s="314" t="s">
        <v>22</v>
      </c>
      <c r="D20" s="315">
        <v>0</v>
      </c>
      <c r="F20" s="329"/>
      <c r="G20" s="329"/>
      <c r="H20" s="329"/>
      <c r="I20" s="329"/>
      <c r="J20" s="329"/>
      <c r="K20" s="329"/>
      <c r="L20" s="329"/>
      <c r="M20" s="329"/>
      <c r="N20" s="329">
        <v>1</v>
      </c>
      <c r="O20" s="329"/>
      <c r="P20" s="371">
        <f t="shared" si="0"/>
        <v>1</v>
      </c>
    </row>
    <row r="21" spans="1:16" ht="15.75" thickBot="1" x14ac:dyDescent="0.3">
      <c r="A21" s="313">
        <v>1000045</v>
      </c>
      <c r="B21" s="314" t="s">
        <v>23</v>
      </c>
      <c r="D21" s="315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6">
        <f t="shared" si="0"/>
        <v>0</v>
      </c>
    </row>
    <row r="22" spans="1:16" ht="15.75" thickBot="1" x14ac:dyDescent="0.3">
      <c r="A22" s="313">
        <v>1000031</v>
      </c>
      <c r="B22" s="314" t="s">
        <v>25</v>
      </c>
      <c r="D22" s="315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6">
        <f t="shared" si="0"/>
        <v>0</v>
      </c>
    </row>
    <row r="23" spans="1:16" ht="15.75" thickBot="1" x14ac:dyDescent="0.3">
      <c r="A23" s="35">
        <v>1000034</v>
      </c>
      <c r="B23" s="314" t="s">
        <v>28</v>
      </c>
      <c r="D23" s="315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6">
        <f t="shared" si="0"/>
        <v>0</v>
      </c>
    </row>
    <row r="24" spans="1:16" ht="15.75" thickBot="1" x14ac:dyDescent="0.3">
      <c r="A24" s="313">
        <v>1000025</v>
      </c>
      <c r="B24" s="314" t="s">
        <v>32</v>
      </c>
      <c r="D24" s="315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6">
        <f t="shared" si="0"/>
        <v>0</v>
      </c>
    </row>
    <row r="25" spans="1:16" ht="15.75" thickBot="1" x14ac:dyDescent="0.3">
      <c r="A25" s="313">
        <v>1000027</v>
      </c>
      <c r="B25" s="314" t="s">
        <v>33</v>
      </c>
      <c r="D25" s="315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6">
        <f t="shared" si="0"/>
        <v>0</v>
      </c>
    </row>
    <row r="26" spans="1:16" ht="15.75" thickBot="1" x14ac:dyDescent="0.3">
      <c r="A26" s="313">
        <v>1000100</v>
      </c>
      <c r="B26" s="314" t="s">
        <v>34</v>
      </c>
      <c r="D26" s="315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6">
        <f t="shared" si="0"/>
        <v>0</v>
      </c>
    </row>
    <row r="27" spans="1:16" ht="15.75" thickBot="1" x14ac:dyDescent="0.3">
      <c r="A27" s="313">
        <v>1000073</v>
      </c>
      <c r="B27" s="314" t="s">
        <v>36</v>
      </c>
      <c r="D27" s="315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6">
        <f t="shared" si="0"/>
        <v>0</v>
      </c>
    </row>
    <row r="28" spans="1:16" ht="15.75" thickBot="1" x14ac:dyDescent="0.3">
      <c r="A28" s="313">
        <v>1000486</v>
      </c>
      <c r="B28" s="314" t="s">
        <v>263</v>
      </c>
      <c r="D28" s="315"/>
      <c r="F28" s="329"/>
      <c r="G28" s="329"/>
      <c r="H28" s="329">
        <v>10</v>
      </c>
      <c r="I28" s="329"/>
      <c r="J28" s="329"/>
      <c r="K28" s="329"/>
      <c r="L28" s="329"/>
      <c r="M28" s="329"/>
      <c r="N28" s="329">
        <v>10</v>
      </c>
      <c r="O28" s="329"/>
      <c r="P28" s="371">
        <f t="shared" si="0"/>
        <v>20</v>
      </c>
    </row>
    <row r="29" spans="1:16" ht="15.75" thickBot="1" x14ac:dyDescent="0.3">
      <c r="A29" s="313">
        <v>10248</v>
      </c>
      <c r="B29" s="314" t="s">
        <v>183</v>
      </c>
      <c r="D29" s="315"/>
      <c r="F29" s="329"/>
      <c r="G29" s="329"/>
      <c r="H29" s="329">
        <v>3</v>
      </c>
      <c r="I29" s="329"/>
      <c r="J29" s="329"/>
      <c r="K29" s="329"/>
      <c r="L29" s="329"/>
      <c r="M29" s="329"/>
      <c r="N29" s="329">
        <v>3</v>
      </c>
      <c r="O29" s="329"/>
      <c r="P29" s="371">
        <f t="shared" si="0"/>
        <v>6</v>
      </c>
    </row>
    <row r="30" spans="1:16" ht="15.75" thickBot="1" x14ac:dyDescent="0.3">
      <c r="A30" s="313">
        <v>1000090</v>
      </c>
      <c r="B30" s="314" t="s">
        <v>40</v>
      </c>
      <c r="D30" s="315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6">
        <f t="shared" si="0"/>
        <v>0</v>
      </c>
    </row>
    <row r="31" spans="1:16" ht="15.75" thickBot="1" x14ac:dyDescent="0.3">
      <c r="A31" s="313">
        <v>1000052</v>
      </c>
      <c r="B31" s="314" t="s">
        <v>41</v>
      </c>
      <c r="D31" s="315"/>
      <c r="F31" s="329"/>
      <c r="G31" s="329"/>
      <c r="H31" s="329">
        <v>1</v>
      </c>
      <c r="I31" s="329"/>
      <c r="J31" s="329"/>
      <c r="K31" s="329"/>
      <c r="L31" s="329"/>
      <c r="M31" s="329"/>
      <c r="N31" s="329">
        <v>1</v>
      </c>
      <c r="O31" s="329"/>
      <c r="P31" s="371">
        <f t="shared" si="0"/>
        <v>2</v>
      </c>
    </row>
    <row r="32" spans="1:16" ht="15.75" thickBot="1" x14ac:dyDescent="0.3">
      <c r="A32" s="313">
        <v>1000089</v>
      </c>
      <c r="B32" s="314" t="s">
        <v>42</v>
      </c>
      <c r="D32" s="315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6">
        <f t="shared" si="0"/>
        <v>0</v>
      </c>
    </row>
    <row r="33" spans="1:16" ht="15.75" thickBot="1" x14ac:dyDescent="0.3">
      <c r="A33" s="313">
        <v>1000051</v>
      </c>
      <c r="B33" s="314" t="s">
        <v>43</v>
      </c>
      <c r="D33" s="315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6">
        <f t="shared" si="0"/>
        <v>0</v>
      </c>
    </row>
    <row r="34" spans="1:16" ht="15.75" thickBot="1" x14ac:dyDescent="0.3">
      <c r="A34" s="313">
        <v>1000048</v>
      </c>
      <c r="B34" s="314" t="s">
        <v>45</v>
      </c>
      <c r="D34" s="315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6">
        <f t="shared" si="0"/>
        <v>0</v>
      </c>
    </row>
    <row r="35" spans="1:16" ht="15.75" thickBot="1" x14ac:dyDescent="0.3">
      <c r="A35" s="313">
        <v>1000076</v>
      </c>
      <c r="B35" s="314" t="s">
        <v>46</v>
      </c>
      <c r="D35" s="315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6">
        <f t="shared" si="0"/>
        <v>0</v>
      </c>
    </row>
    <row r="36" spans="1:16" ht="15.75" thickBot="1" x14ac:dyDescent="0.3">
      <c r="A36" s="313">
        <v>1000080</v>
      </c>
      <c r="B36" s="314" t="s">
        <v>275</v>
      </c>
      <c r="D36" s="315"/>
      <c r="F36" s="329"/>
      <c r="G36" s="329"/>
      <c r="H36" s="329">
        <v>24</v>
      </c>
      <c r="I36" s="329"/>
      <c r="J36" s="329"/>
      <c r="K36" s="329"/>
      <c r="L36" s="329"/>
      <c r="M36" s="329"/>
      <c r="N36" s="329">
        <v>24</v>
      </c>
      <c r="O36" s="329"/>
      <c r="P36" s="371">
        <f t="shared" si="0"/>
        <v>48</v>
      </c>
    </row>
    <row r="37" spans="1:16" ht="15.75" thickBot="1" x14ac:dyDescent="0.3">
      <c r="A37" s="313">
        <v>1000436</v>
      </c>
      <c r="B37" s="314" t="s">
        <v>276</v>
      </c>
      <c r="D37" s="315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6">
        <f t="shared" si="0"/>
        <v>0</v>
      </c>
    </row>
    <row r="38" spans="1:16" ht="15.75" thickBot="1" x14ac:dyDescent="0.3">
      <c r="A38" s="313">
        <v>1000550</v>
      </c>
      <c r="B38" s="314" t="s">
        <v>277</v>
      </c>
      <c r="D38" s="315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6">
        <f t="shared" si="0"/>
        <v>0</v>
      </c>
    </row>
    <row r="39" spans="1:16" ht="15.75" thickBot="1" x14ac:dyDescent="0.3">
      <c r="A39" s="313">
        <v>1000551</v>
      </c>
      <c r="B39" s="314" t="s">
        <v>278</v>
      </c>
      <c r="D39" s="315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6">
        <f t="shared" si="0"/>
        <v>0</v>
      </c>
    </row>
    <row r="40" spans="1:16" ht="15.75" thickBot="1" x14ac:dyDescent="0.3">
      <c r="A40" s="31">
        <v>1000084</v>
      </c>
      <c r="B40" s="314" t="s">
        <v>38</v>
      </c>
      <c r="D40" s="322"/>
      <c r="F40" s="329"/>
      <c r="G40" s="329"/>
      <c r="H40" s="329">
        <v>4</v>
      </c>
      <c r="I40" s="329"/>
      <c r="J40" s="329"/>
      <c r="K40" s="329"/>
      <c r="L40" s="329"/>
      <c r="M40" s="329"/>
      <c r="N40" s="329">
        <v>4</v>
      </c>
      <c r="O40" s="329"/>
      <c r="P40" s="371">
        <f t="shared" si="0"/>
        <v>8</v>
      </c>
    </row>
    <row r="41" spans="1:16" ht="15.75" thickBot="1" x14ac:dyDescent="0.3">
      <c r="A41" s="318">
        <v>1000552</v>
      </c>
      <c r="B41" s="319" t="s">
        <v>279</v>
      </c>
      <c r="C41" s="320"/>
      <c r="D41" s="321"/>
      <c r="E41" s="320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6">
        <f t="shared" si="0"/>
        <v>0</v>
      </c>
    </row>
    <row r="42" spans="1:16" ht="15.75" thickBot="1" x14ac:dyDescent="0.3">
      <c r="A42" s="318">
        <v>1000075</v>
      </c>
      <c r="B42" s="319" t="s">
        <v>47</v>
      </c>
      <c r="D42" s="321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6">
        <f t="shared" si="0"/>
        <v>0</v>
      </c>
    </row>
  </sheetData>
  <mergeCells count="4">
    <mergeCell ref="A3:B3"/>
    <mergeCell ref="A1:B2"/>
    <mergeCell ref="F1:J2"/>
    <mergeCell ref="D1:D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E872-62E4-4DDE-9845-90792A8B1AF6}">
  <sheetPr>
    <tabColor rgb="FFFF0000"/>
    <pageSetUpPr fitToPage="1"/>
  </sheetPr>
  <dimension ref="A1:W50"/>
  <sheetViews>
    <sheetView topLeftCell="A19" zoomScale="60" zoomScaleNormal="60" workbookViewId="0">
      <selection activeCell="P27" sqref="P27:P29"/>
    </sheetView>
  </sheetViews>
  <sheetFormatPr baseColWidth="10" defaultColWidth="10.875" defaultRowHeight="26.25" x14ac:dyDescent="0.4"/>
  <cols>
    <col min="1" max="1" width="15.625" style="337" bestFit="1" customWidth="1"/>
    <col min="2" max="2" width="55.375" style="337" bestFit="1" customWidth="1"/>
    <col min="3" max="3" width="1.375" style="337" customWidth="1"/>
    <col min="4" max="4" width="13.5" style="337" bestFit="1" customWidth="1"/>
    <col min="5" max="5" width="2.125" style="337" customWidth="1"/>
    <col min="6" max="6" width="10.125" style="354" bestFit="1" customWidth="1"/>
    <col min="7" max="7" width="6.875" style="354" bestFit="1" customWidth="1"/>
    <col min="8" max="8" width="10.125" style="354" bestFit="1" customWidth="1"/>
    <col min="9" max="9" width="6.875" style="354" bestFit="1" customWidth="1"/>
    <col min="10" max="10" width="10.125" style="354" bestFit="1" customWidth="1"/>
    <col min="11" max="11" width="6.875" style="354" bestFit="1" customWidth="1"/>
    <col min="12" max="12" width="10.125" style="354" bestFit="1" customWidth="1"/>
    <col min="13" max="13" width="6.875" style="354" bestFit="1" customWidth="1"/>
    <col min="14" max="14" width="10.125" style="354" customWidth="1"/>
    <col min="15" max="15" width="6.875" style="354" bestFit="1" customWidth="1"/>
    <col min="16" max="16" width="8.5" style="354" bestFit="1" customWidth="1"/>
    <col min="17" max="16384" width="10.875" style="337"/>
  </cols>
  <sheetData>
    <row r="1" spans="1:16" ht="15" customHeight="1" x14ac:dyDescent="0.4">
      <c r="A1" s="705" t="s">
        <v>289</v>
      </c>
      <c r="B1" s="706"/>
      <c r="C1" s="336"/>
      <c r="D1" s="697" t="s">
        <v>305</v>
      </c>
      <c r="F1" s="709" t="s">
        <v>474</v>
      </c>
      <c r="G1" s="710"/>
      <c r="H1" s="710"/>
      <c r="I1" s="710"/>
      <c r="J1" s="711"/>
      <c r="K1" s="336"/>
      <c r="L1" s="357"/>
      <c r="M1" s="357"/>
    </row>
    <row r="2" spans="1:16" ht="16.5" customHeight="1" thickBot="1" x14ac:dyDescent="0.45">
      <c r="A2" s="707"/>
      <c r="B2" s="708"/>
      <c r="C2" s="336"/>
      <c r="D2" s="697"/>
      <c r="F2" s="712"/>
      <c r="G2" s="713"/>
      <c r="H2" s="713"/>
      <c r="I2" s="713"/>
      <c r="J2" s="714"/>
      <c r="K2" s="336"/>
      <c r="L2" s="357"/>
      <c r="M2" s="357"/>
    </row>
    <row r="3" spans="1:16" ht="32.25" thickBot="1" x14ac:dyDescent="0.45">
      <c r="A3" s="715" t="s">
        <v>290</v>
      </c>
      <c r="B3" s="715"/>
      <c r="C3" s="336"/>
      <c r="D3" s="336"/>
    </row>
    <row r="4" spans="1:16" ht="27" thickBot="1" x14ac:dyDescent="0.45">
      <c r="A4" s="340"/>
      <c r="B4" s="340"/>
      <c r="C4" s="336"/>
      <c r="D4" s="336"/>
    </row>
    <row r="5" spans="1:16" ht="27" thickBot="1" x14ac:dyDescent="0.45">
      <c r="A5" s="341" t="s">
        <v>0</v>
      </c>
      <c r="B5" s="341" t="s">
        <v>105</v>
      </c>
      <c r="C5" s="336"/>
      <c r="D5" s="342" t="s">
        <v>106</v>
      </c>
      <c r="F5" s="358" t="s">
        <v>283</v>
      </c>
      <c r="G5" s="359" t="s">
        <v>288</v>
      </c>
      <c r="H5" s="358" t="s">
        <v>284</v>
      </c>
      <c r="I5" s="359" t="s">
        <v>288</v>
      </c>
      <c r="J5" s="358" t="s">
        <v>285</v>
      </c>
      <c r="K5" s="359" t="s">
        <v>288</v>
      </c>
      <c r="L5" s="358" t="s">
        <v>286</v>
      </c>
      <c r="M5" s="359" t="s">
        <v>288</v>
      </c>
      <c r="N5" s="358" t="s">
        <v>287</v>
      </c>
      <c r="O5" s="359" t="s">
        <v>288</v>
      </c>
      <c r="P5" s="355" t="s">
        <v>98</v>
      </c>
    </row>
    <row r="6" spans="1:16" ht="27" thickBot="1" x14ac:dyDescent="0.45">
      <c r="A6" s="343">
        <v>10000015</v>
      </c>
      <c r="B6" s="344" t="s">
        <v>1</v>
      </c>
      <c r="C6" s="345"/>
      <c r="D6" s="346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56">
        <f t="shared" ref="P6:P50" si="0">SUM(F6:O6)</f>
        <v>0</v>
      </c>
    </row>
    <row r="7" spans="1:16" ht="27" thickBot="1" x14ac:dyDescent="0.45">
      <c r="A7" s="347">
        <v>10000102</v>
      </c>
      <c r="B7" s="348" t="s">
        <v>2</v>
      </c>
      <c r="C7" s="345"/>
      <c r="D7" s="349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56">
        <f t="shared" si="0"/>
        <v>0</v>
      </c>
    </row>
    <row r="8" spans="1:16" ht="27" thickBot="1" x14ac:dyDescent="0.45">
      <c r="A8" s="347">
        <v>1000006</v>
      </c>
      <c r="B8" s="348" t="s">
        <v>4</v>
      </c>
      <c r="C8" s="345"/>
      <c r="D8" s="349"/>
      <c r="F8" s="360"/>
      <c r="G8" s="360"/>
      <c r="H8" s="360">
        <v>50</v>
      </c>
      <c r="I8" s="360"/>
      <c r="J8" s="360"/>
      <c r="K8" s="360"/>
      <c r="L8" s="360"/>
      <c r="M8" s="360"/>
      <c r="N8" s="360">
        <v>50</v>
      </c>
      <c r="O8" s="360"/>
      <c r="P8" s="548">
        <f t="shared" si="0"/>
        <v>100</v>
      </c>
    </row>
    <row r="9" spans="1:16" ht="27" thickBot="1" x14ac:dyDescent="0.45">
      <c r="A9" s="347">
        <v>1000007</v>
      </c>
      <c r="B9" s="348" t="s">
        <v>5</v>
      </c>
      <c r="C9" s="345"/>
      <c r="D9" s="349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56">
        <f t="shared" si="0"/>
        <v>0</v>
      </c>
    </row>
    <row r="10" spans="1:16" ht="27" thickBot="1" x14ac:dyDescent="0.45">
      <c r="A10" s="347">
        <v>1000001</v>
      </c>
      <c r="B10" s="348" t="s">
        <v>8</v>
      </c>
      <c r="C10" s="345"/>
      <c r="D10" s="349"/>
      <c r="F10" s="360"/>
      <c r="G10" s="360"/>
      <c r="H10" s="360">
        <v>2</v>
      </c>
      <c r="I10" s="360"/>
      <c r="J10" s="360"/>
      <c r="K10" s="360"/>
      <c r="L10" s="360"/>
      <c r="M10" s="360"/>
      <c r="N10" s="360">
        <v>2</v>
      </c>
      <c r="O10" s="360"/>
      <c r="P10" s="548">
        <f t="shared" si="0"/>
        <v>4</v>
      </c>
    </row>
    <row r="11" spans="1:16" ht="27" thickBot="1" x14ac:dyDescent="0.45">
      <c r="A11" s="347">
        <v>1000002</v>
      </c>
      <c r="B11" s="348" t="s">
        <v>9</v>
      </c>
      <c r="C11" s="345"/>
      <c r="D11" s="349"/>
      <c r="F11" s="360"/>
      <c r="G11" s="360"/>
      <c r="H11" s="360"/>
      <c r="I11" s="360"/>
      <c r="J11" s="360"/>
      <c r="K11" s="360"/>
      <c r="L11" s="360"/>
      <c r="M11" s="360"/>
      <c r="N11" s="360">
        <v>1</v>
      </c>
      <c r="O11" s="360"/>
      <c r="P11" s="548">
        <f t="shared" si="0"/>
        <v>1</v>
      </c>
    </row>
    <row r="12" spans="1:16" ht="27" thickBot="1" x14ac:dyDescent="0.45">
      <c r="A12" s="347">
        <v>1000054</v>
      </c>
      <c r="B12" s="348" t="s">
        <v>12</v>
      </c>
      <c r="C12" s="345"/>
      <c r="D12" s="349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56">
        <f t="shared" si="0"/>
        <v>0</v>
      </c>
    </row>
    <row r="13" spans="1:16" ht="27" thickBot="1" x14ac:dyDescent="0.45">
      <c r="A13" s="347">
        <v>1000472</v>
      </c>
      <c r="B13" s="348" t="s">
        <v>222</v>
      </c>
      <c r="C13" s="345"/>
      <c r="D13" s="349"/>
      <c r="F13" s="360"/>
      <c r="G13" s="360"/>
      <c r="H13" s="360">
        <v>1</v>
      </c>
      <c r="I13" s="360"/>
      <c r="J13" s="360"/>
      <c r="K13" s="360"/>
      <c r="L13" s="360"/>
      <c r="M13" s="360"/>
      <c r="N13" s="360">
        <v>1</v>
      </c>
      <c r="O13" s="360"/>
      <c r="P13" s="548">
        <f t="shared" si="0"/>
        <v>2</v>
      </c>
    </row>
    <row r="14" spans="1:16" ht="27" thickBot="1" x14ac:dyDescent="0.45">
      <c r="A14" s="347">
        <v>1000017</v>
      </c>
      <c r="B14" s="348" t="s">
        <v>14</v>
      </c>
      <c r="C14" s="345"/>
      <c r="D14" s="349"/>
      <c r="F14" s="360"/>
      <c r="G14" s="360"/>
      <c r="H14" s="360"/>
      <c r="I14" s="360"/>
      <c r="J14" s="360"/>
      <c r="K14" s="360"/>
      <c r="L14" s="360"/>
      <c r="M14" s="360"/>
      <c r="N14" s="360"/>
      <c r="O14" s="360"/>
      <c r="P14" s="356">
        <f t="shared" si="0"/>
        <v>0</v>
      </c>
    </row>
    <row r="15" spans="1:16" ht="27" thickBot="1" x14ac:dyDescent="0.45">
      <c r="A15" s="347">
        <v>1000016</v>
      </c>
      <c r="B15" s="348" t="s">
        <v>15</v>
      </c>
      <c r="C15" s="345"/>
      <c r="D15" s="349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56">
        <f t="shared" si="0"/>
        <v>0</v>
      </c>
    </row>
    <row r="16" spans="1:16" ht="27" thickBot="1" x14ac:dyDescent="0.45">
      <c r="A16" s="347">
        <v>1000041</v>
      </c>
      <c r="B16" s="348" t="s">
        <v>16</v>
      </c>
      <c r="C16" s="345"/>
      <c r="D16" s="349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56">
        <f t="shared" si="0"/>
        <v>0</v>
      </c>
    </row>
    <row r="17" spans="1:18" ht="27" thickBot="1" x14ac:dyDescent="0.45">
      <c r="A17" s="347">
        <v>1000049</v>
      </c>
      <c r="B17" s="348" t="s">
        <v>21</v>
      </c>
      <c r="C17" s="345"/>
      <c r="D17" s="349"/>
      <c r="F17" s="360"/>
      <c r="G17" s="360"/>
      <c r="H17" s="360"/>
      <c r="I17" s="360"/>
      <c r="J17" s="360"/>
      <c r="K17" s="360"/>
      <c r="L17" s="360"/>
      <c r="M17" s="360"/>
      <c r="N17" s="360">
        <v>1</v>
      </c>
      <c r="O17" s="360"/>
      <c r="P17" s="548">
        <f t="shared" si="0"/>
        <v>1</v>
      </c>
    </row>
    <row r="18" spans="1:18" ht="27" thickBot="1" x14ac:dyDescent="0.45">
      <c r="A18" s="347">
        <v>1000050</v>
      </c>
      <c r="B18" s="348" t="s">
        <v>22</v>
      </c>
      <c r="C18" s="345"/>
      <c r="D18" s="349"/>
      <c r="F18" s="360"/>
      <c r="G18" s="360"/>
      <c r="H18" s="360">
        <v>1</v>
      </c>
      <c r="I18" s="360"/>
      <c r="J18" s="360"/>
      <c r="K18" s="360"/>
      <c r="L18" s="360"/>
      <c r="M18" s="360"/>
      <c r="N18" s="360">
        <v>1</v>
      </c>
      <c r="O18" s="360"/>
      <c r="P18" s="548">
        <f t="shared" si="0"/>
        <v>2</v>
      </c>
    </row>
    <row r="19" spans="1:18" ht="27" thickBot="1" x14ac:dyDescent="0.45">
      <c r="A19" s="347">
        <v>1000031</v>
      </c>
      <c r="B19" s="348" t="s">
        <v>25</v>
      </c>
      <c r="C19" s="345"/>
      <c r="D19" s="349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56">
        <f t="shared" si="0"/>
        <v>0</v>
      </c>
    </row>
    <row r="20" spans="1:18" ht="27" thickBot="1" x14ac:dyDescent="0.45">
      <c r="A20" s="347">
        <v>1000026</v>
      </c>
      <c r="B20" s="348" t="s">
        <v>31</v>
      </c>
      <c r="C20" s="345"/>
      <c r="D20" s="349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56">
        <f t="shared" si="0"/>
        <v>0</v>
      </c>
    </row>
    <row r="21" spans="1:18" ht="27" thickBot="1" x14ac:dyDescent="0.45">
      <c r="A21" s="347">
        <v>1000025</v>
      </c>
      <c r="B21" s="348" t="s">
        <v>32</v>
      </c>
      <c r="C21" s="345"/>
      <c r="D21" s="349"/>
      <c r="F21" s="360"/>
      <c r="G21" s="360"/>
      <c r="H21" s="360"/>
      <c r="I21" s="360"/>
      <c r="J21" s="360"/>
      <c r="K21" s="360"/>
      <c r="L21" s="360"/>
      <c r="M21" s="360"/>
      <c r="N21" s="360"/>
      <c r="O21" s="360"/>
      <c r="P21" s="356">
        <f t="shared" si="0"/>
        <v>0</v>
      </c>
    </row>
    <row r="22" spans="1:18" ht="27" thickBot="1" x14ac:dyDescent="0.45">
      <c r="A22" s="347">
        <v>1000100</v>
      </c>
      <c r="B22" s="348" t="s">
        <v>34</v>
      </c>
      <c r="C22" s="345"/>
      <c r="D22" s="349"/>
      <c r="F22" s="360"/>
      <c r="G22" s="360"/>
      <c r="H22" s="360"/>
      <c r="I22" s="360"/>
      <c r="J22" s="360"/>
      <c r="K22" s="360"/>
      <c r="L22" s="360"/>
      <c r="M22" s="360"/>
      <c r="N22" s="360"/>
      <c r="O22" s="360"/>
      <c r="P22" s="356">
        <f t="shared" si="0"/>
        <v>0</v>
      </c>
    </row>
    <row r="23" spans="1:18" ht="27" thickBot="1" x14ac:dyDescent="0.45">
      <c r="A23" s="347">
        <v>1000073</v>
      </c>
      <c r="B23" s="348" t="s">
        <v>36</v>
      </c>
      <c r="C23" s="345"/>
      <c r="D23" s="349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56">
        <f t="shared" si="0"/>
        <v>0</v>
      </c>
    </row>
    <row r="24" spans="1:18" ht="27" thickBot="1" x14ac:dyDescent="0.45">
      <c r="A24" s="347">
        <v>10248</v>
      </c>
      <c r="B24" s="348" t="s">
        <v>183</v>
      </c>
      <c r="C24" s="345"/>
      <c r="D24" s="349"/>
      <c r="F24" s="360"/>
      <c r="G24" s="360"/>
      <c r="H24" s="360">
        <v>6</v>
      </c>
      <c r="I24" s="360"/>
      <c r="J24" s="360"/>
      <c r="K24" s="360"/>
      <c r="L24" s="360"/>
      <c r="M24" s="360"/>
      <c r="N24" s="360"/>
      <c r="O24" s="360"/>
      <c r="P24" s="548">
        <f t="shared" si="0"/>
        <v>6</v>
      </c>
      <c r="Q24" s="544"/>
    </row>
    <row r="25" spans="1:18" ht="27" thickBot="1" x14ac:dyDescent="0.45">
      <c r="A25" s="347">
        <v>1000052</v>
      </c>
      <c r="B25" s="348" t="s">
        <v>41</v>
      </c>
      <c r="C25" s="345"/>
      <c r="D25" s="349"/>
      <c r="F25" s="360"/>
      <c r="G25" s="360"/>
      <c r="H25" s="360">
        <v>1</v>
      </c>
      <c r="I25" s="360"/>
      <c r="J25" s="360"/>
      <c r="K25" s="360"/>
      <c r="L25" s="360"/>
      <c r="M25" s="360"/>
      <c r="N25" s="360">
        <v>6</v>
      </c>
      <c r="O25" s="360"/>
      <c r="P25" s="548">
        <f t="shared" si="0"/>
        <v>7</v>
      </c>
      <c r="Q25" s="544"/>
    </row>
    <row r="26" spans="1:18" ht="27" thickBot="1" x14ac:dyDescent="0.45">
      <c r="A26" s="347">
        <v>1000089</v>
      </c>
      <c r="B26" s="348" t="s">
        <v>42</v>
      </c>
      <c r="C26" s="345"/>
      <c r="D26" s="349"/>
      <c r="F26" s="360"/>
      <c r="G26" s="360"/>
      <c r="H26" s="360">
        <v>1</v>
      </c>
      <c r="I26" s="360"/>
      <c r="J26" s="360"/>
      <c r="K26" s="360"/>
      <c r="L26" s="360"/>
      <c r="M26" s="360"/>
      <c r="N26" s="360">
        <v>1</v>
      </c>
      <c r="O26" s="360"/>
      <c r="P26" s="548">
        <f t="shared" si="0"/>
        <v>2</v>
      </c>
      <c r="Q26" s="547"/>
      <c r="R26" s="545"/>
    </row>
    <row r="27" spans="1:18" ht="27" thickBot="1" x14ac:dyDescent="0.45">
      <c r="A27" s="347">
        <v>1000051</v>
      </c>
      <c r="B27" s="348" t="s">
        <v>43</v>
      </c>
      <c r="C27" s="345"/>
      <c r="D27" s="349"/>
      <c r="F27" s="360"/>
      <c r="G27" s="360"/>
      <c r="H27" s="360">
        <v>1</v>
      </c>
      <c r="I27" s="360"/>
      <c r="J27" s="360"/>
      <c r="K27" s="360"/>
      <c r="L27" s="360"/>
      <c r="M27" s="360"/>
      <c r="N27" s="360"/>
      <c r="O27" s="360"/>
      <c r="P27" s="548">
        <f t="shared" si="0"/>
        <v>1</v>
      </c>
      <c r="Q27" s="546"/>
    </row>
    <row r="28" spans="1:18" ht="27" thickBot="1" x14ac:dyDescent="0.45">
      <c r="A28" s="347">
        <v>1000048</v>
      </c>
      <c r="B28" s="348" t="s">
        <v>45</v>
      </c>
      <c r="C28" s="345"/>
      <c r="D28" s="349"/>
      <c r="F28" s="360"/>
      <c r="G28" s="360"/>
      <c r="H28" s="360"/>
      <c r="I28" s="360"/>
      <c r="J28" s="360"/>
      <c r="K28" s="360"/>
      <c r="L28" s="360"/>
      <c r="M28" s="360"/>
      <c r="N28" s="360">
        <v>1</v>
      </c>
      <c r="O28" s="360"/>
      <c r="P28" s="548">
        <f t="shared" si="0"/>
        <v>1</v>
      </c>
    </row>
    <row r="29" spans="1:18" ht="27" thickBot="1" x14ac:dyDescent="0.45">
      <c r="A29" s="347">
        <v>1000076</v>
      </c>
      <c r="B29" s="348" t="s">
        <v>46</v>
      </c>
      <c r="C29" s="345"/>
      <c r="D29" s="349"/>
      <c r="F29" s="360"/>
      <c r="G29" s="360"/>
      <c r="H29" s="360"/>
      <c r="I29" s="360"/>
      <c r="J29" s="360"/>
      <c r="K29" s="360"/>
      <c r="L29" s="360"/>
      <c r="M29" s="360"/>
      <c r="N29" s="360">
        <v>1</v>
      </c>
      <c r="O29" s="360"/>
      <c r="P29" s="548">
        <f t="shared" si="0"/>
        <v>1</v>
      </c>
    </row>
    <row r="30" spans="1:18" ht="27" thickBot="1" x14ac:dyDescent="0.45">
      <c r="A30" s="347">
        <v>1000142</v>
      </c>
      <c r="B30" s="348" t="s">
        <v>54</v>
      </c>
      <c r="C30" s="345"/>
      <c r="D30" s="349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56">
        <f t="shared" si="0"/>
        <v>0</v>
      </c>
    </row>
    <row r="31" spans="1:18" ht="27" thickBot="1" x14ac:dyDescent="0.45">
      <c r="A31" s="347">
        <v>1000008</v>
      </c>
      <c r="B31" s="348" t="s">
        <v>7</v>
      </c>
      <c r="C31" s="345"/>
      <c r="D31" s="349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56">
        <f t="shared" si="0"/>
        <v>0</v>
      </c>
    </row>
    <row r="32" spans="1:18" ht="27" thickBot="1" x14ac:dyDescent="0.45">
      <c r="A32" s="347">
        <v>1000082</v>
      </c>
      <c r="B32" s="348" t="s">
        <v>37</v>
      </c>
      <c r="C32" s="345"/>
      <c r="D32" s="349"/>
      <c r="F32" s="360"/>
      <c r="G32" s="360"/>
      <c r="H32" s="360">
        <v>8</v>
      </c>
      <c r="I32" s="360"/>
      <c r="J32" s="360"/>
      <c r="K32" s="360"/>
      <c r="L32" s="360"/>
      <c r="M32" s="360"/>
      <c r="N32" s="360">
        <v>8</v>
      </c>
      <c r="O32" s="360"/>
      <c r="P32" s="548">
        <f t="shared" si="0"/>
        <v>16</v>
      </c>
    </row>
    <row r="33" spans="1:23" ht="27" thickBot="1" x14ac:dyDescent="0.45">
      <c r="A33" s="347">
        <v>1000084</v>
      </c>
      <c r="B33" s="348" t="s">
        <v>38</v>
      </c>
      <c r="C33" s="345"/>
      <c r="D33" s="349"/>
      <c r="F33" s="360"/>
      <c r="G33" s="360"/>
      <c r="H33" s="360">
        <v>4</v>
      </c>
      <c r="I33" s="360"/>
      <c r="J33" s="360"/>
      <c r="K33" s="360"/>
      <c r="L33" s="360"/>
      <c r="M33" s="360"/>
      <c r="N33" s="360">
        <v>4</v>
      </c>
      <c r="O33" s="360"/>
      <c r="P33" s="548">
        <f t="shared" si="0"/>
        <v>8</v>
      </c>
      <c r="W33" s="545"/>
    </row>
    <row r="34" spans="1:23" s="338" customFormat="1" ht="27" thickBot="1" x14ac:dyDescent="0.45">
      <c r="A34" s="347">
        <v>1000036</v>
      </c>
      <c r="B34" s="348" t="s">
        <v>75</v>
      </c>
      <c r="C34" s="345"/>
      <c r="D34" s="349"/>
      <c r="E34" s="337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56">
        <f t="shared" si="0"/>
        <v>0</v>
      </c>
    </row>
    <row r="35" spans="1:23" ht="27" thickBot="1" x14ac:dyDescent="0.45">
      <c r="A35" s="347">
        <v>1000033</v>
      </c>
      <c r="B35" s="348" t="s">
        <v>27</v>
      </c>
      <c r="C35" s="345"/>
      <c r="D35" s="349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56">
        <f t="shared" si="0"/>
        <v>0</v>
      </c>
    </row>
    <row r="36" spans="1:23" ht="27" thickBot="1" x14ac:dyDescent="0.45">
      <c r="A36" s="347">
        <v>1000446</v>
      </c>
      <c r="B36" s="348" t="s">
        <v>201</v>
      </c>
      <c r="C36" s="345"/>
      <c r="D36" s="349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56">
        <f t="shared" si="0"/>
        <v>0</v>
      </c>
    </row>
    <row r="37" spans="1:23" ht="27" thickBot="1" x14ac:dyDescent="0.45">
      <c r="A37" s="347">
        <v>1000067</v>
      </c>
      <c r="B37" s="348" t="s">
        <v>11</v>
      </c>
      <c r="C37" s="345"/>
      <c r="D37" s="349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56">
        <f t="shared" si="0"/>
        <v>0</v>
      </c>
    </row>
    <row r="38" spans="1:23" ht="27" thickBot="1" x14ac:dyDescent="0.45">
      <c r="A38" s="347">
        <v>1000147</v>
      </c>
      <c r="B38" s="348" t="s">
        <v>52</v>
      </c>
      <c r="C38" s="345"/>
      <c r="D38" s="349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56">
        <f t="shared" si="0"/>
        <v>0</v>
      </c>
    </row>
    <row r="39" spans="1:23" ht="27" thickBot="1" x14ac:dyDescent="0.45">
      <c r="A39" s="347">
        <v>1000004</v>
      </c>
      <c r="B39" s="348" t="s">
        <v>10</v>
      </c>
      <c r="C39" s="345"/>
      <c r="D39" s="349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56">
        <f t="shared" si="0"/>
        <v>0</v>
      </c>
    </row>
    <row r="40" spans="1:23" ht="27" thickBot="1" x14ac:dyDescent="0.45">
      <c r="A40" s="347">
        <v>1000027</v>
      </c>
      <c r="B40" s="348" t="s">
        <v>33</v>
      </c>
      <c r="C40" s="345"/>
      <c r="D40" s="349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56">
        <f t="shared" si="0"/>
        <v>0</v>
      </c>
    </row>
    <row r="41" spans="1:23" ht="27" thickBot="1" x14ac:dyDescent="0.45">
      <c r="A41" s="347">
        <v>1000034</v>
      </c>
      <c r="B41" s="348" t="s">
        <v>28</v>
      </c>
      <c r="C41" s="345"/>
      <c r="D41" s="349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56">
        <f t="shared" si="0"/>
        <v>0</v>
      </c>
    </row>
    <row r="42" spans="1:23" ht="27" thickBot="1" x14ac:dyDescent="0.45">
      <c r="A42" s="347">
        <v>1000045</v>
      </c>
      <c r="B42" s="348" t="s">
        <v>23</v>
      </c>
      <c r="C42" s="345"/>
      <c r="D42" s="349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56">
        <f t="shared" si="0"/>
        <v>0</v>
      </c>
    </row>
    <row r="43" spans="1:23" ht="27" thickBot="1" x14ac:dyDescent="0.45">
      <c r="A43" s="347">
        <v>1000075</v>
      </c>
      <c r="B43" s="348" t="s">
        <v>47</v>
      </c>
      <c r="C43" s="345"/>
      <c r="D43" s="349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56">
        <f t="shared" si="0"/>
        <v>0</v>
      </c>
    </row>
    <row r="44" spans="1:23" ht="27" thickBot="1" x14ac:dyDescent="0.45">
      <c r="A44" s="347">
        <v>1000070</v>
      </c>
      <c r="B44" s="348" t="s">
        <v>13</v>
      </c>
      <c r="C44" s="345"/>
      <c r="D44" s="349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56">
        <f t="shared" si="0"/>
        <v>0</v>
      </c>
    </row>
    <row r="45" spans="1:23" ht="27" thickBot="1" x14ac:dyDescent="0.45">
      <c r="A45" s="347">
        <v>1000486</v>
      </c>
      <c r="B45" s="348" t="s">
        <v>263</v>
      </c>
      <c r="C45" s="345"/>
      <c r="D45" s="349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56">
        <f t="shared" si="0"/>
        <v>0</v>
      </c>
    </row>
    <row r="46" spans="1:23" ht="27" thickBot="1" x14ac:dyDescent="0.45">
      <c r="A46" s="347">
        <v>1000080</v>
      </c>
      <c r="B46" s="348" t="s">
        <v>275</v>
      </c>
      <c r="C46" s="345"/>
      <c r="D46" s="349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56">
        <f t="shared" si="0"/>
        <v>0</v>
      </c>
    </row>
    <row r="47" spans="1:23" ht="27" thickBot="1" x14ac:dyDescent="0.45">
      <c r="A47" s="347">
        <v>1000436</v>
      </c>
      <c r="B47" s="348" t="s">
        <v>276</v>
      </c>
      <c r="C47" s="345"/>
      <c r="D47" s="349"/>
      <c r="F47" s="360"/>
      <c r="G47" s="360"/>
      <c r="H47" s="360">
        <v>10</v>
      </c>
      <c r="I47" s="360"/>
      <c r="J47" s="360"/>
      <c r="K47" s="360"/>
      <c r="L47" s="360"/>
      <c r="M47" s="360"/>
      <c r="N47" s="360"/>
      <c r="O47" s="360"/>
      <c r="P47" s="548">
        <f t="shared" si="0"/>
        <v>10</v>
      </c>
    </row>
    <row r="48" spans="1:23" ht="27" thickBot="1" x14ac:dyDescent="0.45">
      <c r="A48" s="347">
        <v>1000550</v>
      </c>
      <c r="B48" s="348" t="s">
        <v>277</v>
      </c>
      <c r="C48" s="345"/>
      <c r="D48" s="349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56">
        <f t="shared" si="0"/>
        <v>0</v>
      </c>
    </row>
    <row r="49" spans="1:16" ht="27" thickBot="1" x14ac:dyDescent="0.45">
      <c r="A49" s="347">
        <v>1000551</v>
      </c>
      <c r="B49" s="348" t="s">
        <v>278</v>
      </c>
      <c r="C49" s="345"/>
      <c r="D49" s="349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56">
        <f t="shared" si="0"/>
        <v>0</v>
      </c>
    </row>
    <row r="50" spans="1:16" ht="27" thickBot="1" x14ac:dyDescent="0.45">
      <c r="A50" s="350">
        <v>1000552</v>
      </c>
      <c r="B50" s="351" t="s">
        <v>279</v>
      </c>
      <c r="C50" s="339"/>
      <c r="D50" s="352"/>
      <c r="E50" s="353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56">
        <f t="shared" si="0"/>
        <v>0</v>
      </c>
    </row>
  </sheetData>
  <mergeCells count="4">
    <mergeCell ref="A1:B2"/>
    <mergeCell ref="F1:J2"/>
    <mergeCell ref="A3:B3"/>
    <mergeCell ref="D1:D2"/>
  </mergeCells>
  <pageMargins left="0.7" right="0.7" top="0.75" bottom="0.75" header="0.3" footer="0.3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B194-10E2-4626-9CFA-97E23471DDB8}">
  <sheetPr>
    <tabColor rgb="FFFF0000"/>
    <pageSetUpPr fitToPage="1"/>
  </sheetPr>
  <dimension ref="A1:P49"/>
  <sheetViews>
    <sheetView topLeftCell="A20" zoomScale="90" zoomScaleNormal="90" workbookViewId="0">
      <selection activeCell="P43" sqref="P43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125" style="27" customWidth="1"/>
    <col min="4" max="4" width="8.125" style="27" bestFit="1" customWidth="1"/>
    <col min="5" max="5" width="1.125" style="27" customWidth="1"/>
    <col min="6" max="6" width="6" style="388" bestFit="1" customWidth="1"/>
    <col min="7" max="7" width="4.125" style="388" bestFit="1" customWidth="1"/>
    <col min="8" max="8" width="6" style="388" bestFit="1" customWidth="1"/>
    <col min="9" max="9" width="4.125" style="388" bestFit="1" customWidth="1"/>
    <col min="10" max="10" width="6" style="388" bestFit="1" customWidth="1"/>
    <col min="11" max="11" width="4.125" style="388" bestFit="1" customWidth="1"/>
    <col min="12" max="12" width="6" style="388" bestFit="1" customWidth="1"/>
    <col min="13" max="13" width="4.125" style="388" bestFit="1" customWidth="1"/>
    <col min="14" max="14" width="6" style="388" bestFit="1" customWidth="1"/>
    <col min="15" max="15" width="4.125" style="388" bestFit="1" customWidth="1"/>
    <col min="16" max="16" width="5.25" style="388" bestFit="1" customWidth="1"/>
    <col min="17" max="17" width="5.375" style="27" customWidth="1"/>
    <col min="18" max="16384" width="10.875" style="27"/>
  </cols>
  <sheetData>
    <row r="1" spans="1:16" ht="15" customHeight="1" x14ac:dyDescent="0.25">
      <c r="A1" s="716" t="s">
        <v>464</v>
      </c>
      <c r="B1" s="717"/>
      <c r="C1" s="18"/>
      <c r="D1" s="697" t="s">
        <v>305</v>
      </c>
      <c r="F1" s="699" t="s">
        <v>474</v>
      </c>
      <c r="G1" s="700"/>
      <c r="H1" s="700"/>
      <c r="I1" s="700"/>
      <c r="J1" s="701"/>
      <c r="K1" s="18"/>
    </row>
    <row r="2" spans="1:16" s="3" customFormat="1" ht="16.5" customHeight="1" thickBot="1" x14ac:dyDescent="0.3">
      <c r="A2" s="718"/>
      <c r="B2" s="719"/>
      <c r="C2" s="18"/>
      <c r="D2" s="697"/>
      <c r="F2" s="702"/>
      <c r="G2" s="703"/>
      <c r="H2" s="703"/>
      <c r="I2" s="703"/>
      <c r="J2" s="704"/>
      <c r="K2" s="18"/>
      <c r="L2" s="325"/>
      <c r="M2" s="325"/>
      <c r="N2" s="325"/>
      <c r="O2" s="325"/>
      <c r="P2" s="325"/>
    </row>
    <row r="3" spans="1:16" s="3" customFormat="1" ht="29.25" thickBot="1" x14ac:dyDescent="0.3">
      <c r="A3" s="720" t="s">
        <v>306</v>
      </c>
      <c r="B3" s="720"/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17.25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27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6" ht="15.75" thickBot="1" x14ac:dyDescent="0.3">
      <c r="A6" s="30">
        <v>10211</v>
      </c>
      <c r="B6" s="11" t="s">
        <v>3</v>
      </c>
      <c r="C6" s="41"/>
      <c r="D6" s="42">
        <v>25</v>
      </c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90">
        <f t="shared" ref="P6:P49" si="0">SUM(F6:O6)</f>
        <v>0</v>
      </c>
    </row>
    <row r="7" spans="1:16" ht="15.75" thickBot="1" x14ac:dyDescent="0.3">
      <c r="A7" s="35">
        <v>1000006</v>
      </c>
      <c r="B7" s="12" t="s">
        <v>4</v>
      </c>
      <c r="C7" s="41"/>
      <c r="D7" s="43">
        <v>140</v>
      </c>
      <c r="F7" s="389"/>
      <c r="G7" s="389"/>
      <c r="H7" s="389"/>
      <c r="I7" s="389"/>
      <c r="J7" s="389"/>
      <c r="K7" s="389"/>
      <c r="L7" s="389"/>
      <c r="M7" s="389"/>
      <c r="N7" s="389">
        <v>50</v>
      </c>
      <c r="O7" s="389"/>
      <c r="P7" s="601">
        <f t="shared" si="0"/>
        <v>50</v>
      </c>
    </row>
    <row r="8" spans="1:16" ht="15.75" thickBot="1" x14ac:dyDescent="0.3">
      <c r="A8" s="31">
        <v>1000007</v>
      </c>
      <c r="B8" s="12" t="s">
        <v>5</v>
      </c>
      <c r="D8" s="32">
        <v>140</v>
      </c>
      <c r="F8" s="389"/>
      <c r="G8" s="389"/>
      <c r="H8" s="389"/>
      <c r="I8" s="389"/>
      <c r="J8" s="389"/>
      <c r="K8" s="389"/>
      <c r="L8" s="389"/>
      <c r="M8" s="389"/>
      <c r="N8" s="389">
        <v>50</v>
      </c>
      <c r="O8" s="389"/>
      <c r="P8" s="601">
        <f t="shared" si="0"/>
        <v>50</v>
      </c>
    </row>
    <row r="9" spans="1:16" ht="15.75" thickBot="1" x14ac:dyDescent="0.3">
      <c r="A9" s="31">
        <v>1000008</v>
      </c>
      <c r="B9" s="12" t="s">
        <v>7</v>
      </c>
      <c r="D9" s="32">
        <v>10</v>
      </c>
      <c r="F9" s="389"/>
      <c r="G9" s="389"/>
      <c r="H9" s="389"/>
      <c r="I9" s="389"/>
      <c r="J9" s="389"/>
      <c r="K9" s="389"/>
      <c r="L9" s="389"/>
      <c r="M9" s="389"/>
      <c r="N9" s="389"/>
      <c r="O9" s="389"/>
      <c r="P9" s="390">
        <f t="shared" si="0"/>
        <v>0</v>
      </c>
    </row>
    <row r="10" spans="1:16" ht="15.75" thickBot="1" x14ac:dyDescent="0.3">
      <c r="A10" s="31">
        <v>1000001</v>
      </c>
      <c r="B10" s="12" t="s">
        <v>8</v>
      </c>
      <c r="D10" s="32">
        <v>5</v>
      </c>
      <c r="F10" s="389"/>
      <c r="G10" s="389"/>
      <c r="H10" s="389"/>
      <c r="I10" s="389"/>
      <c r="J10" s="389"/>
      <c r="K10" s="389"/>
      <c r="L10" s="389"/>
      <c r="M10" s="389"/>
      <c r="N10" s="389">
        <v>2</v>
      </c>
      <c r="O10" s="389"/>
      <c r="P10" s="623">
        <f t="shared" si="0"/>
        <v>2</v>
      </c>
    </row>
    <row r="11" spans="1:16" ht="15.75" thickBot="1" x14ac:dyDescent="0.3">
      <c r="A11" s="31">
        <v>1000002</v>
      </c>
      <c r="B11" s="12" t="s">
        <v>9</v>
      </c>
      <c r="D11" s="32">
        <v>1</v>
      </c>
      <c r="F11" s="389"/>
      <c r="G11" s="389"/>
      <c r="H11" s="389">
        <v>1</v>
      </c>
      <c r="I11" s="389"/>
      <c r="J11" s="389"/>
      <c r="K11" s="389"/>
      <c r="L11" s="389"/>
      <c r="M11" s="389"/>
      <c r="N11" s="389">
        <v>1</v>
      </c>
      <c r="O11" s="389"/>
      <c r="P11" s="623">
        <f t="shared" si="0"/>
        <v>2</v>
      </c>
    </row>
    <row r="12" spans="1:16" ht="15.75" thickBot="1" x14ac:dyDescent="0.3">
      <c r="A12" s="31">
        <v>1000004</v>
      </c>
      <c r="B12" s="12" t="s">
        <v>10</v>
      </c>
      <c r="D12" s="32">
        <v>2</v>
      </c>
      <c r="F12" s="389"/>
      <c r="G12" s="389"/>
      <c r="H12" s="389">
        <v>2</v>
      </c>
      <c r="I12" s="389"/>
      <c r="J12" s="389"/>
      <c r="K12" s="389"/>
      <c r="L12" s="389"/>
      <c r="M12" s="389"/>
      <c r="N12" s="389">
        <v>2</v>
      </c>
      <c r="O12" s="389"/>
      <c r="P12" s="623">
        <f t="shared" si="0"/>
        <v>4</v>
      </c>
    </row>
    <row r="13" spans="1:16" ht="15.75" thickBot="1" x14ac:dyDescent="0.3">
      <c r="A13" s="31">
        <v>1000067</v>
      </c>
      <c r="B13" s="12" t="s">
        <v>11</v>
      </c>
      <c r="D13" s="32">
        <v>0</v>
      </c>
      <c r="F13" s="389"/>
      <c r="G13" s="389"/>
      <c r="H13" s="389"/>
      <c r="I13" s="389"/>
      <c r="J13" s="389"/>
      <c r="K13" s="389"/>
      <c r="L13" s="389"/>
      <c r="M13" s="389"/>
      <c r="N13" s="389"/>
      <c r="O13" s="389"/>
      <c r="P13" s="390">
        <f t="shared" si="0"/>
        <v>0</v>
      </c>
    </row>
    <row r="14" spans="1:16" ht="15.75" thickBot="1" x14ac:dyDescent="0.3">
      <c r="A14" s="31">
        <v>1000054</v>
      </c>
      <c r="B14" s="12" t="s">
        <v>12</v>
      </c>
      <c r="D14" s="32">
        <v>20</v>
      </c>
      <c r="F14" s="389"/>
      <c r="G14" s="389"/>
      <c r="H14" s="389"/>
      <c r="I14" s="389"/>
      <c r="J14" s="389"/>
      <c r="K14" s="389"/>
      <c r="L14" s="389"/>
      <c r="M14" s="389"/>
      <c r="N14" s="389"/>
      <c r="O14" s="389"/>
      <c r="P14" s="390">
        <f t="shared" si="0"/>
        <v>0</v>
      </c>
    </row>
    <row r="15" spans="1:16" ht="15.75" thickBot="1" x14ac:dyDescent="0.3">
      <c r="A15" s="31">
        <v>1000070</v>
      </c>
      <c r="B15" s="12" t="s">
        <v>13</v>
      </c>
      <c r="D15" s="32">
        <v>0</v>
      </c>
      <c r="F15" s="389"/>
      <c r="G15" s="389"/>
      <c r="H15" s="389">
        <v>1</v>
      </c>
      <c r="I15" s="389"/>
      <c r="J15" s="389"/>
      <c r="K15" s="389"/>
      <c r="L15" s="389"/>
      <c r="M15" s="389"/>
      <c r="N15" s="389">
        <v>1</v>
      </c>
      <c r="O15" s="389"/>
      <c r="P15" s="601">
        <f t="shared" si="0"/>
        <v>2</v>
      </c>
    </row>
    <row r="16" spans="1:16" ht="15.75" thickBot="1" x14ac:dyDescent="0.3">
      <c r="A16" s="31">
        <v>1000017</v>
      </c>
      <c r="B16" s="12" t="s">
        <v>14</v>
      </c>
      <c r="D16" s="32">
        <v>30</v>
      </c>
      <c r="F16" s="389"/>
      <c r="G16" s="389"/>
      <c r="H16" s="389">
        <v>10</v>
      </c>
      <c r="I16" s="389"/>
      <c r="J16" s="389"/>
      <c r="K16" s="389"/>
      <c r="L16" s="389"/>
      <c r="M16" s="389"/>
      <c r="N16" s="389">
        <v>10</v>
      </c>
      <c r="O16" s="389"/>
      <c r="P16" s="601">
        <f t="shared" si="0"/>
        <v>20</v>
      </c>
    </row>
    <row r="17" spans="1:16" ht="15.75" thickBot="1" x14ac:dyDescent="0.3">
      <c r="A17" s="31">
        <v>1000016</v>
      </c>
      <c r="B17" s="12" t="s">
        <v>15</v>
      </c>
      <c r="D17" s="32">
        <v>1</v>
      </c>
      <c r="F17" s="389"/>
      <c r="G17" s="389"/>
      <c r="H17" s="389"/>
      <c r="I17" s="389"/>
      <c r="J17" s="389"/>
      <c r="K17" s="389"/>
      <c r="L17" s="389"/>
      <c r="M17" s="389"/>
      <c r="N17" s="389">
        <v>5</v>
      </c>
      <c r="O17" s="389"/>
      <c r="P17" s="601">
        <f t="shared" si="0"/>
        <v>5</v>
      </c>
    </row>
    <row r="18" spans="1:16" ht="15.75" thickBot="1" x14ac:dyDescent="0.3">
      <c r="A18" s="31">
        <v>1000009</v>
      </c>
      <c r="B18" s="12" t="s">
        <v>19</v>
      </c>
      <c r="D18" s="32">
        <v>1</v>
      </c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90">
        <f t="shared" si="0"/>
        <v>0</v>
      </c>
    </row>
    <row r="19" spans="1:16" ht="15.75" thickBot="1" x14ac:dyDescent="0.3">
      <c r="A19" s="31">
        <v>1000049</v>
      </c>
      <c r="B19" s="12" t="s">
        <v>21</v>
      </c>
      <c r="D19" s="32">
        <v>1</v>
      </c>
      <c r="F19" s="389"/>
      <c r="G19" s="389"/>
      <c r="H19" s="389"/>
      <c r="I19" s="389"/>
      <c r="J19" s="389"/>
      <c r="K19" s="389"/>
      <c r="L19" s="389"/>
      <c r="M19" s="389"/>
      <c r="N19" s="389">
        <v>1</v>
      </c>
      <c r="O19" s="389"/>
      <c r="P19" s="601">
        <f t="shared" si="0"/>
        <v>1</v>
      </c>
    </row>
    <row r="20" spans="1:16" ht="15.75" thickBot="1" x14ac:dyDescent="0.3">
      <c r="A20" s="31">
        <v>1000050</v>
      </c>
      <c r="B20" s="12" t="s">
        <v>22</v>
      </c>
      <c r="D20" s="32">
        <v>1</v>
      </c>
      <c r="F20" s="389"/>
      <c r="G20" s="389"/>
      <c r="H20" s="389"/>
      <c r="I20" s="389"/>
      <c r="J20" s="389"/>
      <c r="K20" s="389"/>
      <c r="L20" s="389"/>
      <c r="M20" s="389"/>
      <c r="N20" s="389">
        <v>2</v>
      </c>
      <c r="O20" s="389"/>
      <c r="P20" s="601">
        <f t="shared" si="0"/>
        <v>2</v>
      </c>
    </row>
    <row r="21" spans="1:16" ht="15.75" thickBot="1" x14ac:dyDescent="0.3">
      <c r="A21" s="31">
        <v>1000101</v>
      </c>
      <c r="B21" s="12" t="s">
        <v>35</v>
      </c>
      <c r="D21" s="32">
        <v>0</v>
      </c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90">
        <f t="shared" si="0"/>
        <v>0</v>
      </c>
    </row>
    <row r="22" spans="1:16" ht="15.75" thickBot="1" x14ac:dyDescent="0.3">
      <c r="A22" s="31">
        <v>1000146</v>
      </c>
      <c r="B22" s="12" t="s">
        <v>39</v>
      </c>
      <c r="D22" s="32">
        <v>5</v>
      </c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90">
        <f t="shared" si="0"/>
        <v>0</v>
      </c>
    </row>
    <row r="23" spans="1:16" ht="15.75" thickBot="1" x14ac:dyDescent="0.3">
      <c r="A23" s="31">
        <v>10248</v>
      </c>
      <c r="B23" s="12" t="s">
        <v>183</v>
      </c>
      <c r="D23" s="32">
        <v>0</v>
      </c>
      <c r="F23" s="389"/>
      <c r="G23" s="389"/>
      <c r="H23" s="389"/>
      <c r="I23" s="389"/>
      <c r="J23" s="389"/>
      <c r="K23" s="389"/>
      <c r="L23" s="389"/>
      <c r="M23" s="389"/>
      <c r="N23" s="389">
        <v>12</v>
      </c>
      <c r="O23" s="389"/>
      <c r="P23" s="601">
        <f t="shared" si="0"/>
        <v>12</v>
      </c>
    </row>
    <row r="24" spans="1:16" ht="15.75" thickBot="1" x14ac:dyDescent="0.3">
      <c r="A24" s="31">
        <v>1000052</v>
      </c>
      <c r="B24" s="12" t="s">
        <v>41</v>
      </c>
      <c r="D24" s="32">
        <v>2</v>
      </c>
      <c r="F24" s="389"/>
      <c r="G24" s="389"/>
      <c r="H24" s="389"/>
      <c r="I24" s="389"/>
      <c r="J24" s="389"/>
      <c r="K24" s="389"/>
      <c r="L24" s="389"/>
      <c r="M24" s="389"/>
      <c r="N24" s="389">
        <v>2</v>
      </c>
      <c r="O24" s="389"/>
      <c r="P24" s="601">
        <f t="shared" si="0"/>
        <v>2</v>
      </c>
    </row>
    <row r="25" spans="1:16" ht="15.75" thickBot="1" x14ac:dyDescent="0.3">
      <c r="A25" s="31">
        <v>1000089</v>
      </c>
      <c r="B25" s="12" t="s">
        <v>42</v>
      </c>
      <c r="D25" s="32">
        <v>2</v>
      </c>
      <c r="F25" s="389"/>
      <c r="G25" s="389"/>
      <c r="H25" s="389"/>
      <c r="I25" s="389"/>
      <c r="J25" s="389"/>
      <c r="K25" s="389"/>
      <c r="L25" s="389"/>
      <c r="M25" s="389"/>
      <c r="N25" s="389">
        <v>2</v>
      </c>
      <c r="O25" s="389"/>
      <c r="P25" s="601">
        <f t="shared" si="0"/>
        <v>2</v>
      </c>
    </row>
    <row r="26" spans="1:16" ht="15.75" thickBot="1" x14ac:dyDescent="0.3">
      <c r="A26" s="31">
        <v>1000051</v>
      </c>
      <c r="B26" s="12" t="s">
        <v>43</v>
      </c>
      <c r="D26" s="32">
        <v>1</v>
      </c>
      <c r="F26" s="389"/>
      <c r="G26" s="389"/>
      <c r="H26" s="389"/>
      <c r="I26" s="389"/>
      <c r="J26" s="389"/>
      <c r="K26" s="389"/>
      <c r="L26" s="389"/>
      <c r="M26" s="389"/>
      <c r="N26" s="389">
        <v>2</v>
      </c>
      <c r="O26" s="389"/>
      <c r="P26" s="601">
        <f t="shared" si="0"/>
        <v>2</v>
      </c>
    </row>
    <row r="27" spans="1:16" ht="15.75" thickBot="1" x14ac:dyDescent="0.3">
      <c r="A27" s="31">
        <v>1000048</v>
      </c>
      <c r="B27" s="12" t="s">
        <v>45</v>
      </c>
      <c r="D27" s="32">
        <v>0</v>
      </c>
      <c r="F27" s="389"/>
      <c r="G27" s="389"/>
      <c r="H27" s="389">
        <v>1</v>
      </c>
      <c r="I27" s="389"/>
      <c r="J27" s="389"/>
      <c r="K27" s="389"/>
      <c r="L27" s="389"/>
      <c r="M27" s="389"/>
      <c r="N27" s="389"/>
      <c r="O27" s="389"/>
      <c r="P27" s="601">
        <f t="shared" si="0"/>
        <v>1</v>
      </c>
    </row>
    <row r="28" spans="1:16" ht="15.75" thickBot="1" x14ac:dyDescent="0.3">
      <c r="A28" s="31">
        <v>1000075</v>
      </c>
      <c r="B28" s="12" t="s">
        <v>47</v>
      </c>
      <c r="D28" s="32">
        <v>0</v>
      </c>
      <c r="F28" s="389"/>
      <c r="G28" s="389"/>
      <c r="H28" s="389">
        <v>1</v>
      </c>
      <c r="I28" s="389"/>
      <c r="J28" s="389"/>
      <c r="K28" s="389"/>
      <c r="L28" s="389"/>
      <c r="M28" s="389"/>
      <c r="N28" s="389"/>
      <c r="O28" s="389"/>
      <c r="P28" s="601">
        <f t="shared" si="0"/>
        <v>1</v>
      </c>
    </row>
    <row r="29" spans="1:16" ht="15.75" thickBot="1" x14ac:dyDescent="0.3">
      <c r="A29" s="31">
        <v>1000154</v>
      </c>
      <c r="B29" s="12" t="s">
        <v>85</v>
      </c>
      <c r="D29" s="32">
        <v>0</v>
      </c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90">
        <f t="shared" si="0"/>
        <v>0</v>
      </c>
    </row>
    <row r="30" spans="1:16" ht="15.75" thickBot="1" x14ac:dyDescent="0.3">
      <c r="A30" s="31">
        <v>1000031</v>
      </c>
      <c r="B30" s="12" t="s">
        <v>25</v>
      </c>
      <c r="D30" s="32">
        <v>2</v>
      </c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90">
        <f t="shared" si="0"/>
        <v>0</v>
      </c>
    </row>
    <row r="31" spans="1:16" ht="15.75" thickBot="1" x14ac:dyDescent="0.3">
      <c r="A31" s="31">
        <v>1000011</v>
      </c>
      <c r="B31" s="12" t="s">
        <v>18</v>
      </c>
      <c r="D31" s="32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90">
        <f t="shared" si="0"/>
        <v>0</v>
      </c>
    </row>
    <row r="32" spans="1:16" s="15" customFormat="1" ht="15.95" customHeight="1" thickBot="1" x14ac:dyDescent="0.3">
      <c r="A32" s="31">
        <v>1000082</v>
      </c>
      <c r="B32" s="12" t="s">
        <v>37</v>
      </c>
      <c r="C32" s="27"/>
      <c r="D32" s="32"/>
      <c r="E32" s="27"/>
      <c r="F32" s="389"/>
      <c r="G32" s="389"/>
      <c r="H32" s="389">
        <v>8</v>
      </c>
      <c r="I32" s="389"/>
      <c r="J32" s="389"/>
      <c r="K32" s="389"/>
      <c r="L32" s="389"/>
      <c r="M32" s="389"/>
      <c r="N32" s="389">
        <v>8</v>
      </c>
      <c r="O32" s="389"/>
      <c r="P32" s="601">
        <f t="shared" si="0"/>
        <v>16</v>
      </c>
    </row>
    <row r="33" spans="1:16" ht="15.75" thickBot="1" x14ac:dyDescent="0.3">
      <c r="A33" s="31">
        <v>1000084</v>
      </c>
      <c r="B33" s="12" t="s">
        <v>38</v>
      </c>
      <c r="D33" s="32"/>
      <c r="F33" s="389"/>
      <c r="G33" s="389"/>
      <c r="H33" s="389">
        <v>4</v>
      </c>
      <c r="I33" s="389"/>
      <c r="J33" s="389"/>
      <c r="K33" s="389"/>
      <c r="L33" s="389"/>
      <c r="M33" s="389"/>
      <c r="N33" s="389"/>
      <c r="O33" s="389"/>
      <c r="P33" s="601">
        <f t="shared" si="0"/>
        <v>4</v>
      </c>
    </row>
    <row r="34" spans="1:16" ht="15.75" thickBot="1" x14ac:dyDescent="0.3">
      <c r="A34" s="31">
        <v>10000102</v>
      </c>
      <c r="B34" s="12" t="s">
        <v>2</v>
      </c>
      <c r="D34" s="32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90">
        <f t="shared" si="0"/>
        <v>0</v>
      </c>
    </row>
    <row r="35" spans="1:16" ht="15.75" thickBot="1" x14ac:dyDescent="0.3">
      <c r="A35" s="31">
        <v>1000033</v>
      </c>
      <c r="B35" s="12" t="s">
        <v>27</v>
      </c>
      <c r="D35" s="32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90">
        <f t="shared" si="0"/>
        <v>0</v>
      </c>
    </row>
    <row r="36" spans="1:16" ht="15.75" thickBot="1" x14ac:dyDescent="0.3">
      <c r="A36" s="31">
        <v>1000383</v>
      </c>
      <c r="B36" s="12" t="s">
        <v>234</v>
      </c>
      <c r="D36" s="32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90">
        <f t="shared" si="0"/>
        <v>0</v>
      </c>
    </row>
    <row r="37" spans="1:16" ht="15.75" thickBot="1" x14ac:dyDescent="0.3">
      <c r="A37" s="31">
        <v>1000090</v>
      </c>
      <c r="B37" s="12" t="s">
        <v>40</v>
      </c>
      <c r="D37" s="32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90">
        <f t="shared" si="0"/>
        <v>0</v>
      </c>
    </row>
    <row r="38" spans="1:16" ht="15.75" thickBot="1" x14ac:dyDescent="0.3">
      <c r="A38" s="31">
        <v>1000070</v>
      </c>
      <c r="B38" s="12" t="s">
        <v>13</v>
      </c>
      <c r="D38" s="32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90">
        <f t="shared" si="0"/>
        <v>0</v>
      </c>
    </row>
    <row r="39" spans="1:16" ht="15.75" thickBot="1" x14ac:dyDescent="0.3">
      <c r="A39" s="31">
        <v>1000025</v>
      </c>
      <c r="B39" s="12" t="s">
        <v>32</v>
      </c>
      <c r="D39" s="32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90">
        <f t="shared" si="0"/>
        <v>0</v>
      </c>
    </row>
    <row r="40" spans="1:16" ht="15.75" thickBot="1" x14ac:dyDescent="0.3">
      <c r="A40" s="31">
        <v>1000214</v>
      </c>
      <c r="B40" s="12" t="s">
        <v>49</v>
      </c>
      <c r="D40" s="32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90">
        <f t="shared" si="0"/>
        <v>0</v>
      </c>
    </row>
    <row r="41" spans="1:16" ht="15.75" thickBot="1" x14ac:dyDescent="0.3">
      <c r="A41" s="31">
        <v>1000045</v>
      </c>
      <c r="B41" s="12" t="s">
        <v>23</v>
      </c>
      <c r="D41" s="32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90">
        <f t="shared" si="0"/>
        <v>0</v>
      </c>
    </row>
    <row r="42" spans="1:16" ht="15.75" thickBot="1" x14ac:dyDescent="0.3">
      <c r="A42" s="31">
        <v>1000154</v>
      </c>
      <c r="B42" s="12" t="s">
        <v>85</v>
      </c>
      <c r="D42" s="32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90">
        <f t="shared" si="0"/>
        <v>0</v>
      </c>
    </row>
    <row r="43" spans="1:16" ht="15.75" thickBot="1" x14ac:dyDescent="0.3">
      <c r="A43" s="31">
        <v>1000073</v>
      </c>
      <c r="B43" s="12" t="s">
        <v>36</v>
      </c>
      <c r="D43" s="32"/>
      <c r="F43" s="389"/>
      <c r="G43" s="389"/>
      <c r="H43" s="389">
        <v>1</v>
      </c>
      <c r="I43" s="389"/>
      <c r="J43" s="389"/>
      <c r="K43" s="389"/>
      <c r="L43" s="389"/>
      <c r="M43" s="389"/>
      <c r="N43" s="389"/>
      <c r="O43" s="389"/>
      <c r="P43" s="601">
        <f t="shared" si="0"/>
        <v>1</v>
      </c>
    </row>
    <row r="44" spans="1:16" ht="15.75" thickBot="1" x14ac:dyDescent="0.3">
      <c r="A44" s="31">
        <v>1000011</v>
      </c>
      <c r="B44" s="12" t="s">
        <v>18</v>
      </c>
      <c r="D44" s="32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90">
        <f t="shared" si="0"/>
        <v>0</v>
      </c>
    </row>
    <row r="45" spans="1:16" ht="15.75" thickBot="1" x14ac:dyDescent="0.3">
      <c r="A45" s="31">
        <v>1000080</v>
      </c>
      <c r="B45" s="12" t="s">
        <v>275</v>
      </c>
      <c r="D45" s="32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90">
        <f t="shared" si="0"/>
        <v>0</v>
      </c>
    </row>
    <row r="46" spans="1:16" ht="15.75" thickBot="1" x14ac:dyDescent="0.3">
      <c r="A46" s="31">
        <v>1000436</v>
      </c>
      <c r="B46" s="12" t="s">
        <v>276</v>
      </c>
      <c r="D46" s="32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90">
        <f t="shared" si="0"/>
        <v>0</v>
      </c>
    </row>
    <row r="47" spans="1:16" ht="15.75" thickBot="1" x14ac:dyDescent="0.3">
      <c r="A47" s="31">
        <v>1000550</v>
      </c>
      <c r="B47" s="12" t="s">
        <v>277</v>
      </c>
      <c r="D47" s="32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90">
        <f t="shared" si="0"/>
        <v>0</v>
      </c>
    </row>
    <row r="48" spans="1:16" ht="15.75" thickBot="1" x14ac:dyDescent="0.3">
      <c r="A48" s="31">
        <v>1000551</v>
      </c>
      <c r="B48" s="12" t="s">
        <v>278</v>
      </c>
      <c r="D48" s="32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90">
        <f t="shared" si="0"/>
        <v>0</v>
      </c>
    </row>
    <row r="49" spans="1:16" ht="15.75" thickBot="1" x14ac:dyDescent="0.3">
      <c r="A49" s="243">
        <v>1000552</v>
      </c>
      <c r="B49" s="251" t="s">
        <v>279</v>
      </c>
      <c r="C49" s="215"/>
      <c r="D49" s="38"/>
      <c r="E49" s="215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90">
        <f t="shared" si="0"/>
        <v>0</v>
      </c>
    </row>
  </sheetData>
  <mergeCells count="4">
    <mergeCell ref="A1:B2"/>
    <mergeCell ref="F1:J2"/>
    <mergeCell ref="A3:B3"/>
    <mergeCell ref="D1:D2"/>
  </mergeCells>
  <pageMargins left="0.7" right="0.7" top="0.75" bottom="0.75" header="0.3" footer="0.3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C40-C014-41B7-BFD1-90804DE3CE36}">
  <sheetPr>
    <tabColor rgb="FFFF0000"/>
    <pageSetUpPr fitToPage="1"/>
  </sheetPr>
  <dimension ref="A1:S41"/>
  <sheetViews>
    <sheetView topLeftCell="A5" workbookViewId="0">
      <selection activeCell="R29" sqref="R29"/>
    </sheetView>
  </sheetViews>
  <sheetFormatPr baseColWidth="10" defaultColWidth="10.875" defaultRowHeight="15" x14ac:dyDescent="0.25"/>
  <cols>
    <col min="1" max="1" width="10.375" style="308" customWidth="1"/>
    <col min="2" max="2" width="27.875" style="308" bestFit="1" customWidth="1"/>
    <col min="3" max="3" width="1.875" style="308" customWidth="1"/>
    <col min="4" max="4" width="8.125" style="308" bestFit="1" customWidth="1"/>
    <col min="5" max="5" width="1.25" style="308" customWidth="1"/>
    <col min="6" max="6" width="7.375" style="324" customWidth="1"/>
    <col min="7" max="7" width="4.125" style="324" bestFit="1" customWidth="1"/>
    <col min="8" max="8" width="6.875" style="324" customWidth="1"/>
    <col min="9" max="9" width="4.125" style="324" bestFit="1" customWidth="1"/>
    <col min="10" max="10" width="8.875" style="324" customWidth="1"/>
    <col min="11" max="11" width="4.125" style="324" bestFit="1" customWidth="1"/>
    <col min="12" max="12" width="7.875" style="324" customWidth="1"/>
    <col min="13" max="13" width="4.125" style="324" bestFit="1" customWidth="1"/>
    <col min="14" max="14" width="7.125" style="324" customWidth="1"/>
    <col min="15" max="15" width="4.125" style="324" bestFit="1" customWidth="1"/>
    <col min="16" max="16" width="5.25" style="324" bestFit="1" customWidth="1"/>
    <col min="17" max="16384" width="10.875" style="308"/>
  </cols>
  <sheetData>
    <row r="1" spans="1:19" ht="15" customHeight="1" thickBot="1" x14ac:dyDescent="0.3">
      <c r="A1" s="686" t="s">
        <v>244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  <c r="L1" s="383"/>
      <c r="M1" s="383"/>
    </row>
    <row r="2" spans="1:19" s="3" customFormat="1" ht="16.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L2" s="383"/>
      <c r="M2" s="383"/>
      <c r="N2" s="325"/>
      <c r="O2" s="325"/>
      <c r="P2" s="325"/>
      <c r="R2" s="721" t="s">
        <v>170</v>
      </c>
      <c r="S2" s="723" t="s">
        <v>301</v>
      </c>
    </row>
    <row r="3" spans="1:19" s="3" customFormat="1" ht="29.25" thickBot="1" x14ac:dyDescent="0.3">
      <c r="A3" s="698" t="s">
        <v>304</v>
      </c>
      <c r="B3" s="698"/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R3" s="722"/>
      <c r="S3" s="724"/>
    </row>
    <row r="4" spans="1:19" s="3" customFormat="1" ht="3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9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308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9" ht="15.75" thickBot="1" x14ac:dyDescent="0.3">
      <c r="A6" s="312">
        <v>1000006</v>
      </c>
      <c r="B6" s="310" t="s">
        <v>4</v>
      </c>
      <c r="C6" s="323"/>
      <c r="D6" s="332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>
        <f>SUM(F6:N6)</f>
        <v>0</v>
      </c>
    </row>
    <row r="7" spans="1:19" ht="15.75" thickBot="1" x14ac:dyDescent="0.3">
      <c r="A7" s="316">
        <v>1000007</v>
      </c>
      <c r="B7" s="314" t="s">
        <v>5</v>
      </c>
      <c r="C7" s="323"/>
      <c r="D7" s="333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>
        <f>SUM(F7:N7)</f>
        <v>0</v>
      </c>
    </row>
    <row r="8" spans="1:19" ht="15.75" thickBot="1" x14ac:dyDescent="0.3">
      <c r="A8" s="316">
        <v>1000001</v>
      </c>
      <c r="B8" s="314" t="s">
        <v>8</v>
      </c>
      <c r="C8" s="323"/>
      <c r="D8" s="333"/>
      <c r="F8" s="329">
        <v>2</v>
      </c>
      <c r="G8" s="329"/>
      <c r="H8" s="329"/>
      <c r="I8" s="329"/>
      <c r="J8" s="329"/>
      <c r="K8" s="329"/>
      <c r="L8" s="329"/>
      <c r="M8" s="329"/>
      <c r="N8" s="329"/>
      <c r="O8" s="329"/>
      <c r="P8" s="624">
        <f t="shared" ref="P8:P10" si="0">SUM(F8:N8)</f>
        <v>2</v>
      </c>
    </row>
    <row r="9" spans="1:19" ht="15.75" thickBot="1" x14ac:dyDescent="0.3">
      <c r="A9" s="316">
        <v>1000002</v>
      </c>
      <c r="B9" s="314" t="s">
        <v>9</v>
      </c>
      <c r="C9" s="323"/>
      <c r="D9" s="333"/>
      <c r="F9" s="329"/>
      <c r="G9" s="329"/>
      <c r="H9" s="329"/>
      <c r="I9" s="329"/>
      <c r="J9" s="329"/>
      <c r="K9" s="329"/>
      <c r="L9" s="329"/>
      <c r="M9" s="329"/>
      <c r="N9" s="329">
        <v>1</v>
      </c>
      <c r="O9" s="329"/>
      <c r="P9" s="624">
        <f t="shared" si="0"/>
        <v>1</v>
      </c>
    </row>
    <row r="10" spans="1:19" ht="15.75" thickBot="1" x14ac:dyDescent="0.3">
      <c r="A10" s="316">
        <v>1000004</v>
      </c>
      <c r="B10" s="314" t="s">
        <v>10</v>
      </c>
      <c r="C10" s="323"/>
      <c r="D10" s="333"/>
      <c r="F10" s="329">
        <v>2</v>
      </c>
      <c r="G10" s="329"/>
      <c r="H10" s="329"/>
      <c r="I10" s="329"/>
      <c r="J10" s="329"/>
      <c r="K10" s="329"/>
      <c r="L10" s="329"/>
      <c r="M10" s="329"/>
      <c r="N10" s="329"/>
      <c r="O10" s="329"/>
      <c r="P10" s="624">
        <f t="shared" si="0"/>
        <v>2</v>
      </c>
    </row>
    <row r="11" spans="1:19" ht="15.75" thickBot="1" x14ac:dyDescent="0.3">
      <c r="A11" s="316">
        <v>1000067</v>
      </c>
      <c r="B11" s="314" t="s">
        <v>11</v>
      </c>
      <c r="C11" s="323"/>
      <c r="D11" s="333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>
        <f t="shared" ref="P11:P41" si="1">SUM(F11:N11)</f>
        <v>0</v>
      </c>
    </row>
    <row r="12" spans="1:19" ht="15.75" thickBot="1" x14ac:dyDescent="0.3">
      <c r="A12" s="316">
        <v>1000054</v>
      </c>
      <c r="B12" s="314" t="s">
        <v>12</v>
      </c>
      <c r="C12" s="323"/>
      <c r="D12" s="333"/>
      <c r="F12" s="329"/>
      <c r="G12" s="329"/>
      <c r="H12" s="329"/>
      <c r="I12" s="329"/>
      <c r="J12" s="329"/>
      <c r="K12" s="329"/>
      <c r="L12" s="329"/>
      <c r="M12" s="329"/>
      <c r="N12" s="329">
        <v>10</v>
      </c>
      <c r="O12" s="329"/>
      <c r="P12" s="624">
        <f t="shared" si="1"/>
        <v>10</v>
      </c>
    </row>
    <row r="13" spans="1:19" ht="15.75" thickBot="1" x14ac:dyDescent="0.3">
      <c r="A13" s="316">
        <v>1000070</v>
      </c>
      <c r="B13" s="314" t="s">
        <v>13</v>
      </c>
      <c r="C13" s="323"/>
      <c r="D13" s="333"/>
      <c r="F13" s="329">
        <v>1</v>
      </c>
      <c r="G13" s="329"/>
      <c r="H13" s="329"/>
      <c r="I13" s="329"/>
      <c r="J13" s="329"/>
      <c r="K13" s="329"/>
      <c r="L13" s="329"/>
      <c r="M13" s="329"/>
      <c r="N13" s="329"/>
      <c r="O13" s="329"/>
      <c r="P13" s="624">
        <f t="shared" si="1"/>
        <v>1</v>
      </c>
    </row>
    <row r="14" spans="1:19" ht="15.75" thickBot="1" x14ac:dyDescent="0.3">
      <c r="A14" s="316">
        <v>1000017</v>
      </c>
      <c r="B14" s="314" t="s">
        <v>14</v>
      </c>
      <c r="C14" s="323"/>
      <c r="D14" s="333"/>
      <c r="F14" s="329">
        <v>5</v>
      </c>
      <c r="G14" s="329"/>
      <c r="H14" s="329"/>
      <c r="I14" s="329"/>
      <c r="J14" s="329"/>
      <c r="K14" s="329"/>
      <c r="L14" s="329"/>
      <c r="M14" s="329"/>
      <c r="N14" s="329">
        <v>10</v>
      </c>
      <c r="O14" s="329"/>
      <c r="P14" s="624">
        <f t="shared" si="1"/>
        <v>15</v>
      </c>
    </row>
    <row r="15" spans="1:19" ht="15.75" thickBot="1" x14ac:dyDescent="0.3">
      <c r="A15" s="316">
        <v>1000016</v>
      </c>
      <c r="B15" s="314" t="s">
        <v>15</v>
      </c>
      <c r="C15" s="323"/>
      <c r="D15" s="333"/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9">
        <f t="shared" si="1"/>
        <v>0</v>
      </c>
    </row>
    <row r="16" spans="1:19" ht="15.75" thickBot="1" x14ac:dyDescent="0.3">
      <c r="A16" s="316">
        <v>1000049</v>
      </c>
      <c r="B16" s="314" t="s">
        <v>21</v>
      </c>
      <c r="C16" s="323"/>
      <c r="D16" s="333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>
        <f t="shared" si="1"/>
        <v>0</v>
      </c>
    </row>
    <row r="17" spans="1:16" ht="15.75" thickBot="1" x14ac:dyDescent="0.3">
      <c r="A17" s="316">
        <v>1000050</v>
      </c>
      <c r="B17" s="314" t="s">
        <v>22</v>
      </c>
      <c r="C17" s="323"/>
      <c r="D17" s="333"/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9">
        <f t="shared" si="1"/>
        <v>0</v>
      </c>
    </row>
    <row r="18" spans="1:16" ht="15.75" thickBot="1" x14ac:dyDescent="0.3">
      <c r="A18" s="316">
        <v>1000025</v>
      </c>
      <c r="B18" s="314" t="s">
        <v>32</v>
      </c>
      <c r="C18" s="323"/>
      <c r="D18" s="333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>
        <f t="shared" si="1"/>
        <v>0</v>
      </c>
    </row>
    <row r="19" spans="1:16" ht="15.75" thickBot="1" x14ac:dyDescent="0.3">
      <c r="A19" s="316">
        <v>1000383</v>
      </c>
      <c r="B19" s="314" t="s">
        <v>264</v>
      </c>
      <c r="C19" s="323"/>
      <c r="D19" s="333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>
        <f t="shared" si="1"/>
        <v>0</v>
      </c>
    </row>
    <row r="20" spans="1:16" ht="15.75" thickBot="1" x14ac:dyDescent="0.3">
      <c r="A20" s="316">
        <v>1000146</v>
      </c>
      <c r="B20" s="314" t="s">
        <v>39</v>
      </c>
      <c r="C20" s="323"/>
      <c r="D20" s="333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>
        <f t="shared" si="1"/>
        <v>0</v>
      </c>
    </row>
    <row r="21" spans="1:16" ht="15.75" thickBot="1" x14ac:dyDescent="0.3">
      <c r="A21" s="316">
        <v>1000052</v>
      </c>
      <c r="B21" s="314" t="s">
        <v>41</v>
      </c>
      <c r="C21" s="323"/>
      <c r="D21" s="333"/>
      <c r="F21" s="329"/>
      <c r="G21" s="329"/>
      <c r="H21" s="329"/>
      <c r="I21" s="329"/>
      <c r="J21" s="329"/>
      <c r="K21" s="329"/>
      <c r="L21" s="329"/>
      <c r="M21" s="329"/>
      <c r="N21" s="329">
        <v>1</v>
      </c>
      <c r="O21" s="329"/>
      <c r="P21" s="624">
        <f t="shared" si="1"/>
        <v>1</v>
      </c>
    </row>
    <row r="22" spans="1:16" ht="15.75" thickBot="1" x14ac:dyDescent="0.3">
      <c r="A22" s="316">
        <v>1000089</v>
      </c>
      <c r="B22" s="314" t="s">
        <v>42</v>
      </c>
      <c r="C22" s="323"/>
      <c r="D22" s="333"/>
      <c r="F22" s="329"/>
      <c r="G22" s="329"/>
      <c r="H22" s="329"/>
      <c r="I22" s="329"/>
      <c r="J22" s="329"/>
      <c r="K22" s="329"/>
      <c r="L22" s="329"/>
      <c r="M22" s="329"/>
      <c r="N22" s="329">
        <v>1</v>
      </c>
      <c r="O22" s="329"/>
      <c r="P22" s="624">
        <f t="shared" si="1"/>
        <v>1</v>
      </c>
    </row>
    <row r="23" spans="1:16" ht="15.75" thickBot="1" x14ac:dyDescent="0.3">
      <c r="A23" s="316">
        <v>1000051</v>
      </c>
      <c r="B23" s="314" t="s">
        <v>43</v>
      </c>
      <c r="C23" s="323"/>
      <c r="D23" s="333"/>
      <c r="F23" s="329"/>
      <c r="G23" s="329"/>
      <c r="H23" s="329"/>
      <c r="I23" s="329"/>
      <c r="J23" s="329"/>
      <c r="K23" s="329"/>
      <c r="L23" s="329"/>
      <c r="M23" s="329"/>
      <c r="N23" s="329">
        <v>1</v>
      </c>
      <c r="O23" s="329"/>
      <c r="P23" s="624">
        <f t="shared" si="1"/>
        <v>1</v>
      </c>
    </row>
    <row r="24" spans="1:16" ht="15.75" thickBot="1" x14ac:dyDescent="0.3">
      <c r="A24" s="316">
        <v>1000048</v>
      </c>
      <c r="B24" s="314" t="s">
        <v>45</v>
      </c>
      <c r="C24" s="323"/>
      <c r="D24" s="333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>
        <f t="shared" si="1"/>
        <v>0</v>
      </c>
    </row>
    <row r="25" spans="1:16" ht="15.75" thickBot="1" x14ac:dyDescent="0.3">
      <c r="A25" s="316">
        <v>1000076</v>
      </c>
      <c r="B25" s="314" t="s">
        <v>46</v>
      </c>
      <c r="C25" s="323"/>
      <c r="D25" s="333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>
        <f t="shared" si="1"/>
        <v>0</v>
      </c>
    </row>
    <row r="26" spans="1:16" ht="15.75" thickBot="1" x14ac:dyDescent="0.3">
      <c r="A26" s="316">
        <v>1000214</v>
      </c>
      <c r="B26" s="314" t="s">
        <v>49</v>
      </c>
      <c r="C26" s="323"/>
      <c r="D26" s="333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>
        <f t="shared" si="1"/>
        <v>0</v>
      </c>
    </row>
    <row r="27" spans="1:16" ht="15.75" thickBot="1" x14ac:dyDescent="0.3">
      <c r="A27" s="316">
        <v>1000092</v>
      </c>
      <c r="B27" s="314" t="s">
        <v>51</v>
      </c>
      <c r="C27" s="323"/>
      <c r="D27" s="333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>
        <f t="shared" si="1"/>
        <v>0</v>
      </c>
    </row>
    <row r="28" spans="1:16" ht="15.75" thickBot="1" x14ac:dyDescent="0.3">
      <c r="A28" s="316">
        <v>10000015</v>
      </c>
      <c r="B28" s="314" t="s">
        <v>1</v>
      </c>
      <c r="C28" s="323"/>
      <c r="D28" s="333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>
        <f t="shared" si="1"/>
        <v>0</v>
      </c>
    </row>
    <row r="29" spans="1:16" ht="15.75" thickBot="1" x14ac:dyDescent="0.3">
      <c r="A29" s="316">
        <v>1000030</v>
      </c>
      <c r="B29" s="314" t="s">
        <v>24</v>
      </c>
      <c r="C29" s="323"/>
      <c r="D29" s="333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>
        <f t="shared" si="1"/>
        <v>0</v>
      </c>
    </row>
    <row r="30" spans="1:16" ht="15.75" thickBot="1" x14ac:dyDescent="0.3">
      <c r="A30" s="316">
        <v>1000033</v>
      </c>
      <c r="B30" s="314" t="s">
        <v>27</v>
      </c>
      <c r="C30" s="323"/>
      <c r="D30" s="333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>
        <f t="shared" si="1"/>
        <v>0</v>
      </c>
    </row>
    <row r="31" spans="1:16" ht="15.75" thickBot="1" x14ac:dyDescent="0.3">
      <c r="A31" s="316">
        <v>1000027</v>
      </c>
      <c r="B31" s="314" t="s">
        <v>33</v>
      </c>
      <c r="C31" s="323"/>
      <c r="D31" s="333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>
        <f t="shared" si="1"/>
        <v>0</v>
      </c>
    </row>
    <row r="32" spans="1:16" ht="15.75" thickBot="1" x14ac:dyDescent="0.3">
      <c r="A32" s="316">
        <v>1000100</v>
      </c>
      <c r="B32" s="314" t="s">
        <v>34</v>
      </c>
      <c r="C32" s="323"/>
      <c r="D32" s="333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>
        <f t="shared" si="1"/>
        <v>0</v>
      </c>
    </row>
    <row r="33" spans="1:16" ht="15.75" thickBot="1" x14ac:dyDescent="0.3">
      <c r="A33" s="316">
        <v>1000010</v>
      </c>
      <c r="B33" s="314" t="s">
        <v>17</v>
      </c>
      <c r="C33" s="323"/>
      <c r="D33" s="333"/>
      <c r="F33" s="329"/>
      <c r="G33" s="329"/>
      <c r="H33" s="329"/>
      <c r="I33" s="329"/>
      <c r="J33" s="329"/>
      <c r="K33" s="329"/>
      <c r="L33" s="329"/>
      <c r="M33" s="329"/>
      <c r="N33" s="329">
        <v>2</v>
      </c>
      <c r="O33" s="329"/>
      <c r="P33" s="624">
        <f t="shared" si="1"/>
        <v>2</v>
      </c>
    </row>
    <row r="34" spans="1:16" ht="15.75" thickBot="1" x14ac:dyDescent="0.3">
      <c r="A34" s="316">
        <v>10248</v>
      </c>
      <c r="B34" s="314" t="s">
        <v>183</v>
      </c>
      <c r="C34" s="323"/>
      <c r="D34" s="333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>
        <f t="shared" si="1"/>
        <v>0</v>
      </c>
    </row>
    <row r="35" spans="1:16" ht="15.75" thickBot="1" x14ac:dyDescent="0.3">
      <c r="A35" s="316">
        <v>1000084</v>
      </c>
      <c r="B35" s="314" t="s">
        <v>194</v>
      </c>
      <c r="C35" s="323"/>
      <c r="D35" s="333"/>
      <c r="F35" s="329">
        <v>8</v>
      </c>
      <c r="G35" s="329"/>
      <c r="H35" s="329"/>
      <c r="I35" s="329"/>
      <c r="J35" s="329"/>
      <c r="K35" s="329"/>
      <c r="L35" s="329"/>
      <c r="M35" s="329"/>
      <c r="N35" s="329"/>
      <c r="O35" s="329"/>
      <c r="P35" s="624">
        <f t="shared" si="1"/>
        <v>8</v>
      </c>
    </row>
    <row r="36" spans="1:16" ht="15.75" thickBot="1" x14ac:dyDescent="0.3">
      <c r="A36" s="316">
        <v>1000080</v>
      </c>
      <c r="B36" s="314" t="s">
        <v>275</v>
      </c>
      <c r="C36" s="323"/>
      <c r="D36" s="333"/>
      <c r="F36" s="329">
        <v>48</v>
      </c>
      <c r="G36" s="329"/>
      <c r="H36" s="329"/>
      <c r="I36" s="329"/>
      <c r="J36" s="329"/>
      <c r="K36" s="329"/>
      <c r="L36" s="329"/>
      <c r="M36" s="329"/>
      <c r="N36" s="329"/>
      <c r="O36" s="329"/>
      <c r="P36" s="624">
        <f t="shared" si="1"/>
        <v>48</v>
      </c>
    </row>
    <row r="37" spans="1:16" ht="15.75" thickBot="1" x14ac:dyDescent="0.3">
      <c r="A37" s="316">
        <v>1000436</v>
      </c>
      <c r="B37" s="314" t="s">
        <v>276</v>
      </c>
      <c r="C37" s="323"/>
      <c r="D37" s="333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>
        <f t="shared" si="1"/>
        <v>0</v>
      </c>
    </row>
    <row r="38" spans="1:16" ht="15.75" thickBot="1" x14ac:dyDescent="0.3">
      <c r="A38" s="316">
        <v>1000550</v>
      </c>
      <c r="B38" s="314" t="s">
        <v>277</v>
      </c>
      <c r="C38" s="323"/>
      <c r="D38" s="333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>
        <f t="shared" si="1"/>
        <v>0</v>
      </c>
    </row>
    <row r="39" spans="1:16" ht="15.75" thickBot="1" x14ac:dyDescent="0.3">
      <c r="A39" s="316">
        <v>1000551</v>
      </c>
      <c r="B39" s="314" t="s">
        <v>278</v>
      </c>
      <c r="C39" s="323"/>
      <c r="D39" s="333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>
        <f t="shared" si="1"/>
        <v>0</v>
      </c>
    </row>
    <row r="40" spans="1:16" ht="16.5" thickBot="1" x14ac:dyDescent="0.3">
      <c r="A40" s="334">
        <v>1000552</v>
      </c>
      <c r="B40" s="366" t="s">
        <v>279</v>
      </c>
      <c r="C40" s="331"/>
      <c r="D40" s="321"/>
      <c r="E40" s="320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>
        <f t="shared" si="1"/>
        <v>0</v>
      </c>
    </row>
    <row r="41" spans="1:16" ht="15.75" thickBot="1" x14ac:dyDescent="0.3">
      <c r="A41" s="316">
        <v>1000033</v>
      </c>
      <c r="B41" s="314" t="s">
        <v>27</v>
      </c>
      <c r="D41" s="321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>
        <f t="shared" si="1"/>
        <v>0</v>
      </c>
    </row>
  </sheetData>
  <mergeCells count="6">
    <mergeCell ref="A1:B2"/>
    <mergeCell ref="F1:J2"/>
    <mergeCell ref="A3:B3"/>
    <mergeCell ref="R2:R3"/>
    <mergeCell ref="S2:S3"/>
    <mergeCell ref="D1:D2"/>
  </mergeCells>
  <pageMargins left="0.7" right="0.7" top="0.75" bottom="0.75" header="0.3" footer="0.3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F199-A508-48C5-9F18-8FFEF014C4A5}">
  <sheetPr>
    <tabColor rgb="FFFF0000"/>
    <pageSetUpPr fitToPage="1"/>
  </sheetPr>
  <dimension ref="A1:P48"/>
  <sheetViews>
    <sheetView topLeftCell="A14" zoomScale="85" zoomScaleNormal="85" workbookViewId="0">
      <selection activeCell="Q43" sqref="Q43"/>
    </sheetView>
  </sheetViews>
  <sheetFormatPr baseColWidth="10" defaultColWidth="10.875" defaultRowHeight="15" x14ac:dyDescent="0.25"/>
  <cols>
    <col min="1" max="1" width="7.875" style="308" bestFit="1" customWidth="1"/>
    <col min="2" max="2" width="40.375" style="308" bestFit="1" customWidth="1"/>
    <col min="3" max="3" width="0.875" style="308" customWidth="1"/>
    <col min="4" max="4" width="8.125" style="308" bestFit="1" customWidth="1"/>
    <col min="5" max="5" width="1" style="308" customWidth="1"/>
    <col min="6" max="6" width="6.375" style="324" customWidth="1"/>
    <col min="7" max="7" width="4.375" style="324" bestFit="1" customWidth="1"/>
    <col min="8" max="8" width="6.875" style="324" customWidth="1"/>
    <col min="9" max="9" width="4.375" style="324" bestFit="1" customWidth="1"/>
    <col min="10" max="10" width="7.25" style="324" customWidth="1"/>
    <col min="11" max="11" width="4.375" style="324" bestFit="1" customWidth="1"/>
    <col min="12" max="12" width="6.375" style="324" customWidth="1"/>
    <col min="13" max="13" width="4.375" style="324" bestFit="1" customWidth="1"/>
    <col min="14" max="14" width="6.75" style="324" customWidth="1"/>
    <col min="15" max="15" width="4.375" style="324" bestFit="1" customWidth="1"/>
    <col min="16" max="16" width="5.375" style="324" bestFit="1" customWidth="1"/>
    <col min="17" max="16384" width="10.875" style="308"/>
  </cols>
  <sheetData>
    <row r="1" spans="1:16" ht="17.25" customHeight="1" x14ac:dyDescent="0.25">
      <c r="A1" s="686" t="s">
        <v>151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</row>
    <row r="2" spans="1:16" s="3" customFormat="1" ht="17.2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L2" s="325"/>
      <c r="M2" s="325"/>
      <c r="N2" s="325"/>
      <c r="O2" s="325"/>
      <c r="P2" s="325"/>
    </row>
    <row r="3" spans="1:16" s="3" customFormat="1" ht="17.25" customHeight="1" thickBot="1" x14ac:dyDescent="0.3">
      <c r="A3" s="698" t="s">
        <v>298</v>
      </c>
      <c r="B3" s="698"/>
      <c r="C3" s="18"/>
      <c r="D3" s="18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17.25" customHeight="1" thickBot="1" x14ac:dyDescent="0.3">
      <c r="A4" s="5"/>
      <c r="B4" s="5"/>
      <c r="C4" s="18"/>
      <c r="D4" s="18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7.25" customHeight="1" thickBot="1" x14ac:dyDescent="0.3">
      <c r="A5" s="6" t="s">
        <v>0</v>
      </c>
      <c r="B5" s="6" t="s">
        <v>105</v>
      </c>
      <c r="C5" s="4"/>
      <c r="D5" s="21" t="s">
        <v>106</v>
      </c>
      <c r="E5" s="308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6" ht="15.75" thickBot="1" x14ac:dyDescent="0.3">
      <c r="A6" s="312">
        <v>10000102</v>
      </c>
      <c r="B6" s="310" t="s">
        <v>2</v>
      </c>
      <c r="C6" s="323"/>
      <c r="D6" s="362">
        <v>0</v>
      </c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7">
        <f t="shared" ref="P6:P48" si="0">SUM(F6:O6)</f>
        <v>0</v>
      </c>
    </row>
    <row r="7" spans="1:16" ht="15.75" thickBot="1" x14ac:dyDescent="0.3">
      <c r="A7" s="316">
        <v>1000006</v>
      </c>
      <c r="B7" s="314" t="s">
        <v>4</v>
      </c>
      <c r="C7" s="323"/>
      <c r="D7" s="363">
        <v>20</v>
      </c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597">
        <f t="shared" si="0"/>
        <v>0</v>
      </c>
    </row>
    <row r="8" spans="1:16" ht="15.75" thickBot="1" x14ac:dyDescent="0.3">
      <c r="A8" s="316">
        <v>1000007</v>
      </c>
      <c r="B8" s="314" t="s">
        <v>5</v>
      </c>
      <c r="C8" s="323"/>
      <c r="D8" s="363">
        <v>3</v>
      </c>
      <c r="F8" s="598">
        <v>50</v>
      </c>
      <c r="G8" s="598"/>
      <c r="H8" s="598"/>
      <c r="I8" s="598"/>
      <c r="J8" s="598">
        <v>50</v>
      </c>
      <c r="K8" s="598"/>
      <c r="L8" s="598">
        <v>50</v>
      </c>
      <c r="M8" s="598"/>
      <c r="N8" s="598"/>
      <c r="O8" s="598"/>
      <c r="P8" s="602">
        <f t="shared" si="0"/>
        <v>150</v>
      </c>
    </row>
    <row r="9" spans="1:16" ht="15.75" thickBot="1" x14ac:dyDescent="0.3">
      <c r="A9" s="316">
        <v>1000001</v>
      </c>
      <c r="B9" s="314" t="s">
        <v>8</v>
      </c>
      <c r="C9" s="323"/>
      <c r="D9" s="363">
        <v>1</v>
      </c>
      <c r="F9" s="598">
        <v>3</v>
      </c>
      <c r="G9" s="598"/>
      <c r="H9" s="598"/>
      <c r="I9" s="598"/>
      <c r="J9" s="598">
        <v>2</v>
      </c>
      <c r="K9" s="598"/>
      <c r="L9" s="598">
        <v>3</v>
      </c>
      <c r="M9" s="598"/>
      <c r="N9" s="598"/>
      <c r="O9" s="598"/>
      <c r="P9" s="602">
        <f t="shared" si="0"/>
        <v>8</v>
      </c>
    </row>
    <row r="10" spans="1:16" ht="15.75" thickBot="1" x14ac:dyDescent="0.3">
      <c r="A10" s="316">
        <v>1000054</v>
      </c>
      <c r="B10" s="314" t="s">
        <v>12</v>
      </c>
      <c r="C10" s="323"/>
      <c r="D10" s="363">
        <v>4.166666666666667</v>
      </c>
      <c r="F10" s="598">
        <v>5</v>
      </c>
      <c r="G10" s="598"/>
      <c r="H10" s="598"/>
      <c r="I10" s="598"/>
      <c r="J10" s="598">
        <v>5</v>
      </c>
      <c r="K10" s="598"/>
      <c r="L10" s="598">
        <v>5</v>
      </c>
      <c r="M10" s="598"/>
      <c r="N10" s="598"/>
      <c r="O10" s="598"/>
      <c r="P10" s="602">
        <f t="shared" si="0"/>
        <v>15</v>
      </c>
    </row>
    <row r="11" spans="1:16" ht="15.75" thickBot="1" x14ac:dyDescent="0.3">
      <c r="A11" s="316">
        <v>1000017</v>
      </c>
      <c r="B11" s="314" t="s">
        <v>14</v>
      </c>
      <c r="C11" s="323"/>
      <c r="D11" s="363">
        <v>3.3333333333333335</v>
      </c>
      <c r="F11" s="598">
        <v>5</v>
      </c>
      <c r="G11" s="598"/>
      <c r="H11" s="598"/>
      <c r="I11" s="598"/>
      <c r="J11" s="598">
        <v>5</v>
      </c>
      <c r="K11" s="598"/>
      <c r="L11" s="598">
        <v>5</v>
      </c>
      <c r="M11" s="598"/>
      <c r="N11" s="598"/>
      <c r="O11" s="598"/>
      <c r="P11" s="602">
        <f t="shared" si="0"/>
        <v>15</v>
      </c>
    </row>
    <row r="12" spans="1:16" ht="15.75" thickBot="1" x14ac:dyDescent="0.3">
      <c r="A12" s="316">
        <v>1000016</v>
      </c>
      <c r="B12" s="314" t="s">
        <v>15</v>
      </c>
      <c r="C12" s="323"/>
      <c r="D12" s="363">
        <v>0.5</v>
      </c>
      <c r="F12" s="598"/>
      <c r="G12" s="598"/>
      <c r="H12" s="598"/>
      <c r="I12" s="598"/>
      <c r="J12" s="598"/>
      <c r="K12" s="598"/>
      <c r="L12" s="598"/>
      <c r="M12" s="598"/>
      <c r="N12" s="598"/>
      <c r="O12" s="598"/>
      <c r="P12" s="597">
        <f t="shared" si="0"/>
        <v>0</v>
      </c>
    </row>
    <row r="13" spans="1:16" ht="15.75" thickBot="1" x14ac:dyDescent="0.3">
      <c r="A13" s="316">
        <v>1000049</v>
      </c>
      <c r="B13" s="314" t="s">
        <v>21</v>
      </c>
      <c r="C13" s="323"/>
      <c r="D13" s="363">
        <v>0</v>
      </c>
      <c r="F13" s="598">
        <v>2</v>
      </c>
      <c r="G13" s="598"/>
      <c r="H13" s="598"/>
      <c r="I13" s="598"/>
      <c r="J13" s="598">
        <v>2</v>
      </c>
      <c r="K13" s="598"/>
      <c r="L13" s="598">
        <v>2</v>
      </c>
      <c r="M13" s="598"/>
      <c r="N13" s="598"/>
      <c r="O13" s="598"/>
      <c r="P13" s="602">
        <f t="shared" si="0"/>
        <v>6</v>
      </c>
    </row>
    <row r="14" spans="1:16" ht="15.75" thickBot="1" x14ac:dyDescent="0.3">
      <c r="A14" s="316">
        <v>1000050</v>
      </c>
      <c r="B14" s="314" t="s">
        <v>22</v>
      </c>
      <c r="C14" s="323"/>
      <c r="D14" s="363">
        <v>0</v>
      </c>
      <c r="F14" s="598">
        <v>2</v>
      </c>
      <c r="G14" s="598"/>
      <c r="H14" s="598"/>
      <c r="I14" s="598"/>
      <c r="J14" s="598">
        <v>2</v>
      </c>
      <c r="K14" s="598"/>
      <c r="L14" s="598">
        <v>2</v>
      </c>
      <c r="M14" s="598"/>
      <c r="N14" s="598"/>
      <c r="O14" s="598"/>
      <c r="P14" s="602">
        <f t="shared" si="0"/>
        <v>6</v>
      </c>
    </row>
    <row r="15" spans="1:16" ht="15.75" thickBot="1" x14ac:dyDescent="0.3">
      <c r="A15" s="316">
        <v>1000031</v>
      </c>
      <c r="B15" s="314" t="s">
        <v>25</v>
      </c>
      <c r="C15" s="323"/>
      <c r="D15" s="363">
        <v>1</v>
      </c>
      <c r="F15" s="598"/>
      <c r="G15" s="598"/>
      <c r="H15" s="598"/>
      <c r="I15" s="598"/>
      <c r="J15" s="598"/>
      <c r="K15" s="598"/>
      <c r="L15" s="598"/>
      <c r="M15" s="598"/>
      <c r="N15" s="598"/>
      <c r="O15" s="598"/>
      <c r="P15" s="597">
        <f t="shared" si="0"/>
        <v>0</v>
      </c>
    </row>
    <row r="16" spans="1:16" ht="15.75" thickBot="1" x14ac:dyDescent="0.3">
      <c r="A16" s="316">
        <v>1000027</v>
      </c>
      <c r="B16" s="314" t="s">
        <v>33</v>
      </c>
      <c r="C16" s="323"/>
      <c r="D16" s="363">
        <v>1</v>
      </c>
      <c r="F16" s="598"/>
      <c r="G16" s="598"/>
      <c r="H16" s="598"/>
      <c r="I16" s="598"/>
      <c r="J16" s="598"/>
      <c r="K16" s="598"/>
      <c r="L16" s="598"/>
      <c r="M16" s="598"/>
      <c r="N16" s="598"/>
      <c r="O16" s="598"/>
      <c r="P16" s="597">
        <f t="shared" si="0"/>
        <v>0</v>
      </c>
    </row>
    <row r="17" spans="1:16" ht="15.75" thickBot="1" x14ac:dyDescent="0.3">
      <c r="A17" s="316">
        <v>10248</v>
      </c>
      <c r="B17" s="314" t="s">
        <v>183</v>
      </c>
      <c r="C17" s="323"/>
      <c r="D17" s="363">
        <v>0</v>
      </c>
      <c r="F17" s="598">
        <v>6</v>
      </c>
      <c r="G17" s="598"/>
      <c r="H17" s="598"/>
      <c r="I17" s="598"/>
      <c r="J17" s="598">
        <v>6</v>
      </c>
      <c r="K17" s="598"/>
      <c r="L17" s="598">
        <v>6</v>
      </c>
      <c r="M17" s="598"/>
      <c r="N17" s="598"/>
      <c r="O17" s="598"/>
      <c r="P17" s="602">
        <f t="shared" si="0"/>
        <v>18</v>
      </c>
    </row>
    <row r="18" spans="1:16" ht="15.75" thickBot="1" x14ac:dyDescent="0.3">
      <c r="A18" s="316">
        <v>1000052</v>
      </c>
      <c r="B18" s="314" t="s">
        <v>41</v>
      </c>
      <c r="C18" s="323"/>
      <c r="D18" s="363">
        <v>1</v>
      </c>
      <c r="F18" s="598">
        <v>2</v>
      </c>
      <c r="G18" s="598"/>
      <c r="H18" s="598"/>
      <c r="I18" s="598"/>
      <c r="J18" s="598">
        <v>2</v>
      </c>
      <c r="K18" s="598"/>
      <c r="L18" s="598">
        <v>2</v>
      </c>
      <c r="M18" s="598"/>
      <c r="N18" s="598"/>
      <c r="O18" s="598"/>
      <c r="P18" s="602">
        <f t="shared" si="0"/>
        <v>6</v>
      </c>
    </row>
    <row r="19" spans="1:16" ht="15.75" thickBot="1" x14ac:dyDescent="0.3">
      <c r="A19" s="316">
        <v>1000089</v>
      </c>
      <c r="B19" s="314" t="s">
        <v>42</v>
      </c>
      <c r="C19" s="323"/>
      <c r="D19" s="363">
        <v>1</v>
      </c>
      <c r="F19" s="598">
        <v>2</v>
      </c>
      <c r="G19" s="598"/>
      <c r="H19" s="598"/>
      <c r="I19" s="598"/>
      <c r="J19" s="598">
        <v>2</v>
      </c>
      <c r="K19" s="598"/>
      <c r="L19" s="598">
        <v>2</v>
      </c>
      <c r="M19" s="598"/>
      <c r="N19" s="598"/>
      <c r="O19" s="598"/>
      <c r="P19" s="602">
        <f t="shared" si="0"/>
        <v>6</v>
      </c>
    </row>
    <row r="20" spans="1:16" ht="15.75" thickBot="1" x14ac:dyDescent="0.3">
      <c r="A20" s="316">
        <v>1000051</v>
      </c>
      <c r="B20" s="314" t="s">
        <v>43</v>
      </c>
      <c r="C20" s="323"/>
      <c r="D20" s="363">
        <v>1</v>
      </c>
      <c r="F20" s="598"/>
      <c r="G20" s="598"/>
      <c r="H20" s="598"/>
      <c r="I20" s="598"/>
      <c r="J20" s="598"/>
      <c r="K20" s="598"/>
      <c r="L20" s="598"/>
      <c r="M20" s="598"/>
      <c r="N20" s="598"/>
      <c r="O20" s="598"/>
      <c r="P20" s="597">
        <f t="shared" si="0"/>
        <v>0</v>
      </c>
    </row>
    <row r="21" spans="1:16" ht="15.75" thickBot="1" x14ac:dyDescent="0.3">
      <c r="A21" s="316">
        <v>1000048</v>
      </c>
      <c r="B21" s="314" t="s">
        <v>45</v>
      </c>
      <c r="C21" s="323"/>
      <c r="D21" s="363">
        <v>0</v>
      </c>
      <c r="F21" s="598"/>
      <c r="G21" s="598"/>
      <c r="H21" s="598"/>
      <c r="I21" s="598"/>
      <c r="J21" s="598"/>
      <c r="K21" s="598"/>
      <c r="L21" s="598"/>
      <c r="M21" s="598"/>
      <c r="N21" s="598"/>
      <c r="O21" s="598"/>
      <c r="P21" s="597">
        <f t="shared" si="0"/>
        <v>0</v>
      </c>
    </row>
    <row r="22" spans="1:16" ht="15.75" thickBot="1" x14ac:dyDescent="0.3">
      <c r="A22" s="316">
        <v>1000076</v>
      </c>
      <c r="B22" s="314" t="s">
        <v>46</v>
      </c>
      <c r="C22" s="323"/>
      <c r="D22" s="363">
        <v>0</v>
      </c>
      <c r="F22" s="598"/>
      <c r="G22" s="598"/>
      <c r="H22" s="598"/>
      <c r="I22" s="598"/>
      <c r="J22" s="598"/>
      <c r="K22" s="598"/>
      <c r="L22" s="598"/>
      <c r="M22" s="598"/>
      <c r="N22" s="598"/>
      <c r="O22" s="598"/>
      <c r="P22" s="597">
        <f t="shared" si="0"/>
        <v>0</v>
      </c>
    </row>
    <row r="23" spans="1:16" ht="15.75" thickBot="1" x14ac:dyDescent="0.3">
      <c r="A23" s="316">
        <v>1000067</v>
      </c>
      <c r="B23" s="314" t="s">
        <v>11</v>
      </c>
      <c r="C23" s="323"/>
      <c r="D23" s="363"/>
      <c r="F23" s="598">
        <v>1</v>
      </c>
      <c r="G23" s="598"/>
      <c r="H23" s="598"/>
      <c r="I23" s="598"/>
      <c r="J23" s="598"/>
      <c r="K23" s="598"/>
      <c r="L23" s="598">
        <v>1</v>
      </c>
      <c r="M23" s="598"/>
      <c r="N23" s="598"/>
      <c r="O23" s="598"/>
      <c r="P23" s="602">
        <f t="shared" si="0"/>
        <v>2</v>
      </c>
    </row>
    <row r="24" spans="1:16" ht="15.75" thickBot="1" x14ac:dyDescent="0.3">
      <c r="A24" s="316">
        <v>1000486</v>
      </c>
      <c r="B24" s="314" t="s">
        <v>263</v>
      </c>
      <c r="C24" s="323"/>
      <c r="D24" s="363"/>
      <c r="F24" s="598">
        <v>10</v>
      </c>
      <c r="G24" s="598"/>
      <c r="H24" s="598"/>
      <c r="I24" s="598"/>
      <c r="J24" s="598"/>
      <c r="K24" s="598"/>
      <c r="L24" s="598"/>
      <c r="M24" s="598"/>
      <c r="N24" s="598"/>
      <c r="O24" s="598"/>
      <c r="P24" s="602">
        <f t="shared" si="0"/>
        <v>10</v>
      </c>
    </row>
    <row r="25" spans="1:16" ht="15.75" thickBot="1" x14ac:dyDescent="0.3">
      <c r="A25" s="316">
        <v>1000084</v>
      </c>
      <c r="B25" s="314" t="s">
        <v>38</v>
      </c>
      <c r="C25" s="323"/>
      <c r="D25" s="363"/>
      <c r="F25" s="598">
        <v>4</v>
      </c>
      <c r="G25" s="598"/>
      <c r="H25" s="598"/>
      <c r="I25" s="598"/>
      <c r="J25" s="598">
        <v>8</v>
      </c>
      <c r="K25" s="598"/>
      <c r="L25" s="598">
        <v>8</v>
      </c>
      <c r="M25" s="598"/>
      <c r="N25" s="598"/>
      <c r="O25" s="598"/>
      <c r="P25" s="602">
        <f t="shared" si="0"/>
        <v>20</v>
      </c>
    </row>
    <row r="26" spans="1:16" ht="15.75" thickBot="1" x14ac:dyDescent="0.3">
      <c r="A26" s="316">
        <v>1000025</v>
      </c>
      <c r="B26" s="314" t="s">
        <v>32</v>
      </c>
      <c r="C26" s="323"/>
      <c r="D26" s="363"/>
      <c r="F26" s="598"/>
      <c r="G26" s="598"/>
      <c r="H26" s="598"/>
      <c r="I26" s="598"/>
      <c r="J26" s="598"/>
      <c r="K26" s="598"/>
      <c r="L26" s="598">
        <v>5</v>
      </c>
      <c r="M26" s="598"/>
      <c r="N26" s="598"/>
      <c r="O26" s="598"/>
      <c r="P26" s="602">
        <f t="shared" si="0"/>
        <v>5</v>
      </c>
    </row>
    <row r="27" spans="1:16" ht="15.75" thickBot="1" x14ac:dyDescent="0.3">
      <c r="A27" s="316">
        <v>1000057</v>
      </c>
      <c r="B27" s="314" t="s">
        <v>70</v>
      </c>
      <c r="C27" s="323"/>
      <c r="D27" s="363"/>
      <c r="F27" s="598"/>
      <c r="G27" s="598"/>
      <c r="H27" s="598"/>
      <c r="I27" s="598"/>
      <c r="J27" s="598"/>
      <c r="K27" s="598"/>
      <c r="L27" s="598"/>
      <c r="M27" s="598"/>
      <c r="N27" s="598"/>
      <c r="O27" s="598"/>
      <c r="P27" s="597">
        <f t="shared" si="0"/>
        <v>0</v>
      </c>
    </row>
    <row r="28" spans="1:16" ht="15.75" thickBot="1" x14ac:dyDescent="0.3">
      <c r="A28" s="316">
        <v>1000002</v>
      </c>
      <c r="B28" s="314" t="s">
        <v>9</v>
      </c>
      <c r="C28" s="323"/>
      <c r="D28" s="363"/>
      <c r="F28" s="598"/>
      <c r="G28" s="598"/>
      <c r="H28" s="598"/>
      <c r="I28" s="598"/>
      <c r="J28" s="598"/>
      <c r="K28" s="598"/>
      <c r="L28" s="598"/>
      <c r="M28" s="598"/>
      <c r="N28" s="598"/>
      <c r="O28" s="598"/>
      <c r="P28" s="597">
        <f t="shared" si="0"/>
        <v>0</v>
      </c>
    </row>
    <row r="29" spans="1:16" ht="15.75" thickBot="1" x14ac:dyDescent="0.3">
      <c r="A29" s="316">
        <v>1000412</v>
      </c>
      <c r="B29" s="314" t="s">
        <v>239</v>
      </c>
      <c r="C29" s="323"/>
      <c r="D29" s="363"/>
      <c r="F29" s="598"/>
      <c r="G29" s="598"/>
      <c r="H29" s="598"/>
      <c r="I29" s="598"/>
      <c r="J29" s="598"/>
      <c r="K29" s="598"/>
      <c r="L29" s="598"/>
      <c r="M29" s="598"/>
      <c r="N29" s="598"/>
      <c r="O29" s="598"/>
      <c r="P29" s="597">
        <f t="shared" si="0"/>
        <v>0</v>
      </c>
    </row>
    <row r="30" spans="1:16" ht="15.75" thickBot="1" x14ac:dyDescent="0.3">
      <c r="A30" s="316">
        <v>1000142</v>
      </c>
      <c r="B30" s="314" t="s">
        <v>54</v>
      </c>
      <c r="C30" s="323"/>
      <c r="D30" s="363"/>
      <c r="F30" s="598"/>
      <c r="G30" s="598"/>
      <c r="H30" s="598"/>
      <c r="I30" s="598"/>
      <c r="J30" s="598"/>
      <c r="K30" s="598"/>
      <c r="L30" s="598"/>
      <c r="M30" s="598"/>
      <c r="N30" s="598"/>
      <c r="O30" s="598"/>
      <c r="P30" s="597">
        <f t="shared" si="0"/>
        <v>0</v>
      </c>
    </row>
    <row r="31" spans="1:16" ht="15.75" thickBot="1" x14ac:dyDescent="0.3">
      <c r="A31" s="316">
        <v>1000100</v>
      </c>
      <c r="B31" s="314" t="s">
        <v>34</v>
      </c>
      <c r="C31" s="323"/>
      <c r="D31" s="363"/>
      <c r="F31" s="598"/>
      <c r="G31" s="598"/>
      <c r="H31" s="598"/>
      <c r="I31" s="598"/>
      <c r="J31" s="598"/>
      <c r="K31" s="598"/>
      <c r="L31" s="598"/>
      <c r="M31" s="598"/>
      <c r="N31" s="598"/>
      <c r="O31" s="598"/>
      <c r="P31" s="597">
        <f t="shared" si="0"/>
        <v>0</v>
      </c>
    </row>
    <row r="32" spans="1:16" ht="15.75" thickBot="1" x14ac:dyDescent="0.3">
      <c r="A32" s="316">
        <v>1000038</v>
      </c>
      <c r="B32" s="314" t="s">
        <v>78</v>
      </c>
      <c r="C32" s="323"/>
      <c r="D32" s="363"/>
      <c r="F32" s="598"/>
      <c r="G32" s="598"/>
      <c r="H32" s="598"/>
      <c r="I32" s="598"/>
      <c r="J32" s="598"/>
      <c r="K32" s="598"/>
      <c r="L32" s="598"/>
      <c r="M32" s="598"/>
      <c r="N32" s="598"/>
      <c r="O32" s="598"/>
      <c r="P32" s="597">
        <f t="shared" si="0"/>
        <v>0</v>
      </c>
    </row>
    <row r="33" spans="1:16" ht="15.75" thickBot="1" x14ac:dyDescent="0.3">
      <c r="A33" s="316">
        <v>1000029</v>
      </c>
      <c r="B33" s="314" t="s">
        <v>30</v>
      </c>
      <c r="C33" s="323"/>
      <c r="D33" s="363"/>
      <c r="F33" s="598">
        <v>1</v>
      </c>
      <c r="G33" s="598"/>
      <c r="H33" s="598"/>
      <c r="I33" s="598"/>
      <c r="J33" s="598">
        <v>1</v>
      </c>
      <c r="K33" s="598"/>
      <c r="L33" s="598"/>
      <c r="M33" s="598"/>
      <c r="N33" s="598"/>
      <c r="O33" s="598"/>
      <c r="P33" s="602">
        <f t="shared" si="0"/>
        <v>2</v>
      </c>
    </row>
    <row r="34" spans="1:16" ht="15.75" thickBot="1" x14ac:dyDescent="0.3">
      <c r="A34" s="316">
        <v>1000033</v>
      </c>
      <c r="B34" s="314" t="s">
        <v>27</v>
      </c>
      <c r="C34" s="323"/>
      <c r="D34" s="363"/>
      <c r="F34" s="598"/>
      <c r="G34" s="598"/>
      <c r="H34" s="598"/>
      <c r="I34" s="598"/>
      <c r="J34" s="598"/>
      <c r="K34" s="598"/>
      <c r="L34" s="598"/>
      <c r="M34" s="598"/>
      <c r="N34" s="598"/>
      <c r="O34" s="598"/>
      <c r="P34" s="597">
        <f t="shared" si="0"/>
        <v>0</v>
      </c>
    </row>
    <row r="35" spans="1:16" ht="15.75" thickBot="1" x14ac:dyDescent="0.3">
      <c r="A35" s="316">
        <v>1000040</v>
      </c>
      <c r="B35" s="314" t="s">
        <v>77</v>
      </c>
      <c r="C35" s="323"/>
      <c r="D35" s="363"/>
      <c r="F35" s="598"/>
      <c r="G35" s="598"/>
      <c r="H35" s="598"/>
      <c r="I35" s="598"/>
      <c r="J35" s="598"/>
      <c r="K35" s="598"/>
      <c r="L35" s="598"/>
      <c r="M35" s="598"/>
      <c r="N35" s="598"/>
      <c r="O35" s="598"/>
      <c r="P35" s="597">
        <f t="shared" si="0"/>
        <v>0</v>
      </c>
    </row>
    <row r="36" spans="1:16" ht="15.75" thickBot="1" x14ac:dyDescent="0.3">
      <c r="A36" s="316">
        <v>1000440</v>
      </c>
      <c r="B36" s="314" t="s">
        <v>199</v>
      </c>
      <c r="C36" s="323"/>
      <c r="D36" s="363"/>
      <c r="F36" s="598"/>
      <c r="G36" s="598"/>
      <c r="H36" s="598"/>
      <c r="I36" s="598"/>
      <c r="J36" s="598"/>
      <c r="K36" s="598"/>
      <c r="L36" s="598"/>
      <c r="M36" s="598"/>
      <c r="N36" s="598"/>
      <c r="O36" s="598"/>
      <c r="P36" s="597">
        <f t="shared" si="0"/>
        <v>0</v>
      </c>
    </row>
    <row r="37" spans="1:16" ht="15.75" thickBot="1" x14ac:dyDescent="0.3">
      <c r="A37" s="316">
        <v>1000036</v>
      </c>
      <c r="B37" s="314" t="s">
        <v>75</v>
      </c>
      <c r="C37" s="323"/>
      <c r="D37" s="363"/>
      <c r="F37" s="598"/>
      <c r="G37" s="598"/>
      <c r="H37" s="598"/>
      <c r="I37" s="598"/>
      <c r="J37" s="598"/>
      <c r="K37" s="598"/>
      <c r="L37" s="598"/>
      <c r="M37" s="598"/>
      <c r="N37" s="598"/>
      <c r="O37" s="598"/>
      <c r="P37" s="597">
        <f t="shared" si="0"/>
        <v>0</v>
      </c>
    </row>
    <row r="38" spans="1:16" ht="15.75" thickBot="1" x14ac:dyDescent="0.3">
      <c r="A38" s="316">
        <v>1000004</v>
      </c>
      <c r="B38" s="314" t="s">
        <v>10</v>
      </c>
      <c r="C38" s="323"/>
      <c r="D38" s="363"/>
      <c r="F38" s="598">
        <v>3</v>
      </c>
      <c r="G38" s="598"/>
      <c r="H38" s="598"/>
      <c r="I38" s="598"/>
      <c r="J38" s="598">
        <v>2</v>
      </c>
      <c r="K38" s="598"/>
      <c r="L38" s="598">
        <v>3</v>
      </c>
      <c r="M38" s="598"/>
      <c r="N38" s="598"/>
      <c r="O38" s="598"/>
      <c r="P38" s="602">
        <f t="shared" si="0"/>
        <v>8</v>
      </c>
    </row>
    <row r="39" spans="1:16" ht="15.75" thickBot="1" x14ac:dyDescent="0.3">
      <c r="A39" s="316">
        <v>1000070</v>
      </c>
      <c r="B39" s="314" t="s">
        <v>13</v>
      </c>
      <c r="C39" s="323"/>
      <c r="D39" s="363"/>
      <c r="F39" s="598"/>
      <c r="G39" s="598"/>
      <c r="H39" s="598"/>
      <c r="I39" s="598"/>
      <c r="J39" s="598">
        <v>1</v>
      </c>
      <c r="K39" s="598"/>
      <c r="L39" s="598">
        <v>1</v>
      </c>
      <c r="M39" s="598"/>
      <c r="N39" s="598"/>
      <c r="O39" s="598"/>
      <c r="P39" s="602">
        <f t="shared" si="0"/>
        <v>2</v>
      </c>
    </row>
    <row r="40" spans="1:16" ht="15.75" thickBot="1" x14ac:dyDescent="0.3">
      <c r="A40" s="316">
        <v>1000082</v>
      </c>
      <c r="B40" s="314" t="s">
        <v>37</v>
      </c>
      <c r="C40" s="323"/>
      <c r="D40" s="363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7">
        <f t="shared" si="0"/>
        <v>0</v>
      </c>
    </row>
    <row r="41" spans="1:16" ht="15.75" thickBot="1" x14ac:dyDescent="0.3">
      <c r="A41" s="316">
        <v>1000383</v>
      </c>
      <c r="B41" s="314" t="s">
        <v>264</v>
      </c>
      <c r="C41" s="323"/>
      <c r="D41" s="363"/>
      <c r="F41" s="598"/>
      <c r="G41" s="598"/>
      <c r="H41" s="598"/>
      <c r="I41" s="598"/>
      <c r="J41" s="598"/>
      <c r="K41" s="598"/>
      <c r="L41" s="598"/>
      <c r="M41" s="598"/>
      <c r="N41" s="598"/>
      <c r="O41" s="598"/>
      <c r="P41" s="597">
        <f t="shared" si="0"/>
        <v>0</v>
      </c>
    </row>
    <row r="42" spans="1:16" ht="15.75" thickBot="1" x14ac:dyDescent="0.3">
      <c r="A42" s="316">
        <v>10000015</v>
      </c>
      <c r="B42" s="314" t="s">
        <v>1</v>
      </c>
      <c r="C42" s="323"/>
      <c r="D42" s="363"/>
      <c r="F42" s="598"/>
      <c r="G42" s="598"/>
      <c r="H42" s="598"/>
      <c r="I42" s="598"/>
      <c r="J42" s="598"/>
      <c r="K42" s="598"/>
      <c r="L42" s="598"/>
      <c r="M42" s="598"/>
      <c r="N42" s="598"/>
      <c r="O42" s="598"/>
      <c r="P42" s="597">
        <f t="shared" si="0"/>
        <v>0</v>
      </c>
    </row>
    <row r="43" spans="1:16" ht="15.75" thickBot="1" x14ac:dyDescent="0.3">
      <c r="A43" s="316">
        <v>1000080</v>
      </c>
      <c r="B43" s="314" t="s">
        <v>275</v>
      </c>
      <c r="C43" s="323"/>
      <c r="D43" s="363"/>
      <c r="F43" s="598">
        <v>96</v>
      </c>
      <c r="G43" s="598"/>
      <c r="H43" s="598"/>
      <c r="I43" s="598"/>
      <c r="J43" s="598">
        <v>96</v>
      </c>
      <c r="K43" s="598"/>
      <c r="L43" s="598">
        <v>96</v>
      </c>
      <c r="M43" s="598"/>
      <c r="N43" s="598"/>
      <c r="O43" s="598"/>
      <c r="P43" s="602">
        <f t="shared" si="0"/>
        <v>288</v>
      </c>
    </row>
    <row r="44" spans="1:16" ht="15.75" thickBot="1" x14ac:dyDescent="0.3">
      <c r="A44" s="316">
        <v>1000436</v>
      </c>
      <c r="B44" s="314" t="s">
        <v>276</v>
      </c>
      <c r="C44" s="323"/>
      <c r="D44" s="363"/>
      <c r="F44" s="598"/>
      <c r="G44" s="598"/>
      <c r="H44" s="598"/>
      <c r="I44" s="598"/>
      <c r="J44" s="598"/>
      <c r="K44" s="598"/>
      <c r="L44" s="598"/>
      <c r="M44" s="598"/>
      <c r="N44" s="598"/>
      <c r="O44" s="598"/>
      <c r="P44" s="597">
        <f t="shared" si="0"/>
        <v>0</v>
      </c>
    </row>
    <row r="45" spans="1:16" ht="15.75" thickBot="1" x14ac:dyDescent="0.3">
      <c r="A45" s="316">
        <v>1000550</v>
      </c>
      <c r="B45" s="314" t="s">
        <v>277</v>
      </c>
      <c r="C45" s="323"/>
      <c r="D45" s="363"/>
      <c r="F45" s="598"/>
      <c r="G45" s="598"/>
      <c r="H45" s="598"/>
      <c r="I45" s="598"/>
      <c r="J45" s="598"/>
      <c r="K45" s="598"/>
      <c r="L45" s="598"/>
      <c r="M45" s="598"/>
      <c r="N45" s="598"/>
      <c r="O45" s="598"/>
      <c r="P45" s="597">
        <f t="shared" si="0"/>
        <v>0</v>
      </c>
    </row>
    <row r="46" spans="1:16" ht="15.75" thickBot="1" x14ac:dyDescent="0.3">
      <c r="A46" s="316">
        <v>1000551</v>
      </c>
      <c r="B46" s="314" t="s">
        <v>278</v>
      </c>
      <c r="C46" s="323"/>
      <c r="D46" s="363"/>
      <c r="F46" s="598"/>
      <c r="G46" s="598"/>
      <c r="H46" s="598"/>
      <c r="I46" s="598"/>
      <c r="J46" s="598"/>
      <c r="K46" s="598"/>
      <c r="L46" s="598"/>
      <c r="M46" s="598"/>
      <c r="N46" s="598"/>
      <c r="O46" s="598"/>
      <c r="P46" s="597">
        <f t="shared" si="0"/>
        <v>0</v>
      </c>
    </row>
    <row r="47" spans="1:16" ht="15.75" thickBot="1" x14ac:dyDescent="0.3">
      <c r="A47" s="318">
        <v>1000552</v>
      </c>
      <c r="B47" s="366" t="s">
        <v>279</v>
      </c>
      <c r="C47" s="320"/>
      <c r="D47" s="321"/>
      <c r="E47" s="320"/>
      <c r="F47" s="598"/>
      <c r="G47" s="598"/>
      <c r="H47" s="598"/>
      <c r="I47" s="598"/>
      <c r="J47" s="598"/>
      <c r="K47" s="598"/>
      <c r="L47" s="598"/>
      <c r="M47" s="598"/>
      <c r="N47" s="598"/>
      <c r="O47" s="598"/>
      <c r="P47" s="597">
        <f t="shared" si="0"/>
        <v>0</v>
      </c>
    </row>
    <row r="48" spans="1:16" ht="15.75" thickBot="1" x14ac:dyDescent="0.3">
      <c r="A48" s="220">
        <v>1000073</v>
      </c>
      <c r="B48" s="12" t="s">
        <v>36</v>
      </c>
      <c r="D48" s="321"/>
      <c r="F48" s="598">
        <v>1</v>
      </c>
      <c r="G48" s="598"/>
      <c r="H48" s="598"/>
      <c r="I48" s="598"/>
      <c r="J48" s="598"/>
      <c r="K48" s="598"/>
      <c r="L48" s="598"/>
      <c r="M48" s="598"/>
      <c r="N48" s="598"/>
      <c r="O48" s="598"/>
      <c r="P48" s="602">
        <f t="shared" si="0"/>
        <v>1</v>
      </c>
    </row>
  </sheetData>
  <mergeCells count="4">
    <mergeCell ref="A1:B2"/>
    <mergeCell ref="F1:J2"/>
    <mergeCell ref="A3:B3"/>
    <mergeCell ref="D1:D2"/>
  </mergeCells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0A8D-01A1-4AFB-83C6-AD134A474910}">
  <sheetPr>
    <tabColor rgb="FFFF0000"/>
    <pageSetUpPr fitToPage="1"/>
  </sheetPr>
  <dimension ref="A1:Q52"/>
  <sheetViews>
    <sheetView zoomScale="90" zoomScaleNormal="90" workbookViewId="0">
      <selection activeCell="R23" sqref="R23"/>
    </sheetView>
  </sheetViews>
  <sheetFormatPr baseColWidth="10" defaultColWidth="10.875" defaultRowHeight="15" x14ac:dyDescent="0.25"/>
  <cols>
    <col min="1" max="1" width="10.375" style="216" customWidth="1"/>
    <col min="2" max="2" width="39.375" style="216" customWidth="1"/>
    <col min="3" max="3" width="1.375" style="216" customWidth="1"/>
    <col min="4" max="4" width="8.125" style="216" bestFit="1" customWidth="1"/>
    <col min="5" max="5" width="2.125" style="216" customWidth="1"/>
    <col min="6" max="6" width="6.375" style="385" bestFit="1" customWidth="1"/>
    <col min="7" max="7" width="4.375" style="385" bestFit="1" customWidth="1"/>
    <col min="8" max="8" width="6.375" style="385" bestFit="1" customWidth="1"/>
    <col min="9" max="9" width="4.375" style="385" bestFit="1" customWidth="1"/>
    <col min="10" max="10" width="6.375" style="385" bestFit="1" customWidth="1"/>
    <col min="11" max="11" width="4.375" style="385" bestFit="1" customWidth="1"/>
    <col min="12" max="12" width="6.375" style="385" bestFit="1" customWidth="1"/>
    <col min="13" max="13" width="4.375" style="385" bestFit="1" customWidth="1"/>
    <col min="14" max="14" width="6.375" style="385" bestFit="1" customWidth="1"/>
    <col min="15" max="15" width="4.375" style="385" bestFit="1" customWidth="1"/>
    <col min="16" max="16" width="5.25" style="385" bestFit="1" customWidth="1"/>
    <col min="17" max="16384" width="10.875" style="216"/>
  </cols>
  <sheetData>
    <row r="1" spans="1:16" ht="15" customHeight="1" x14ac:dyDescent="0.25">
      <c r="A1" s="686" t="s">
        <v>257</v>
      </c>
      <c r="B1" s="687"/>
      <c r="C1" s="18"/>
      <c r="D1" s="697" t="s">
        <v>305</v>
      </c>
      <c r="F1" s="699" t="s">
        <v>474</v>
      </c>
      <c r="G1" s="700"/>
      <c r="H1" s="700"/>
      <c r="I1" s="700"/>
      <c r="J1" s="701"/>
      <c r="K1" s="18"/>
      <c r="L1" s="384"/>
      <c r="M1" s="384"/>
    </row>
    <row r="2" spans="1:16" s="3" customFormat="1" ht="16.5" customHeight="1" thickBot="1" x14ac:dyDescent="0.3">
      <c r="A2" s="688"/>
      <c r="B2" s="689"/>
      <c r="C2" s="18"/>
      <c r="D2" s="697"/>
      <c r="F2" s="702"/>
      <c r="G2" s="703"/>
      <c r="H2" s="703"/>
      <c r="I2" s="703"/>
      <c r="J2" s="704"/>
      <c r="K2" s="18"/>
      <c r="L2" s="384"/>
      <c r="M2" s="384"/>
      <c r="N2" s="325"/>
      <c r="O2" s="325"/>
      <c r="P2" s="325"/>
    </row>
    <row r="3" spans="1:16" s="3" customFormat="1" ht="29.25" thickBot="1" x14ac:dyDescent="0.3">
      <c r="A3" s="725" t="s">
        <v>302</v>
      </c>
      <c r="B3" s="725"/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0.75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216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6" ht="15.75" thickBot="1" x14ac:dyDescent="0.3">
      <c r="A6" s="217">
        <v>10000015</v>
      </c>
      <c r="B6" s="11" t="s">
        <v>1</v>
      </c>
      <c r="C6" s="218"/>
      <c r="D6" s="219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7">
        <f t="shared" ref="P6:P51" si="0">SUM(F6:O6)</f>
        <v>0</v>
      </c>
    </row>
    <row r="7" spans="1:16" ht="15.75" thickBot="1" x14ac:dyDescent="0.3">
      <c r="A7" s="220">
        <v>10000102</v>
      </c>
      <c r="B7" s="12" t="s">
        <v>2</v>
      </c>
      <c r="C7" s="218"/>
      <c r="D7" s="221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7">
        <f t="shared" si="0"/>
        <v>0</v>
      </c>
    </row>
    <row r="8" spans="1:16" ht="15.75" thickBot="1" x14ac:dyDescent="0.3">
      <c r="A8" s="220">
        <v>1000006</v>
      </c>
      <c r="B8" s="12" t="s">
        <v>4</v>
      </c>
      <c r="C8" s="218"/>
      <c r="D8" s="221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7">
        <f t="shared" si="0"/>
        <v>0</v>
      </c>
    </row>
    <row r="9" spans="1:16" ht="15.75" thickBot="1" x14ac:dyDescent="0.3">
      <c r="A9" s="220">
        <v>1000007</v>
      </c>
      <c r="B9" s="12" t="s">
        <v>5</v>
      </c>
      <c r="C9" s="218"/>
      <c r="D9" s="221"/>
      <c r="F9" s="386"/>
      <c r="G9" s="386"/>
      <c r="H9" s="386"/>
      <c r="I9" s="386"/>
      <c r="J9" s="386">
        <v>50</v>
      </c>
      <c r="K9" s="386"/>
      <c r="L9" s="386"/>
      <c r="M9" s="386"/>
      <c r="N9" s="386"/>
      <c r="O9" s="386"/>
      <c r="P9" s="625">
        <f t="shared" si="0"/>
        <v>50</v>
      </c>
    </row>
    <row r="10" spans="1:16" ht="15.75" thickBot="1" x14ac:dyDescent="0.3">
      <c r="A10" s="220">
        <v>1000001</v>
      </c>
      <c r="B10" s="12" t="s">
        <v>8</v>
      </c>
      <c r="C10" s="218"/>
      <c r="D10" s="221"/>
      <c r="F10" s="386"/>
      <c r="G10" s="386"/>
      <c r="H10" s="386"/>
      <c r="I10" s="386"/>
      <c r="J10" s="386">
        <v>3</v>
      </c>
      <c r="K10" s="386"/>
      <c r="L10" s="386"/>
      <c r="M10" s="386"/>
      <c r="N10" s="386"/>
      <c r="O10" s="386"/>
      <c r="P10" s="625">
        <f t="shared" si="0"/>
        <v>3</v>
      </c>
    </row>
    <row r="11" spans="1:16" ht="15.75" thickBot="1" x14ac:dyDescent="0.3">
      <c r="A11" s="220">
        <v>1000002</v>
      </c>
      <c r="B11" s="12" t="s">
        <v>9</v>
      </c>
      <c r="C11" s="218"/>
      <c r="D11" s="221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7">
        <f t="shared" si="0"/>
        <v>0</v>
      </c>
    </row>
    <row r="12" spans="1:16" ht="15.75" thickBot="1" x14ac:dyDescent="0.3">
      <c r="A12" s="220">
        <v>1000054</v>
      </c>
      <c r="B12" s="12" t="s">
        <v>12</v>
      </c>
      <c r="C12" s="218"/>
      <c r="D12" s="221"/>
      <c r="F12" s="386"/>
      <c r="G12" s="386"/>
      <c r="H12" s="386"/>
      <c r="I12" s="386"/>
      <c r="J12" s="386">
        <v>5</v>
      </c>
      <c r="K12" s="386"/>
      <c r="L12" s="386"/>
      <c r="M12" s="386"/>
      <c r="N12" s="386"/>
      <c r="O12" s="386"/>
      <c r="P12" s="625">
        <f t="shared" si="0"/>
        <v>5</v>
      </c>
    </row>
    <row r="13" spans="1:16" ht="15.75" thickBot="1" x14ac:dyDescent="0.3">
      <c r="A13" s="60">
        <v>1000070</v>
      </c>
      <c r="B13" s="14" t="s">
        <v>13</v>
      </c>
      <c r="C13" s="218"/>
      <c r="D13" s="221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7">
        <f t="shared" si="0"/>
        <v>0</v>
      </c>
    </row>
    <row r="14" spans="1:16" ht="15.75" thickBot="1" x14ac:dyDescent="0.3">
      <c r="A14" s="220">
        <v>1000017</v>
      </c>
      <c r="B14" s="12" t="s">
        <v>14</v>
      </c>
      <c r="C14" s="218"/>
      <c r="D14" s="221"/>
      <c r="F14" s="386"/>
      <c r="G14" s="386"/>
      <c r="H14" s="386"/>
      <c r="I14" s="386"/>
      <c r="J14" s="386">
        <v>5</v>
      </c>
      <c r="K14" s="386"/>
      <c r="L14" s="386"/>
      <c r="M14" s="386"/>
      <c r="N14" s="386"/>
      <c r="O14" s="386"/>
      <c r="P14" s="625">
        <f t="shared" si="0"/>
        <v>5</v>
      </c>
    </row>
    <row r="15" spans="1:16" ht="15.75" thickBot="1" x14ac:dyDescent="0.3">
      <c r="A15" s="220">
        <v>1000016</v>
      </c>
      <c r="B15" s="12" t="s">
        <v>15</v>
      </c>
      <c r="C15" s="218"/>
      <c r="D15" s="221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7">
        <f t="shared" si="0"/>
        <v>0</v>
      </c>
    </row>
    <row r="16" spans="1:16" ht="15.75" thickBot="1" x14ac:dyDescent="0.3">
      <c r="A16" s="220">
        <v>1000041</v>
      </c>
      <c r="B16" s="12" t="s">
        <v>16</v>
      </c>
      <c r="C16" s="218"/>
      <c r="D16" s="221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7">
        <f t="shared" si="0"/>
        <v>0</v>
      </c>
    </row>
    <row r="17" spans="1:16" ht="15.75" thickBot="1" x14ac:dyDescent="0.3">
      <c r="A17" s="220">
        <v>1000049</v>
      </c>
      <c r="B17" s="12" t="s">
        <v>21</v>
      </c>
      <c r="C17" s="218"/>
      <c r="D17" s="221"/>
      <c r="F17" s="386"/>
      <c r="G17" s="386"/>
      <c r="H17" s="386"/>
      <c r="I17" s="386"/>
      <c r="J17" s="386"/>
      <c r="K17" s="386"/>
      <c r="L17" s="386"/>
      <c r="M17" s="386"/>
      <c r="N17" s="386"/>
      <c r="O17" s="386"/>
      <c r="P17" s="387">
        <f t="shared" si="0"/>
        <v>0</v>
      </c>
    </row>
    <row r="18" spans="1:16" ht="15.75" thickBot="1" x14ac:dyDescent="0.3">
      <c r="A18" s="220">
        <v>1000050</v>
      </c>
      <c r="B18" s="12" t="s">
        <v>22</v>
      </c>
      <c r="C18" s="218"/>
      <c r="D18" s="221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7">
        <f t="shared" si="0"/>
        <v>0</v>
      </c>
    </row>
    <row r="19" spans="1:16" ht="15.75" thickBot="1" x14ac:dyDescent="0.3">
      <c r="A19" s="220">
        <v>1000031</v>
      </c>
      <c r="B19" s="12" t="s">
        <v>25</v>
      </c>
      <c r="C19" s="218"/>
      <c r="D19" s="221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7">
        <f t="shared" si="0"/>
        <v>0</v>
      </c>
    </row>
    <row r="20" spans="1:16" ht="15.75" thickBot="1" x14ac:dyDescent="0.3">
      <c r="A20" s="220">
        <v>1000026</v>
      </c>
      <c r="B20" s="12" t="s">
        <v>31</v>
      </c>
      <c r="C20" s="218"/>
      <c r="D20" s="221"/>
      <c r="F20" s="386"/>
      <c r="G20" s="386"/>
      <c r="H20" s="386"/>
      <c r="I20" s="386"/>
      <c r="J20" s="386"/>
      <c r="K20" s="386"/>
      <c r="L20" s="386"/>
      <c r="M20" s="386"/>
      <c r="N20" s="386"/>
      <c r="O20" s="386"/>
      <c r="P20" s="387">
        <f t="shared" si="0"/>
        <v>0</v>
      </c>
    </row>
    <row r="21" spans="1:16" ht="15.75" thickBot="1" x14ac:dyDescent="0.3">
      <c r="A21" s="220">
        <v>1000025</v>
      </c>
      <c r="B21" s="12" t="s">
        <v>32</v>
      </c>
      <c r="C21" s="218"/>
      <c r="D21" s="221"/>
      <c r="F21" s="386"/>
      <c r="G21" s="386"/>
      <c r="H21" s="386"/>
      <c r="I21" s="386"/>
      <c r="J21" s="386"/>
      <c r="K21" s="386"/>
      <c r="L21" s="386"/>
      <c r="M21" s="386"/>
      <c r="N21" s="386"/>
      <c r="O21" s="386"/>
      <c r="P21" s="387">
        <f t="shared" si="0"/>
        <v>0</v>
      </c>
    </row>
    <row r="22" spans="1:16" ht="15.75" thickBot="1" x14ac:dyDescent="0.3">
      <c r="A22" s="220">
        <v>1000100</v>
      </c>
      <c r="B22" s="12" t="s">
        <v>34</v>
      </c>
      <c r="C22" s="218"/>
      <c r="D22" s="221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7">
        <f t="shared" si="0"/>
        <v>0</v>
      </c>
    </row>
    <row r="23" spans="1:16" ht="15.75" thickBot="1" x14ac:dyDescent="0.3">
      <c r="A23" s="220">
        <v>1000073</v>
      </c>
      <c r="B23" s="12" t="s">
        <v>36</v>
      </c>
      <c r="C23" s="218"/>
      <c r="D23" s="221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7">
        <f t="shared" si="0"/>
        <v>0</v>
      </c>
    </row>
    <row r="24" spans="1:16" ht="15.75" thickBot="1" x14ac:dyDescent="0.3">
      <c r="A24" s="220">
        <v>1000146</v>
      </c>
      <c r="B24" s="12" t="s">
        <v>39</v>
      </c>
      <c r="C24" s="218"/>
      <c r="D24" s="221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7">
        <f t="shared" si="0"/>
        <v>0</v>
      </c>
    </row>
    <row r="25" spans="1:16" ht="15.75" thickBot="1" x14ac:dyDescent="0.3">
      <c r="A25" s="220">
        <v>10248</v>
      </c>
      <c r="B25" s="12" t="s">
        <v>183</v>
      </c>
      <c r="C25" s="218"/>
      <c r="D25" s="221"/>
      <c r="F25" s="386"/>
      <c r="G25" s="386"/>
      <c r="H25" s="386"/>
      <c r="I25" s="386"/>
      <c r="J25" s="386"/>
      <c r="K25" s="386"/>
      <c r="L25" s="386"/>
      <c r="M25" s="386"/>
      <c r="N25" s="386"/>
      <c r="O25" s="386"/>
      <c r="P25" s="387">
        <f t="shared" si="0"/>
        <v>0</v>
      </c>
    </row>
    <row r="26" spans="1:16" ht="15.75" thickBot="1" x14ac:dyDescent="0.3">
      <c r="A26" s="220">
        <v>1000052</v>
      </c>
      <c r="B26" s="12" t="s">
        <v>41</v>
      </c>
      <c r="C26" s="218"/>
      <c r="D26" s="221"/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7">
        <f t="shared" si="0"/>
        <v>0</v>
      </c>
    </row>
    <row r="27" spans="1:16" ht="15.75" thickBot="1" x14ac:dyDescent="0.3">
      <c r="A27" s="220">
        <v>1000089</v>
      </c>
      <c r="B27" s="12" t="s">
        <v>42</v>
      </c>
      <c r="C27" s="218"/>
      <c r="D27" s="221"/>
      <c r="F27" s="386"/>
      <c r="G27" s="386"/>
      <c r="H27" s="386"/>
      <c r="I27" s="386"/>
      <c r="J27" s="386"/>
      <c r="K27" s="386"/>
      <c r="L27" s="386"/>
      <c r="M27" s="386"/>
      <c r="N27" s="386"/>
      <c r="O27" s="386"/>
      <c r="P27" s="387">
        <f t="shared" si="0"/>
        <v>0</v>
      </c>
    </row>
    <row r="28" spans="1:16" ht="15.75" thickBot="1" x14ac:dyDescent="0.3">
      <c r="A28" s="220">
        <v>1000051</v>
      </c>
      <c r="B28" s="12" t="s">
        <v>43</v>
      </c>
      <c r="C28" s="218"/>
      <c r="D28" s="221"/>
      <c r="F28" s="386"/>
      <c r="G28" s="386"/>
      <c r="H28" s="386"/>
      <c r="I28" s="386"/>
      <c r="J28" s="386"/>
      <c r="K28" s="386"/>
      <c r="L28" s="386"/>
      <c r="M28" s="386"/>
      <c r="N28" s="386"/>
      <c r="O28" s="386"/>
      <c r="P28" s="387">
        <f t="shared" si="0"/>
        <v>0</v>
      </c>
    </row>
    <row r="29" spans="1:16" ht="15.75" thickBot="1" x14ac:dyDescent="0.3">
      <c r="A29" s="220">
        <v>1000048</v>
      </c>
      <c r="B29" s="12" t="s">
        <v>45</v>
      </c>
      <c r="C29" s="218"/>
      <c r="D29" s="221"/>
      <c r="F29" s="386"/>
      <c r="G29" s="386"/>
      <c r="H29" s="386"/>
      <c r="I29" s="386"/>
      <c r="J29" s="386"/>
      <c r="K29" s="386"/>
      <c r="L29" s="386"/>
      <c r="M29" s="386"/>
      <c r="N29" s="386"/>
      <c r="O29" s="386"/>
      <c r="P29" s="387">
        <f t="shared" si="0"/>
        <v>0</v>
      </c>
    </row>
    <row r="30" spans="1:16" ht="15.75" thickBot="1" x14ac:dyDescent="0.3">
      <c r="A30" s="220">
        <v>1000076</v>
      </c>
      <c r="B30" s="12" t="s">
        <v>46</v>
      </c>
      <c r="C30" s="218"/>
      <c r="D30" s="221"/>
      <c r="F30" s="386"/>
      <c r="G30" s="386"/>
      <c r="H30" s="386"/>
      <c r="I30" s="386"/>
      <c r="J30" s="386"/>
      <c r="K30" s="386"/>
      <c r="L30" s="386"/>
      <c r="M30" s="386"/>
      <c r="N30" s="386"/>
      <c r="O30" s="386"/>
      <c r="P30" s="387">
        <f t="shared" si="0"/>
        <v>0</v>
      </c>
    </row>
    <row r="31" spans="1:16" ht="15.75" thickBot="1" x14ac:dyDescent="0.3">
      <c r="A31" s="220">
        <v>1000142</v>
      </c>
      <c r="B31" s="12" t="s">
        <v>54</v>
      </c>
      <c r="C31" s="218"/>
      <c r="D31" s="221"/>
      <c r="F31" s="386"/>
      <c r="G31" s="386"/>
      <c r="H31" s="386"/>
      <c r="I31" s="386"/>
      <c r="J31" s="386"/>
      <c r="K31" s="386"/>
      <c r="L31" s="386"/>
      <c r="M31" s="386"/>
      <c r="N31" s="386"/>
      <c r="O31" s="386"/>
      <c r="P31" s="387">
        <f t="shared" si="0"/>
        <v>0</v>
      </c>
    </row>
    <row r="32" spans="1:16" ht="15.75" thickBot="1" x14ac:dyDescent="0.3">
      <c r="A32" s="220">
        <v>1000008</v>
      </c>
      <c r="B32" s="12" t="s">
        <v>7</v>
      </c>
      <c r="C32" s="218"/>
      <c r="D32" s="221"/>
      <c r="F32" s="386"/>
      <c r="G32" s="386"/>
      <c r="H32" s="386"/>
      <c r="I32" s="386"/>
      <c r="J32" s="386"/>
      <c r="K32" s="386"/>
      <c r="L32" s="386"/>
      <c r="M32" s="386"/>
      <c r="N32" s="386"/>
      <c r="O32" s="386"/>
      <c r="P32" s="387">
        <f t="shared" si="0"/>
        <v>0</v>
      </c>
    </row>
    <row r="33" spans="1:16" ht="15.75" thickBot="1" x14ac:dyDescent="0.3">
      <c r="A33" s="220">
        <v>1000082</v>
      </c>
      <c r="B33" s="12" t="s">
        <v>37</v>
      </c>
      <c r="C33" s="218"/>
      <c r="D33" s="221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7">
        <f t="shared" si="0"/>
        <v>0</v>
      </c>
    </row>
    <row r="34" spans="1:16" s="15" customFormat="1" ht="15.95" customHeight="1" thickBot="1" x14ac:dyDescent="0.3">
      <c r="A34" s="220">
        <v>1000084</v>
      </c>
      <c r="B34" s="12" t="s">
        <v>38</v>
      </c>
      <c r="C34" s="218"/>
      <c r="D34" s="221"/>
      <c r="E34" s="216"/>
      <c r="F34" s="386"/>
      <c r="G34" s="386"/>
      <c r="H34" s="386"/>
      <c r="I34" s="386"/>
      <c r="J34" s="386">
        <v>4</v>
      </c>
      <c r="K34" s="386"/>
      <c r="L34" s="386"/>
      <c r="M34" s="386"/>
      <c r="N34" s="386"/>
      <c r="O34" s="386"/>
      <c r="P34" s="625">
        <f t="shared" si="0"/>
        <v>4</v>
      </c>
    </row>
    <row r="35" spans="1:16" ht="15.75" thickBot="1" x14ac:dyDescent="0.3">
      <c r="A35" s="220">
        <v>1000033</v>
      </c>
      <c r="B35" s="12" t="s">
        <v>27</v>
      </c>
      <c r="C35" s="218"/>
      <c r="D35" s="221"/>
      <c r="F35" s="386"/>
      <c r="G35" s="386"/>
      <c r="H35" s="386"/>
      <c r="I35" s="386"/>
      <c r="J35" s="386"/>
      <c r="K35" s="386"/>
      <c r="L35" s="386"/>
      <c r="M35" s="386"/>
      <c r="N35" s="386"/>
      <c r="O35" s="386"/>
      <c r="P35" s="387">
        <f t="shared" si="0"/>
        <v>0</v>
      </c>
    </row>
    <row r="36" spans="1:16" ht="15.75" thickBot="1" x14ac:dyDescent="0.3">
      <c r="A36" s="220">
        <v>1000067</v>
      </c>
      <c r="B36" s="12" t="s">
        <v>11</v>
      </c>
      <c r="C36" s="218"/>
      <c r="D36" s="221"/>
      <c r="F36" s="386"/>
      <c r="G36" s="386"/>
      <c r="H36" s="386"/>
      <c r="I36" s="386"/>
      <c r="J36" s="386"/>
      <c r="K36" s="386"/>
      <c r="L36" s="386"/>
      <c r="M36" s="386"/>
      <c r="N36" s="386"/>
      <c r="O36" s="386"/>
      <c r="P36" s="387">
        <f t="shared" si="0"/>
        <v>0</v>
      </c>
    </row>
    <row r="37" spans="1:16" ht="15.75" thickBot="1" x14ac:dyDescent="0.3">
      <c r="A37" s="220">
        <v>1000147</v>
      </c>
      <c r="B37" s="12" t="s">
        <v>52</v>
      </c>
      <c r="C37" s="218"/>
      <c r="D37" s="221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7">
        <f t="shared" si="0"/>
        <v>0</v>
      </c>
    </row>
    <row r="38" spans="1:16" ht="15.75" thickBot="1" x14ac:dyDescent="0.3">
      <c r="A38" s="220">
        <v>1000004</v>
      </c>
      <c r="B38" s="12" t="s">
        <v>10</v>
      </c>
      <c r="C38" s="218"/>
      <c r="D38" s="221"/>
      <c r="F38" s="386"/>
      <c r="G38" s="386"/>
      <c r="H38" s="386"/>
      <c r="I38" s="386"/>
      <c r="J38" s="386"/>
      <c r="K38" s="386"/>
      <c r="L38" s="386"/>
      <c r="M38" s="386"/>
      <c r="N38" s="386"/>
      <c r="O38" s="386"/>
      <c r="P38" s="387">
        <f t="shared" si="0"/>
        <v>0</v>
      </c>
    </row>
    <row r="39" spans="1:16" ht="15.75" thickBot="1" x14ac:dyDescent="0.3">
      <c r="A39" s="220">
        <v>1000027</v>
      </c>
      <c r="B39" s="12" t="s">
        <v>33</v>
      </c>
      <c r="C39" s="218"/>
      <c r="D39" s="221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7">
        <f t="shared" si="0"/>
        <v>0</v>
      </c>
    </row>
    <row r="40" spans="1:16" ht="15.75" thickBot="1" x14ac:dyDescent="0.3">
      <c r="A40" s="220">
        <v>1000034</v>
      </c>
      <c r="B40" s="12" t="s">
        <v>28</v>
      </c>
      <c r="C40" s="218"/>
      <c r="D40" s="221"/>
      <c r="F40" s="386"/>
      <c r="G40" s="386"/>
      <c r="H40" s="386"/>
      <c r="I40" s="386"/>
      <c r="J40" s="386"/>
      <c r="K40" s="386"/>
      <c r="L40" s="386"/>
      <c r="M40" s="386"/>
      <c r="N40" s="386"/>
      <c r="O40" s="386"/>
      <c r="P40" s="387">
        <f t="shared" si="0"/>
        <v>0</v>
      </c>
    </row>
    <row r="41" spans="1:16" ht="15.75" thickBot="1" x14ac:dyDescent="0.3">
      <c r="A41" s="220">
        <v>1000045</v>
      </c>
      <c r="B41" s="12" t="s">
        <v>23</v>
      </c>
      <c r="C41" s="218"/>
      <c r="D41" s="221"/>
      <c r="F41" s="386"/>
      <c r="G41" s="386"/>
      <c r="H41" s="386"/>
      <c r="I41" s="386"/>
      <c r="J41" s="386"/>
      <c r="K41" s="386"/>
      <c r="L41" s="386"/>
      <c r="M41" s="386"/>
      <c r="N41" s="386"/>
      <c r="O41" s="386"/>
      <c r="P41" s="387">
        <f t="shared" si="0"/>
        <v>0</v>
      </c>
    </row>
    <row r="42" spans="1:16" ht="15.75" thickBot="1" x14ac:dyDescent="0.3">
      <c r="A42" s="220">
        <v>1000383</v>
      </c>
      <c r="B42" s="12" t="s">
        <v>264</v>
      </c>
      <c r="C42" s="218"/>
      <c r="D42" s="221"/>
      <c r="F42" s="386"/>
      <c r="G42" s="386"/>
      <c r="H42" s="386"/>
      <c r="I42" s="386"/>
      <c r="J42" s="386"/>
      <c r="K42" s="386"/>
      <c r="L42" s="386"/>
      <c r="M42" s="386"/>
      <c r="N42" s="386"/>
      <c r="O42" s="386"/>
      <c r="P42" s="387">
        <f t="shared" si="0"/>
        <v>0</v>
      </c>
    </row>
    <row r="43" spans="1:16" ht="15.75" thickBot="1" x14ac:dyDescent="0.3">
      <c r="A43" s="220">
        <v>1000010</v>
      </c>
      <c r="B43" s="12" t="s">
        <v>17</v>
      </c>
      <c r="C43" s="218"/>
      <c r="D43" s="221"/>
      <c r="F43" s="386"/>
      <c r="G43" s="386"/>
      <c r="H43" s="386"/>
      <c r="I43" s="386"/>
      <c r="J43" s="386">
        <v>1</v>
      </c>
      <c r="K43" s="386"/>
      <c r="L43" s="386"/>
      <c r="M43" s="386"/>
      <c r="N43" s="386"/>
      <c r="O43" s="386"/>
      <c r="P43" s="625">
        <f t="shared" si="0"/>
        <v>1</v>
      </c>
    </row>
    <row r="44" spans="1:16" ht="15.75" thickBot="1" x14ac:dyDescent="0.3">
      <c r="A44" s="220">
        <v>1000029</v>
      </c>
      <c r="B44" s="12" t="s">
        <v>30</v>
      </c>
      <c r="C44" s="218"/>
      <c r="D44" s="221"/>
      <c r="F44" s="386"/>
      <c r="G44" s="386"/>
      <c r="H44" s="386"/>
      <c r="I44" s="386"/>
      <c r="J44" s="386"/>
      <c r="K44" s="386"/>
      <c r="L44" s="386"/>
      <c r="M44" s="386"/>
      <c r="N44" s="386"/>
      <c r="O44" s="386"/>
      <c r="P44" s="387">
        <f t="shared" si="0"/>
        <v>0</v>
      </c>
    </row>
    <row r="45" spans="1:16" ht="15.75" thickBot="1" x14ac:dyDescent="0.3">
      <c r="A45" s="220">
        <v>1000075</v>
      </c>
      <c r="B45" s="12" t="s">
        <v>47</v>
      </c>
      <c r="C45" s="218"/>
      <c r="D45" s="221"/>
      <c r="F45" s="386"/>
      <c r="G45" s="386"/>
      <c r="H45" s="386"/>
      <c r="I45" s="386"/>
      <c r="J45" s="386"/>
      <c r="K45" s="386"/>
      <c r="L45" s="386"/>
      <c r="M45" s="386"/>
      <c r="N45" s="386"/>
      <c r="O45" s="386"/>
      <c r="P45" s="387">
        <f t="shared" si="0"/>
        <v>0</v>
      </c>
    </row>
    <row r="46" spans="1:16" ht="15.75" thickBot="1" x14ac:dyDescent="0.3">
      <c r="A46" s="220">
        <v>1000057</v>
      </c>
      <c r="B46" s="12" t="s">
        <v>70</v>
      </c>
      <c r="C46" s="218"/>
      <c r="D46" s="221"/>
      <c r="F46" s="386"/>
      <c r="G46" s="386"/>
      <c r="H46" s="386"/>
      <c r="I46" s="386"/>
      <c r="J46" s="386">
        <v>1</v>
      </c>
      <c r="K46" s="386"/>
      <c r="L46" s="386"/>
      <c r="M46" s="386"/>
      <c r="N46" s="386"/>
      <c r="O46" s="386"/>
      <c r="P46" s="625">
        <f t="shared" si="0"/>
        <v>1</v>
      </c>
    </row>
    <row r="47" spans="1:16" ht="15.75" thickBot="1" x14ac:dyDescent="0.3">
      <c r="A47" s="220">
        <v>1000080</v>
      </c>
      <c r="B47" s="12" t="s">
        <v>275</v>
      </c>
      <c r="C47" s="218"/>
      <c r="D47" s="221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7">
        <f t="shared" si="0"/>
        <v>0</v>
      </c>
    </row>
    <row r="48" spans="1:16" ht="15.75" thickBot="1" x14ac:dyDescent="0.3">
      <c r="A48" s="220">
        <v>1000436</v>
      </c>
      <c r="B48" s="12" t="s">
        <v>276</v>
      </c>
      <c r="C48" s="218"/>
      <c r="D48" s="221"/>
      <c r="F48" s="386"/>
      <c r="G48" s="386"/>
      <c r="H48" s="386"/>
      <c r="I48" s="386"/>
      <c r="J48" s="386"/>
      <c r="K48" s="386"/>
      <c r="L48" s="386"/>
      <c r="M48" s="386"/>
      <c r="N48" s="386"/>
      <c r="O48" s="386"/>
      <c r="P48" s="387">
        <f t="shared" si="0"/>
        <v>0</v>
      </c>
    </row>
    <row r="49" spans="1:17" ht="15.75" thickBot="1" x14ac:dyDescent="0.3">
      <c r="A49" s="220">
        <v>1000550</v>
      </c>
      <c r="B49" s="12" t="s">
        <v>277</v>
      </c>
      <c r="C49" s="218"/>
      <c r="D49" s="221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87">
        <f t="shared" si="0"/>
        <v>0</v>
      </c>
    </row>
    <row r="50" spans="1:17" ht="16.5" thickBot="1" x14ac:dyDescent="0.3">
      <c r="A50" s="36">
        <v>1000551</v>
      </c>
      <c r="B50" s="12" t="s">
        <v>278</v>
      </c>
      <c r="C50"/>
      <c r="D50" s="35"/>
      <c r="E50" s="215"/>
      <c r="F50" s="386"/>
      <c r="G50" s="386"/>
      <c r="H50" s="386"/>
      <c r="I50" s="386"/>
      <c r="J50" s="386"/>
      <c r="K50" s="386"/>
      <c r="L50" s="386"/>
      <c r="M50" s="386"/>
      <c r="N50" s="386"/>
      <c r="O50" s="386"/>
      <c r="P50" s="387">
        <f t="shared" si="0"/>
        <v>0</v>
      </c>
    </row>
    <row r="51" spans="1:17" ht="16.5" thickBot="1" x14ac:dyDescent="0.3">
      <c r="A51" s="207">
        <v>1000552</v>
      </c>
      <c r="B51" s="246" t="s">
        <v>279</v>
      </c>
      <c r="C51"/>
      <c r="D51" s="38"/>
      <c r="E51" s="215"/>
      <c r="F51" s="386"/>
      <c r="G51" s="386"/>
      <c r="H51" s="386"/>
      <c r="I51" s="386"/>
      <c r="J51" s="386"/>
      <c r="K51" s="386"/>
      <c r="L51" s="386"/>
      <c r="M51" s="386"/>
      <c r="N51" s="386"/>
      <c r="O51" s="386"/>
      <c r="P51" s="387">
        <f t="shared" si="0"/>
        <v>0</v>
      </c>
    </row>
    <row r="52" spans="1:17" ht="15.75" x14ac:dyDescent="0.25">
      <c r="Q52"/>
    </row>
  </sheetData>
  <mergeCells count="4">
    <mergeCell ref="D1:D2"/>
    <mergeCell ref="A1:B2"/>
    <mergeCell ref="F1:J2"/>
    <mergeCell ref="A3:B3"/>
  </mergeCells>
  <pageMargins left="0.7" right="0.7" top="0.75" bottom="0.75" header="0.3" footer="0.3"/>
  <pageSetup paperSize="9"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6C40-AF78-4A7C-A0BF-298393F411B4}">
  <sheetPr>
    <tabColor rgb="FFFF0000"/>
    <pageSetUpPr fitToPage="1"/>
  </sheetPr>
  <dimension ref="A1:Q52"/>
  <sheetViews>
    <sheetView topLeftCell="A22" zoomScale="90" zoomScaleNormal="90" workbookViewId="0">
      <selection activeCell="P47" sqref="P47:P48"/>
    </sheetView>
  </sheetViews>
  <sheetFormatPr baseColWidth="10" defaultColWidth="10.875" defaultRowHeight="15" x14ac:dyDescent="0.25"/>
  <cols>
    <col min="1" max="1" width="10.375" style="308" customWidth="1"/>
    <col min="2" max="2" width="39.375" style="308" customWidth="1"/>
    <col min="3" max="3" width="1.375" style="308" customWidth="1"/>
    <col min="4" max="4" width="8.125" style="308" bestFit="1" customWidth="1"/>
    <col min="5" max="5" width="2.125" style="308" customWidth="1"/>
    <col min="6" max="6" width="6.5" style="324" bestFit="1" customWidth="1"/>
    <col min="7" max="7" width="4.125" style="324" bestFit="1" customWidth="1"/>
    <col min="8" max="8" width="6.5" style="324" bestFit="1" customWidth="1"/>
    <col min="9" max="9" width="4.5" style="324" customWidth="1"/>
    <col min="10" max="10" width="8.125" style="324" customWidth="1"/>
    <col min="11" max="11" width="4.125" style="324" bestFit="1" customWidth="1"/>
    <col min="12" max="12" width="7.125" style="324" customWidth="1"/>
    <col min="13" max="13" width="4.125" style="324" bestFit="1" customWidth="1"/>
    <col min="14" max="14" width="6.5" style="324" customWidth="1"/>
    <col min="15" max="15" width="4.125" style="324" bestFit="1" customWidth="1"/>
    <col min="16" max="16" width="5.25" style="324" bestFit="1" customWidth="1"/>
    <col min="17" max="18" width="12.5" style="308" bestFit="1" customWidth="1"/>
    <col min="19" max="19" width="9.625" style="308" bestFit="1" customWidth="1"/>
    <col min="20" max="16384" width="10.875" style="308"/>
  </cols>
  <sheetData>
    <row r="1" spans="1:16" ht="15" customHeight="1" x14ac:dyDescent="0.25">
      <c r="A1" s="686" t="s">
        <v>249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  <c r="L1" s="383"/>
      <c r="M1" s="383"/>
    </row>
    <row r="2" spans="1:16" s="3" customFormat="1" ht="16.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L2" s="383"/>
      <c r="M2" s="383"/>
      <c r="N2" s="325"/>
      <c r="O2" s="325"/>
      <c r="P2" s="325"/>
    </row>
    <row r="3" spans="1:16" s="3" customFormat="1" ht="29.25" thickBot="1" x14ac:dyDescent="0.3">
      <c r="A3" s="698" t="s">
        <v>302</v>
      </c>
      <c r="B3" s="698"/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7.5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308"/>
      <c r="F5" s="372" t="s">
        <v>292</v>
      </c>
      <c r="G5" s="373" t="s">
        <v>288</v>
      </c>
      <c r="H5" s="372" t="s">
        <v>293</v>
      </c>
      <c r="I5" s="373" t="s">
        <v>288</v>
      </c>
      <c r="J5" s="372" t="s">
        <v>285</v>
      </c>
      <c r="K5" s="373" t="s">
        <v>288</v>
      </c>
      <c r="L5" s="372" t="s">
        <v>294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6" ht="15.75" thickBot="1" x14ac:dyDescent="0.3">
      <c r="A6" s="312">
        <v>10000015</v>
      </c>
      <c r="B6" s="310" t="s">
        <v>1</v>
      </c>
      <c r="C6" s="323"/>
      <c r="D6" s="332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6">
        <f t="shared" ref="P6:P52" si="0">SUM(F6:O6)</f>
        <v>0</v>
      </c>
    </row>
    <row r="7" spans="1:16" ht="15.75" thickBot="1" x14ac:dyDescent="0.3">
      <c r="A7" s="316">
        <v>10000102</v>
      </c>
      <c r="B7" s="314" t="s">
        <v>2</v>
      </c>
      <c r="C7" s="323"/>
      <c r="D7" s="333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6">
        <f t="shared" si="0"/>
        <v>0</v>
      </c>
    </row>
    <row r="8" spans="1:16" ht="15.75" thickBot="1" x14ac:dyDescent="0.3">
      <c r="A8" s="316">
        <v>1000006</v>
      </c>
      <c r="B8" s="314" t="s">
        <v>4</v>
      </c>
      <c r="C8" s="323"/>
      <c r="D8" s="333"/>
      <c r="F8" s="329">
        <v>150</v>
      </c>
      <c r="G8" s="329"/>
      <c r="H8" s="329"/>
      <c r="I8" s="329"/>
      <c r="J8" s="329">
        <v>150</v>
      </c>
      <c r="K8" s="329"/>
      <c r="L8" s="329"/>
      <c r="M8" s="329"/>
      <c r="N8" s="329">
        <v>100</v>
      </c>
      <c r="O8" s="329"/>
      <c r="P8" s="371">
        <f t="shared" si="0"/>
        <v>400</v>
      </c>
    </row>
    <row r="9" spans="1:16" ht="15.75" thickBot="1" x14ac:dyDescent="0.3">
      <c r="A9" s="316">
        <v>1000007</v>
      </c>
      <c r="B9" s="314" t="s">
        <v>5</v>
      </c>
      <c r="C9" s="323"/>
      <c r="D9" s="333"/>
      <c r="F9" s="329">
        <v>50</v>
      </c>
      <c r="G9" s="329"/>
      <c r="H9" s="329"/>
      <c r="I9" s="329"/>
      <c r="J9" s="329">
        <v>100</v>
      </c>
      <c r="K9" s="329"/>
      <c r="L9" s="329"/>
      <c r="M9" s="329"/>
      <c r="N9" s="329">
        <v>100</v>
      </c>
      <c r="O9" s="329"/>
      <c r="P9" s="371">
        <f t="shared" si="0"/>
        <v>250</v>
      </c>
    </row>
    <row r="10" spans="1:16" ht="15.75" thickBot="1" x14ac:dyDescent="0.3">
      <c r="A10" s="316">
        <v>1000001</v>
      </c>
      <c r="B10" s="314" t="s">
        <v>8</v>
      </c>
      <c r="C10" s="323"/>
      <c r="D10" s="333"/>
      <c r="F10" s="329">
        <v>4</v>
      </c>
      <c r="G10" s="329"/>
      <c r="H10" s="329"/>
      <c r="I10" s="329"/>
      <c r="J10" s="329">
        <v>4</v>
      </c>
      <c r="K10" s="329"/>
      <c r="L10" s="329"/>
      <c r="M10" s="329"/>
      <c r="N10" s="329">
        <v>2</v>
      </c>
      <c r="O10" s="329"/>
      <c r="P10" s="371">
        <f t="shared" si="0"/>
        <v>10</v>
      </c>
    </row>
    <row r="11" spans="1:16" ht="15.75" thickBot="1" x14ac:dyDescent="0.3">
      <c r="A11" s="316">
        <v>1000002</v>
      </c>
      <c r="B11" s="314" t="s">
        <v>9</v>
      </c>
      <c r="C11" s="323"/>
      <c r="D11" s="333"/>
      <c r="F11" s="329">
        <v>2</v>
      </c>
      <c r="G11" s="329"/>
      <c r="H11" s="329"/>
      <c r="I11" s="329"/>
      <c r="J11" s="329">
        <v>2</v>
      </c>
      <c r="K11" s="329"/>
      <c r="L11" s="329"/>
      <c r="M11" s="329"/>
      <c r="N11" s="329">
        <v>10</v>
      </c>
      <c r="O11" s="329"/>
      <c r="P11" s="371">
        <f t="shared" si="0"/>
        <v>14</v>
      </c>
    </row>
    <row r="12" spans="1:16" ht="15.75" thickBot="1" x14ac:dyDescent="0.3">
      <c r="A12" s="316">
        <v>1000054</v>
      </c>
      <c r="B12" s="314" t="s">
        <v>12</v>
      </c>
      <c r="C12" s="323"/>
      <c r="D12" s="333"/>
      <c r="F12" s="329">
        <v>20</v>
      </c>
      <c r="G12" s="329"/>
      <c r="H12" s="329"/>
      <c r="I12" s="329"/>
      <c r="J12" s="329">
        <v>10</v>
      </c>
      <c r="K12" s="329"/>
      <c r="L12" s="329"/>
      <c r="M12" s="329"/>
      <c r="N12" s="329">
        <v>10</v>
      </c>
      <c r="O12" s="329"/>
      <c r="P12" s="371">
        <f t="shared" si="0"/>
        <v>40</v>
      </c>
    </row>
    <row r="13" spans="1:16" ht="15.75" thickBot="1" x14ac:dyDescent="0.3">
      <c r="A13" s="374">
        <v>1000070</v>
      </c>
      <c r="B13" s="365" t="s">
        <v>13</v>
      </c>
      <c r="C13" s="323"/>
      <c r="D13" s="333"/>
      <c r="F13" s="329">
        <v>1</v>
      </c>
      <c r="G13" s="329"/>
      <c r="H13" s="329"/>
      <c r="I13" s="329"/>
      <c r="J13" s="329"/>
      <c r="K13" s="329"/>
      <c r="L13" s="329"/>
      <c r="M13" s="329"/>
      <c r="N13" s="329">
        <v>1</v>
      </c>
      <c r="O13" s="329"/>
      <c r="P13" s="371">
        <f t="shared" si="0"/>
        <v>2</v>
      </c>
    </row>
    <row r="14" spans="1:16" ht="15.75" thickBot="1" x14ac:dyDescent="0.3">
      <c r="A14" s="316">
        <v>1000017</v>
      </c>
      <c r="B14" s="314" t="s">
        <v>14</v>
      </c>
      <c r="C14" s="323"/>
      <c r="D14" s="333"/>
      <c r="F14" s="329">
        <v>20</v>
      </c>
      <c r="G14" s="329"/>
      <c r="H14" s="329"/>
      <c r="I14" s="329"/>
      <c r="J14" s="329">
        <v>20</v>
      </c>
      <c r="K14" s="329"/>
      <c r="L14" s="329"/>
      <c r="M14" s="329"/>
      <c r="N14" s="329">
        <v>20</v>
      </c>
      <c r="O14" s="329"/>
      <c r="P14" s="371">
        <f t="shared" si="0"/>
        <v>60</v>
      </c>
    </row>
    <row r="15" spans="1:16" ht="15.75" thickBot="1" x14ac:dyDescent="0.3">
      <c r="A15" s="316">
        <v>1000016</v>
      </c>
      <c r="B15" s="314" t="s">
        <v>15</v>
      </c>
      <c r="C15" s="323"/>
      <c r="D15" s="333"/>
      <c r="F15" s="329"/>
      <c r="G15" s="329"/>
      <c r="H15" s="329"/>
      <c r="I15" s="329"/>
      <c r="J15" s="329">
        <v>5</v>
      </c>
      <c r="K15" s="329"/>
      <c r="L15" s="329"/>
      <c r="M15" s="329"/>
      <c r="N15" s="329"/>
      <c r="O15" s="329"/>
      <c r="P15" s="371">
        <f t="shared" si="0"/>
        <v>5</v>
      </c>
    </row>
    <row r="16" spans="1:16" ht="15.75" thickBot="1" x14ac:dyDescent="0.3">
      <c r="A16" s="316">
        <v>1000041</v>
      </c>
      <c r="B16" s="314" t="s">
        <v>16</v>
      </c>
      <c r="C16" s="323"/>
      <c r="D16" s="333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6">
        <f t="shared" si="0"/>
        <v>0</v>
      </c>
    </row>
    <row r="17" spans="1:16" ht="15.75" thickBot="1" x14ac:dyDescent="0.3">
      <c r="A17" s="316">
        <v>1000049</v>
      </c>
      <c r="B17" s="314" t="s">
        <v>21</v>
      </c>
      <c r="C17" s="323"/>
      <c r="D17" s="333"/>
      <c r="F17" s="329">
        <v>3</v>
      </c>
      <c r="G17" s="329"/>
      <c r="H17" s="329"/>
      <c r="I17" s="329"/>
      <c r="J17" s="329"/>
      <c r="K17" s="329"/>
      <c r="L17" s="329"/>
      <c r="M17" s="329"/>
      <c r="N17" s="329"/>
      <c r="O17" s="329"/>
      <c r="P17" s="371">
        <f t="shared" si="0"/>
        <v>3</v>
      </c>
    </row>
    <row r="18" spans="1:16" ht="15.75" thickBot="1" x14ac:dyDescent="0.3">
      <c r="A18" s="316">
        <v>1000050</v>
      </c>
      <c r="B18" s="314" t="s">
        <v>22</v>
      </c>
      <c r="C18" s="323"/>
      <c r="D18" s="333"/>
      <c r="F18" s="329">
        <v>3</v>
      </c>
      <c r="G18" s="329"/>
      <c r="H18" s="329"/>
      <c r="I18" s="329"/>
      <c r="J18" s="329"/>
      <c r="K18" s="329"/>
      <c r="L18" s="329"/>
      <c r="M18" s="329"/>
      <c r="N18" s="329">
        <v>3</v>
      </c>
      <c r="O18" s="329"/>
      <c r="P18" s="371">
        <f t="shared" si="0"/>
        <v>6</v>
      </c>
    </row>
    <row r="19" spans="1:16" ht="15.75" thickBot="1" x14ac:dyDescent="0.3">
      <c r="A19" s="316">
        <v>1000031</v>
      </c>
      <c r="B19" s="314" t="s">
        <v>25</v>
      </c>
      <c r="C19" s="323"/>
      <c r="D19" s="333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6">
        <f t="shared" si="0"/>
        <v>0</v>
      </c>
    </row>
    <row r="20" spans="1:16" ht="15.75" thickBot="1" x14ac:dyDescent="0.3">
      <c r="A20" s="316">
        <v>1000026</v>
      </c>
      <c r="B20" s="314" t="s">
        <v>31</v>
      </c>
      <c r="C20" s="323"/>
      <c r="D20" s="333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6">
        <f t="shared" si="0"/>
        <v>0</v>
      </c>
    </row>
    <row r="21" spans="1:16" ht="15.75" thickBot="1" x14ac:dyDescent="0.3">
      <c r="A21" s="316">
        <v>1000025</v>
      </c>
      <c r="B21" s="314" t="s">
        <v>32</v>
      </c>
      <c r="C21" s="323"/>
      <c r="D21" s="333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6">
        <f t="shared" si="0"/>
        <v>0</v>
      </c>
    </row>
    <row r="22" spans="1:16" ht="15.75" thickBot="1" x14ac:dyDescent="0.3">
      <c r="A22" s="316">
        <v>1000100</v>
      </c>
      <c r="B22" s="314" t="s">
        <v>34</v>
      </c>
      <c r="C22" s="323"/>
      <c r="D22" s="333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6">
        <f t="shared" si="0"/>
        <v>0</v>
      </c>
    </row>
    <row r="23" spans="1:16" ht="15.75" thickBot="1" x14ac:dyDescent="0.3">
      <c r="A23" s="316">
        <v>1000073</v>
      </c>
      <c r="B23" s="314" t="s">
        <v>36</v>
      </c>
      <c r="C23" s="323"/>
      <c r="D23" s="333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6">
        <f t="shared" si="0"/>
        <v>0</v>
      </c>
    </row>
    <row r="24" spans="1:16" ht="15.75" thickBot="1" x14ac:dyDescent="0.3">
      <c r="A24" s="316">
        <v>1000146</v>
      </c>
      <c r="B24" s="314" t="s">
        <v>39</v>
      </c>
      <c r="C24" s="323"/>
      <c r="D24" s="333"/>
      <c r="F24" s="329">
        <v>20</v>
      </c>
      <c r="G24" s="329"/>
      <c r="H24" s="329"/>
      <c r="I24" s="329"/>
      <c r="J24" s="329">
        <v>20</v>
      </c>
      <c r="K24" s="329"/>
      <c r="L24" s="329"/>
      <c r="M24" s="329"/>
      <c r="N24" s="329">
        <v>10</v>
      </c>
      <c r="O24" s="329"/>
      <c r="P24" s="371">
        <f t="shared" si="0"/>
        <v>50</v>
      </c>
    </row>
    <row r="25" spans="1:16" ht="15.75" thickBot="1" x14ac:dyDescent="0.3">
      <c r="A25" s="316">
        <v>10248</v>
      </c>
      <c r="B25" s="314" t="s">
        <v>183</v>
      </c>
      <c r="C25" s="323"/>
      <c r="D25" s="333"/>
      <c r="F25" s="329">
        <v>9</v>
      </c>
      <c r="G25" s="329"/>
      <c r="H25" s="329"/>
      <c r="I25" s="329"/>
      <c r="J25" s="329">
        <v>9</v>
      </c>
      <c r="K25" s="329"/>
      <c r="L25" s="329"/>
      <c r="M25" s="329"/>
      <c r="N25" s="329">
        <v>9</v>
      </c>
      <c r="O25" s="329"/>
      <c r="P25" s="371">
        <f t="shared" si="0"/>
        <v>27</v>
      </c>
    </row>
    <row r="26" spans="1:16" ht="15.75" thickBot="1" x14ac:dyDescent="0.3">
      <c r="A26" s="316">
        <v>1000052</v>
      </c>
      <c r="B26" s="314" t="s">
        <v>41</v>
      </c>
      <c r="C26" s="323"/>
      <c r="D26" s="333"/>
      <c r="F26" s="329">
        <v>3</v>
      </c>
      <c r="G26" s="329"/>
      <c r="H26" s="329"/>
      <c r="I26" s="329"/>
      <c r="J26" s="329"/>
      <c r="K26" s="329"/>
      <c r="L26" s="329"/>
      <c r="M26" s="329"/>
      <c r="N26" s="329"/>
      <c r="O26" s="329"/>
      <c r="P26" s="371">
        <f t="shared" si="0"/>
        <v>3</v>
      </c>
    </row>
    <row r="27" spans="1:16" ht="15.75" thickBot="1" x14ac:dyDescent="0.3">
      <c r="A27" s="316">
        <v>1000089</v>
      </c>
      <c r="B27" s="314" t="s">
        <v>42</v>
      </c>
      <c r="C27" s="323"/>
      <c r="D27" s="333"/>
      <c r="F27" s="329">
        <v>3</v>
      </c>
      <c r="G27" s="329"/>
      <c r="H27" s="329"/>
      <c r="I27" s="329"/>
      <c r="J27" s="329">
        <v>2</v>
      </c>
      <c r="K27" s="329"/>
      <c r="L27" s="329"/>
      <c r="M27" s="329"/>
      <c r="N27" s="329"/>
      <c r="O27" s="329"/>
      <c r="P27" s="371">
        <f t="shared" si="0"/>
        <v>5</v>
      </c>
    </row>
    <row r="28" spans="1:16" ht="15.75" thickBot="1" x14ac:dyDescent="0.3">
      <c r="A28" s="316">
        <v>1000051</v>
      </c>
      <c r="B28" s="314" t="s">
        <v>43</v>
      </c>
      <c r="C28" s="323"/>
      <c r="D28" s="333"/>
      <c r="F28" s="329">
        <v>3</v>
      </c>
      <c r="G28" s="329"/>
      <c r="H28" s="329"/>
      <c r="I28" s="329"/>
      <c r="J28" s="329">
        <v>2</v>
      </c>
      <c r="K28" s="329"/>
      <c r="L28" s="329"/>
      <c r="M28" s="329"/>
      <c r="N28" s="329"/>
      <c r="O28" s="329"/>
      <c r="P28" s="371">
        <f t="shared" si="0"/>
        <v>5</v>
      </c>
    </row>
    <row r="29" spans="1:16" ht="15.75" thickBot="1" x14ac:dyDescent="0.3">
      <c r="A29" s="316">
        <v>1000048</v>
      </c>
      <c r="B29" s="314" t="s">
        <v>45</v>
      </c>
      <c r="C29" s="323"/>
      <c r="D29" s="333"/>
      <c r="F29" s="329"/>
      <c r="G29" s="329"/>
      <c r="H29" s="329"/>
      <c r="I29" s="329"/>
      <c r="J29" s="329">
        <v>1</v>
      </c>
      <c r="K29" s="329"/>
      <c r="L29" s="329"/>
      <c r="M29" s="329"/>
      <c r="N29" s="329"/>
      <c r="O29" s="329"/>
      <c r="P29" s="371">
        <f t="shared" si="0"/>
        <v>1</v>
      </c>
    </row>
    <row r="30" spans="1:16" ht="15.75" thickBot="1" x14ac:dyDescent="0.3">
      <c r="A30" s="316">
        <v>1000076</v>
      </c>
      <c r="B30" s="314" t="s">
        <v>46</v>
      </c>
      <c r="C30" s="323"/>
      <c r="D30" s="333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6">
        <f t="shared" si="0"/>
        <v>0</v>
      </c>
    </row>
    <row r="31" spans="1:16" ht="15.75" thickBot="1" x14ac:dyDescent="0.3">
      <c r="A31" s="316">
        <v>1000142</v>
      </c>
      <c r="B31" s="314" t="s">
        <v>54</v>
      </c>
      <c r="C31" s="323"/>
      <c r="D31" s="333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6">
        <f t="shared" si="0"/>
        <v>0</v>
      </c>
    </row>
    <row r="32" spans="1:16" ht="15.75" thickBot="1" x14ac:dyDescent="0.3">
      <c r="A32" s="316">
        <v>1000008</v>
      </c>
      <c r="B32" s="314" t="s">
        <v>7</v>
      </c>
      <c r="C32" s="323"/>
      <c r="D32" s="333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6">
        <f t="shared" si="0"/>
        <v>0</v>
      </c>
    </row>
    <row r="33" spans="1:16" ht="15.75" thickBot="1" x14ac:dyDescent="0.3">
      <c r="A33" s="316">
        <v>1000082</v>
      </c>
      <c r="B33" s="314" t="s">
        <v>37</v>
      </c>
      <c r="C33" s="323"/>
      <c r="D33" s="333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6">
        <f t="shared" si="0"/>
        <v>0</v>
      </c>
    </row>
    <row r="34" spans="1:16" s="15" customFormat="1" ht="15.95" customHeight="1" thickBot="1" x14ac:dyDescent="0.3">
      <c r="A34" s="316">
        <v>1000084</v>
      </c>
      <c r="B34" s="314" t="s">
        <v>38</v>
      </c>
      <c r="C34" s="323"/>
      <c r="D34" s="333"/>
      <c r="E34" s="308"/>
      <c r="F34" s="329"/>
      <c r="G34" s="329"/>
      <c r="H34" s="329"/>
      <c r="I34" s="329"/>
      <c r="J34" s="329">
        <v>4</v>
      </c>
      <c r="K34" s="329"/>
      <c r="L34" s="329"/>
      <c r="M34" s="329"/>
      <c r="N34" s="329"/>
      <c r="O34" s="329"/>
      <c r="P34" s="371">
        <f t="shared" si="0"/>
        <v>4</v>
      </c>
    </row>
    <row r="35" spans="1:16" ht="15.75" thickBot="1" x14ac:dyDescent="0.3">
      <c r="A35" s="316">
        <v>1000033</v>
      </c>
      <c r="B35" s="314" t="s">
        <v>27</v>
      </c>
      <c r="C35" s="323"/>
      <c r="D35" s="333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6">
        <f t="shared" si="0"/>
        <v>0</v>
      </c>
    </row>
    <row r="36" spans="1:16" ht="15.75" thickBot="1" x14ac:dyDescent="0.3">
      <c r="A36" s="316">
        <v>1000446</v>
      </c>
      <c r="B36" s="314" t="s">
        <v>201</v>
      </c>
      <c r="C36" s="323"/>
      <c r="D36" s="333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6">
        <f t="shared" si="0"/>
        <v>0</v>
      </c>
    </row>
    <row r="37" spans="1:16" ht="15.75" thickBot="1" x14ac:dyDescent="0.3">
      <c r="A37" s="316">
        <v>1000067</v>
      </c>
      <c r="B37" s="314" t="s">
        <v>11</v>
      </c>
      <c r="C37" s="323"/>
      <c r="D37" s="333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6">
        <f t="shared" si="0"/>
        <v>0</v>
      </c>
    </row>
    <row r="38" spans="1:16" ht="15.75" thickBot="1" x14ac:dyDescent="0.3">
      <c r="A38" s="316">
        <v>1000147</v>
      </c>
      <c r="B38" s="314" t="s">
        <v>52</v>
      </c>
      <c r="C38" s="323"/>
      <c r="D38" s="333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6">
        <f t="shared" si="0"/>
        <v>0</v>
      </c>
    </row>
    <row r="39" spans="1:16" ht="15.75" thickBot="1" x14ac:dyDescent="0.3">
      <c r="A39" s="316">
        <v>1000004</v>
      </c>
      <c r="B39" s="314" t="s">
        <v>10</v>
      </c>
      <c r="C39" s="323"/>
      <c r="D39" s="333"/>
      <c r="F39" s="329">
        <v>2</v>
      </c>
      <c r="G39" s="329"/>
      <c r="H39" s="329"/>
      <c r="I39" s="329"/>
      <c r="J39" s="329">
        <v>2</v>
      </c>
      <c r="K39" s="329"/>
      <c r="L39" s="329"/>
      <c r="M39" s="329"/>
      <c r="N39" s="329">
        <v>2</v>
      </c>
      <c r="O39" s="329"/>
      <c r="P39" s="371">
        <f t="shared" si="0"/>
        <v>6</v>
      </c>
    </row>
    <row r="40" spans="1:16" ht="15.75" thickBot="1" x14ac:dyDescent="0.3">
      <c r="A40" s="316">
        <v>1000027</v>
      </c>
      <c r="B40" s="314" t="s">
        <v>33</v>
      </c>
      <c r="C40" s="323"/>
      <c r="D40" s="333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6">
        <f t="shared" si="0"/>
        <v>0</v>
      </c>
    </row>
    <row r="41" spans="1:16" ht="15.75" thickBot="1" x14ac:dyDescent="0.3">
      <c r="A41" s="316">
        <v>1000034</v>
      </c>
      <c r="B41" s="314" t="s">
        <v>28</v>
      </c>
      <c r="C41" s="323"/>
      <c r="D41" s="333"/>
      <c r="F41" s="329">
        <v>1</v>
      </c>
      <c r="G41" s="329"/>
      <c r="H41" s="329"/>
      <c r="I41" s="329"/>
      <c r="J41" s="329"/>
      <c r="K41" s="329"/>
      <c r="L41" s="329"/>
      <c r="M41" s="329"/>
      <c r="N41" s="329"/>
      <c r="O41" s="329"/>
      <c r="P41" s="371">
        <f t="shared" si="0"/>
        <v>1</v>
      </c>
    </row>
    <row r="42" spans="1:16" ht="15.75" thickBot="1" x14ac:dyDescent="0.3">
      <c r="A42" s="316">
        <v>1000045</v>
      </c>
      <c r="B42" s="314" t="s">
        <v>23</v>
      </c>
      <c r="C42" s="323"/>
      <c r="D42" s="333"/>
      <c r="F42" s="329">
        <v>2</v>
      </c>
      <c r="G42" s="329"/>
      <c r="H42" s="329"/>
      <c r="I42" s="329"/>
      <c r="J42" s="329"/>
      <c r="K42" s="329"/>
      <c r="L42" s="329"/>
      <c r="M42" s="329"/>
      <c r="N42" s="329"/>
      <c r="O42" s="329"/>
      <c r="P42" s="371">
        <f t="shared" si="0"/>
        <v>2</v>
      </c>
    </row>
    <row r="43" spans="1:16" ht="15.75" thickBot="1" x14ac:dyDescent="0.3">
      <c r="A43" s="316">
        <v>1000383</v>
      </c>
      <c r="B43" s="314" t="s">
        <v>264</v>
      </c>
      <c r="C43" s="323"/>
      <c r="D43" s="333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6">
        <f t="shared" si="0"/>
        <v>0</v>
      </c>
    </row>
    <row r="44" spans="1:16" ht="15.75" thickBot="1" x14ac:dyDescent="0.3">
      <c r="A44" s="316">
        <v>1000010</v>
      </c>
      <c r="B44" s="314" t="s">
        <v>17</v>
      </c>
      <c r="C44" s="323"/>
      <c r="D44" s="333"/>
      <c r="F44" s="329"/>
      <c r="G44" s="329"/>
      <c r="H44" s="329"/>
      <c r="I44" s="329"/>
      <c r="J44" s="329">
        <v>1</v>
      </c>
      <c r="K44" s="329"/>
      <c r="L44" s="329"/>
      <c r="M44" s="329"/>
      <c r="N44" s="329"/>
      <c r="O44" s="329"/>
      <c r="P44" s="371">
        <f t="shared" si="0"/>
        <v>1</v>
      </c>
    </row>
    <row r="45" spans="1:16" ht="15.75" thickBot="1" x14ac:dyDescent="0.3">
      <c r="A45" s="316">
        <v>1000029</v>
      </c>
      <c r="B45" s="314" t="s">
        <v>30</v>
      </c>
      <c r="C45" s="323"/>
      <c r="D45" s="333"/>
      <c r="F45" s="329"/>
      <c r="G45" s="329"/>
      <c r="H45" s="329"/>
      <c r="I45" s="329"/>
      <c r="J45" s="329"/>
      <c r="K45" s="329"/>
      <c r="L45" s="329"/>
      <c r="M45" s="329"/>
      <c r="N45" s="329">
        <v>2</v>
      </c>
      <c r="O45" s="329"/>
      <c r="P45" s="371">
        <f t="shared" si="0"/>
        <v>2</v>
      </c>
    </row>
    <row r="46" spans="1:16" ht="15.75" thickBot="1" x14ac:dyDescent="0.3">
      <c r="A46" s="316">
        <v>1000075</v>
      </c>
      <c r="B46" s="314" t="s">
        <v>47</v>
      </c>
      <c r="C46" s="323"/>
      <c r="D46" s="333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6">
        <f t="shared" si="0"/>
        <v>0</v>
      </c>
    </row>
    <row r="47" spans="1:16" ht="15.75" thickBot="1" x14ac:dyDescent="0.3">
      <c r="A47" s="316">
        <v>1000057</v>
      </c>
      <c r="B47" s="314" t="s">
        <v>70</v>
      </c>
      <c r="C47" s="323"/>
      <c r="D47" s="333"/>
      <c r="F47" s="329">
        <v>1</v>
      </c>
      <c r="G47" s="329"/>
      <c r="H47" s="329"/>
      <c r="I47" s="329"/>
      <c r="J47" s="329">
        <v>1</v>
      </c>
      <c r="K47" s="329"/>
      <c r="L47" s="329"/>
      <c r="M47" s="329"/>
      <c r="N47" s="329">
        <v>1</v>
      </c>
      <c r="O47" s="329"/>
      <c r="P47" s="371">
        <f t="shared" si="0"/>
        <v>3</v>
      </c>
    </row>
    <row r="48" spans="1:16" ht="15.75" thickBot="1" x14ac:dyDescent="0.3">
      <c r="A48" s="316">
        <v>1000080</v>
      </c>
      <c r="B48" s="314" t="s">
        <v>275</v>
      </c>
      <c r="C48" s="323"/>
      <c r="D48" s="333"/>
      <c r="F48" s="329">
        <v>96</v>
      </c>
      <c r="G48" s="329"/>
      <c r="H48" s="329"/>
      <c r="I48" s="329"/>
      <c r="J48" s="329">
        <v>96</v>
      </c>
      <c r="K48" s="329"/>
      <c r="L48" s="329"/>
      <c r="M48" s="329"/>
      <c r="N48" s="329">
        <v>96</v>
      </c>
      <c r="O48" s="329"/>
      <c r="P48" s="371">
        <f t="shared" si="0"/>
        <v>288</v>
      </c>
    </row>
    <row r="49" spans="1:17" ht="15.75" thickBot="1" x14ac:dyDescent="0.3">
      <c r="A49" s="316">
        <v>1000436</v>
      </c>
      <c r="B49" s="314" t="s">
        <v>276</v>
      </c>
      <c r="C49" s="323"/>
      <c r="D49" s="333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6">
        <f t="shared" si="0"/>
        <v>0</v>
      </c>
    </row>
    <row r="50" spans="1:17" ht="15.75" thickBot="1" x14ac:dyDescent="0.3">
      <c r="A50" s="316">
        <v>1000550</v>
      </c>
      <c r="B50" s="314" t="s">
        <v>277</v>
      </c>
      <c r="C50" s="323"/>
      <c r="D50" s="333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6">
        <f t="shared" si="0"/>
        <v>0</v>
      </c>
    </row>
    <row r="51" spans="1:17" ht="15.75" thickBot="1" x14ac:dyDescent="0.3">
      <c r="A51" s="316">
        <v>1000551</v>
      </c>
      <c r="B51" s="314" t="s">
        <v>278</v>
      </c>
      <c r="C51" s="323"/>
      <c r="D51" s="333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6">
        <f t="shared" si="0"/>
        <v>0</v>
      </c>
    </row>
    <row r="52" spans="1:17" ht="16.5" thickBot="1" x14ac:dyDescent="0.3">
      <c r="A52" s="334">
        <v>1000552</v>
      </c>
      <c r="B52" s="335" t="s">
        <v>279</v>
      </c>
      <c r="C52" s="331"/>
      <c r="D52" s="321"/>
      <c r="E52" s="320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6">
        <f t="shared" si="0"/>
        <v>0</v>
      </c>
      <c r="Q52" s="331"/>
    </row>
  </sheetData>
  <mergeCells count="4">
    <mergeCell ref="D1:D2"/>
    <mergeCell ref="A1:B2"/>
    <mergeCell ref="F1:J2"/>
    <mergeCell ref="A3:B3"/>
  </mergeCells>
  <pageMargins left="0.7" right="0.7" top="0.75" bottom="0.75" header="0.3" footer="0.3"/>
  <pageSetup paperSize="9" scale="6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43-B452-4FF4-ADFB-6E3959AD7C00}">
  <sheetPr>
    <tabColor rgb="FFFF0000"/>
    <pageSetUpPr fitToPage="1"/>
  </sheetPr>
  <dimension ref="A1:Q52"/>
  <sheetViews>
    <sheetView zoomScale="50" zoomScaleNormal="50" workbookViewId="0">
      <selection activeCell="P22" sqref="P22"/>
    </sheetView>
  </sheetViews>
  <sheetFormatPr baseColWidth="10" defaultColWidth="10.875" defaultRowHeight="26.25" x14ac:dyDescent="0.4"/>
  <cols>
    <col min="1" max="1" width="15.375" style="337" bestFit="1" customWidth="1"/>
    <col min="2" max="2" width="51.25" style="337" bestFit="1" customWidth="1"/>
    <col min="3" max="3" width="1.375" style="337" customWidth="1"/>
    <col min="4" max="4" width="13.5" style="337" bestFit="1" customWidth="1"/>
    <col min="5" max="5" width="2.125" style="337" customWidth="1"/>
    <col min="6" max="6" width="10" style="354" bestFit="1" customWidth="1"/>
    <col min="7" max="7" width="6.875" style="354" bestFit="1" customWidth="1"/>
    <col min="8" max="8" width="10" style="354" bestFit="1" customWidth="1"/>
    <col min="9" max="9" width="6.875" style="354" bestFit="1" customWidth="1"/>
    <col min="10" max="10" width="10" style="354" bestFit="1" customWidth="1"/>
    <col min="11" max="11" width="6.875" style="354" bestFit="1" customWidth="1"/>
    <col min="12" max="12" width="10" style="354" bestFit="1" customWidth="1"/>
    <col min="13" max="13" width="6.875" style="354" bestFit="1" customWidth="1"/>
    <col min="14" max="14" width="10" style="354" bestFit="1" customWidth="1"/>
    <col min="15" max="15" width="6.875" style="354" bestFit="1" customWidth="1"/>
    <col min="16" max="16" width="8.625" style="354" bestFit="1" customWidth="1"/>
    <col min="17" max="18" width="17.625" style="337" bestFit="1" customWidth="1"/>
    <col min="19" max="19" width="13.25" style="337" bestFit="1" customWidth="1"/>
    <col min="20" max="16384" width="10.875" style="337"/>
  </cols>
  <sheetData>
    <row r="1" spans="1:16" ht="15" customHeight="1" x14ac:dyDescent="0.4">
      <c r="A1" s="686" t="s">
        <v>250</v>
      </c>
      <c r="B1" s="687"/>
      <c r="C1" s="336"/>
      <c r="D1" s="697" t="s">
        <v>305</v>
      </c>
      <c r="F1" s="726" t="s">
        <v>474</v>
      </c>
      <c r="G1" s="727"/>
      <c r="H1" s="727"/>
      <c r="I1" s="727"/>
      <c r="J1" s="728"/>
      <c r="K1" s="336"/>
      <c r="L1" s="357"/>
      <c r="M1" s="357"/>
    </row>
    <row r="2" spans="1:16" ht="16.5" customHeight="1" thickBot="1" x14ac:dyDescent="0.45">
      <c r="A2" s="688"/>
      <c r="B2" s="689"/>
      <c r="C2" s="336"/>
      <c r="D2" s="697"/>
      <c r="F2" s="729"/>
      <c r="G2" s="730"/>
      <c r="H2" s="730"/>
      <c r="I2" s="730"/>
      <c r="J2" s="731"/>
      <c r="K2" s="336"/>
      <c r="L2" s="357"/>
      <c r="M2" s="357"/>
    </row>
    <row r="3" spans="1:16" ht="27" thickBot="1" x14ac:dyDescent="0.45">
      <c r="A3" s="698" t="s">
        <v>300</v>
      </c>
      <c r="B3" s="698"/>
      <c r="C3" s="336"/>
      <c r="D3" s="336"/>
    </row>
    <row r="4" spans="1:16" ht="27" thickBot="1" x14ac:dyDescent="0.45">
      <c r="A4" s="340"/>
      <c r="B4" s="340"/>
      <c r="C4" s="336"/>
      <c r="D4" s="336"/>
    </row>
    <row r="5" spans="1:16" ht="27" thickBot="1" x14ac:dyDescent="0.45">
      <c r="A5" s="341" t="s">
        <v>0</v>
      </c>
      <c r="B5" s="341" t="s">
        <v>105</v>
      </c>
      <c r="C5" s="336"/>
      <c r="D5" s="342" t="s">
        <v>106</v>
      </c>
      <c r="F5" s="358" t="s">
        <v>283</v>
      </c>
      <c r="G5" s="359" t="s">
        <v>288</v>
      </c>
      <c r="H5" s="358" t="s">
        <v>284</v>
      </c>
      <c r="I5" s="359" t="s">
        <v>288</v>
      </c>
      <c r="J5" s="358" t="s">
        <v>285</v>
      </c>
      <c r="K5" s="359" t="s">
        <v>288</v>
      </c>
      <c r="L5" s="358" t="s">
        <v>286</v>
      </c>
      <c r="M5" s="359" t="s">
        <v>288</v>
      </c>
      <c r="N5" s="358" t="s">
        <v>287</v>
      </c>
      <c r="O5" s="359" t="s">
        <v>288</v>
      </c>
      <c r="P5" s="355" t="s">
        <v>98</v>
      </c>
    </row>
    <row r="6" spans="1:16" ht="27" thickBot="1" x14ac:dyDescent="0.45">
      <c r="A6" s="343">
        <v>10000015</v>
      </c>
      <c r="B6" s="344" t="s">
        <v>1</v>
      </c>
      <c r="C6" s="345"/>
      <c r="D6" s="346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56">
        <f t="shared" ref="P6:P52" si="0">SUM(F6:O6)</f>
        <v>0</v>
      </c>
    </row>
    <row r="7" spans="1:16" ht="27" thickBot="1" x14ac:dyDescent="0.45">
      <c r="A7" s="347">
        <v>10000102</v>
      </c>
      <c r="B7" s="348" t="s">
        <v>2</v>
      </c>
      <c r="C7" s="345"/>
      <c r="D7" s="349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56">
        <f t="shared" si="0"/>
        <v>0</v>
      </c>
    </row>
    <row r="8" spans="1:16" ht="27" thickBot="1" x14ac:dyDescent="0.45">
      <c r="A8" s="347">
        <v>1000006</v>
      </c>
      <c r="B8" s="348" t="s">
        <v>4</v>
      </c>
      <c r="C8" s="345"/>
      <c r="D8" s="349"/>
      <c r="F8" s="360">
        <v>100</v>
      </c>
      <c r="G8" s="360"/>
      <c r="H8" s="360"/>
      <c r="I8" s="360"/>
      <c r="J8" s="360">
        <v>100</v>
      </c>
      <c r="K8" s="360"/>
      <c r="L8" s="360"/>
      <c r="M8" s="360"/>
      <c r="N8" s="360">
        <v>100</v>
      </c>
      <c r="O8" s="360"/>
      <c r="P8" s="548">
        <f t="shared" si="0"/>
        <v>300</v>
      </c>
    </row>
    <row r="9" spans="1:16" ht="27" thickBot="1" x14ac:dyDescent="0.45">
      <c r="A9" s="347">
        <v>1000007</v>
      </c>
      <c r="B9" s="348" t="s">
        <v>5</v>
      </c>
      <c r="C9" s="345"/>
      <c r="D9" s="349"/>
      <c r="F9" s="360">
        <v>100</v>
      </c>
      <c r="G9" s="360"/>
      <c r="H9" s="360"/>
      <c r="I9" s="360"/>
      <c r="J9" s="360">
        <v>50</v>
      </c>
      <c r="K9" s="360"/>
      <c r="L9" s="360"/>
      <c r="M9" s="360"/>
      <c r="N9" s="360">
        <v>100</v>
      </c>
      <c r="O9" s="360"/>
      <c r="P9" s="548">
        <f t="shared" si="0"/>
        <v>250</v>
      </c>
    </row>
    <row r="10" spans="1:16" ht="27" thickBot="1" x14ac:dyDescent="0.45">
      <c r="A10" s="347">
        <v>1000001</v>
      </c>
      <c r="B10" s="348" t="s">
        <v>8</v>
      </c>
      <c r="C10" s="345"/>
      <c r="D10" s="349"/>
      <c r="F10" s="360">
        <v>2</v>
      </c>
      <c r="G10" s="360"/>
      <c r="H10" s="360"/>
      <c r="I10" s="360"/>
      <c r="J10" s="360">
        <v>2</v>
      </c>
      <c r="K10" s="360"/>
      <c r="L10" s="360"/>
      <c r="M10" s="360"/>
      <c r="N10" s="360">
        <v>2</v>
      </c>
      <c r="O10" s="360"/>
      <c r="P10" s="548">
        <f t="shared" si="0"/>
        <v>6</v>
      </c>
    </row>
    <row r="11" spans="1:16" ht="27" thickBot="1" x14ac:dyDescent="0.45">
      <c r="A11" s="347">
        <v>1000002</v>
      </c>
      <c r="B11" s="348" t="s">
        <v>9</v>
      </c>
      <c r="C11" s="345"/>
      <c r="D11" s="349"/>
      <c r="F11" s="360">
        <v>2</v>
      </c>
      <c r="G11" s="360"/>
      <c r="H11" s="360"/>
      <c r="I11" s="360"/>
      <c r="J11" s="360">
        <v>2</v>
      </c>
      <c r="K11" s="360"/>
      <c r="L11" s="360"/>
      <c r="M11" s="360"/>
      <c r="N11" s="360">
        <v>2</v>
      </c>
      <c r="O11" s="360"/>
      <c r="P11" s="548">
        <f t="shared" si="0"/>
        <v>6</v>
      </c>
    </row>
    <row r="12" spans="1:16" ht="27" thickBot="1" x14ac:dyDescent="0.45">
      <c r="A12" s="347">
        <v>1000054</v>
      </c>
      <c r="B12" s="348" t="s">
        <v>12</v>
      </c>
      <c r="C12" s="345"/>
      <c r="D12" s="349"/>
      <c r="F12" s="360">
        <v>10</v>
      </c>
      <c r="G12" s="360"/>
      <c r="H12" s="360"/>
      <c r="I12" s="360"/>
      <c r="J12" s="360">
        <v>10</v>
      </c>
      <c r="K12" s="360"/>
      <c r="L12" s="360"/>
      <c r="M12" s="360"/>
      <c r="N12" s="360">
        <v>10</v>
      </c>
      <c r="O12" s="360"/>
      <c r="P12" s="548">
        <f t="shared" si="0"/>
        <v>30</v>
      </c>
    </row>
    <row r="13" spans="1:16" ht="27" thickBot="1" x14ac:dyDescent="0.45">
      <c r="A13" s="348">
        <v>1000070</v>
      </c>
      <c r="B13" s="381" t="s">
        <v>13</v>
      </c>
      <c r="C13" s="345"/>
      <c r="D13" s="349"/>
      <c r="F13" s="360">
        <v>1</v>
      </c>
      <c r="G13" s="360"/>
      <c r="H13" s="360"/>
      <c r="I13" s="360"/>
      <c r="J13" s="360">
        <v>1</v>
      </c>
      <c r="K13" s="360"/>
      <c r="L13" s="360"/>
      <c r="M13" s="360"/>
      <c r="N13" s="360">
        <v>1</v>
      </c>
      <c r="O13" s="360"/>
      <c r="P13" s="548">
        <f t="shared" si="0"/>
        <v>3</v>
      </c>
    </row>
    <row r="14" spans="1:16" ht="27" thickBot="1" x14ac:dyDescent="0.45">
      <c r="A14" s="347">
        <v>1000017</v>
      </c>
      <c r="B14" s="348" t="s">
        <v>14</v>
      </c>
      <c r="C14" s="345"/>
      <c r="D14" s="349"/>
      <c r="F14" s="360">
        <v>10</v>
      </c>
      <c r="G14" s="360"/>
      <c r="H14" s="360"/>
      <c r="I14" s="360"/>
      <c r="J14" s="360">
        <v>10</v>
      </c>
      <c r="K14" s="360"/>
      <c r="L14" s="360"/>
      <c r="M14" s="360"/>
      <c r="N14" s="360">
        <v>10</v>
      </c>
      <c r="O14" s="360"/>
      <c r="P14" s="548">
        <f t="shared" si="0"/>
        <v>30</v>
      </c>
    </row>
    <row r="15" spans="1:16" ht="27" thickBot="1" x14ac:dyDescent="0.45">
      <c r="A15" s="347">
        <v>1000016</v>
      </c>
      <c r="B15" s="348" t="s">
        <v>15</v>
      </c>
      <c r="C15" s="345"/>
      <c r="D15" s="349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56">
        <f t="shared" si="0"/>
        <v>0</v>
      </c>
    </row>
    <row r="16" spans="1:16" ht="27" thickBot="1" x14ac:dyDescent="0.45">
      <c r="A16" s="347">
        <v>1000041</v>
      </c>
      <c r="B16" s="348" t="s">
        <v>16</v>
      </c>
      <c r="C16" s="345"/>
      <c r="D16" s="349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56">
        <f t="shared" si="0"/>
        <v>0</v>
      </c>
    </row>
    <row r="17" spans="1:16" ht="27" thickBot="1" x14ac:dyDescent="0.45">
      <c r="A17" s="347">
        <v>1000049</v>
      </c>
      <c r="B17" s="348" t="s">
        <v>21</v>
      </c>
      <c r="C17" s="345"/>
      <c r="D17" s="349"/>
      <c r="F17" s="360">
        <v>2</v>
      </c>
      <c r="G17" s="360"/>
      <c r="H17" s="360"/>
      <c r="I17" s="360"/>
      <c r="J17" s="360">
        <v>2</v>
      </c>
      <c r="K17" s="360"/>
      <c r="L17" s="360"/>
      <c r="M17" s="360"/>
      <c r="N17" s="360">
        <v>2</v>
      </c>
      <c r="O17" s="360"/>
      <c r="P17" s="548">
        <f t="shared" si="0"/>
        <v>6</v>
      </c>
    </row>
    <row r="18" spans="1:16" ht="27" thickBot="1" x14ac:dyDescent="0.45">
      <c r="A18" s="347">
        <v>1000050</v>
      </c>
      <c r="B18" s="348" t="s">
        <v>22</v>
      </c>
      <c r="C18" s="345"/>
      <c r="D18" s="349"/>
      <c r="F18" s="360">
        <v>2</v>
      </c>
      <c r="G18" s="360"/>
      <c r="H18" s="360"/>
      <c r="I18" s="360"/>
      <c r="J18" s="360">
        <v>2</v>
      </c>
      <c r="K18" s="360"/>
      <c r="L18" s="360"/>
      <c r="M18" s="360"/>
      <c r="N18" s="360">
        <v>2</v>
      </c>
      <c r="O18" s="360"/>
      <c r="P18" s="548">
        <f t="shared" si="0"/>
        <v>6</v>
      </c>
    </row>
    <row r="19" spans="1:16" ht="27" thickBot="1" x14ac:dyDescent="0.45">
      <c r="A19" s="347">
        <v>1000031</v>
      </c>
      <c r="B19" s="348" t="s">
        <v>25</v>
      </c>
      <c r="C19" s="345"/>
      <c r="D19" s="349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56">
        <f t="shared" si="0"/>
        <v>0</v>
      </c>
    </row>
    <row r="20" spans="1:16" ht="27" thickBot="1" x14ac:dyDescent="0.45">
      <c r="A20" s="347">
        <v>1000026</v>
      </c>
      <c r="B20" s="348" t="s">
        <v>31</v>
      </c>
      <c r="C20" s="345"/>
      <c r="D20" s="349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56">
        <f t="shared" si="0"/>
        <v>0</v>
      </c>
    </row>
    <row r="21" spans="1:16" ht="27" thickBot="1" x14ac:dyDescent="0.45">
      <c r="A21" s="347">
        <v>1000025</v>
      </c>
      <c r="B21" s="348" t="s">
        <v>32</v>
      </c>
      <c r="C21" s="345"/>
      <c r="D21" s="349"/>
      <c r="F21" s="360"/>
      <c r="G21" s="360"/>
      <c r="H21" s="360"/>
      <c r="I21" s="360"/>
      <c r="J21" s="360"/>
      <c r="K21" s="360"/>
      <c r="L21" s="360"/>
      <c r="M21" s="360"/>
      <c r="N21" s="360"/>
      <c r="O21" s="360"/>
      <c r="P21" s="356">
        <f t="shared" si="0"/>
        <v>0</v>
      </c>
    </row>
    <row r="22" spans="1:16" ht="27" thickBot="1" x14ac:dyDescent="0.45">
      <c r="A22" s="347">
        <v>1000100</v>
      </c>
      <c r="B22" s="348" t="s">
        <v>34</v>
      </c>
      <c r="C22" s="345"/>
      <c r="D22" s="349"/>
      <c r="F22" s="360"/>
      <c r="G22" s="360"/>
      <c r="H22" s="360"/>
      <c r="I22" s="360"/>
      <c r="J22" s="360"/>
      <c r="K22" s="360"/>
      <c r="L22" s="360"/>
      <c r="M22" s="360"/>
      <c r="N22" s="360">
        <v>1</v>
      </c>
      <c r="O22" s="360"/>
      <c r="P22" s="548">
        <f t="shared" si="0"/>
        <v>1</v>
      </c>
    </row>
    <row r="23" spans="1:16" ht="27" thickBot="1" x14ac:dyDescent="0.45">
      <c r="A23" s="347">
        <v>1000073</v>
      </c>
      <c r="B23" s="348" t="s">
        <v>36</v>
      </c>
      <c r="C23" s="345"/>
      <c r="D23" s="349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56">
        <f t="shared" si="0"/>
        <v>0</v>
      </c>
    </row>
    <row r="24" spans="1:16" ht="27" thickBot="1" x14ac:dyDescent="0.45">
      <c r="A24" s="347">
        <v>1000146</v>
      </c>
      <c r="B24" s="348" t="s">
        <v>39</v>
      </c>
      <c r="C24" s="345"/>
      <c r="D24" s="349"/>
      <c r="F24" s="360">
        <v>10</v>
      </c>
      <c r="G24" s="360"/>
      <c r="H24" s="360"/>
      <c r="I24" s="360"/>
      <c r="J24" s="360">
        <v>10</v>
      </c>
      <c r="K24" s="360"/>
      <c r="L24" s="360"/>
      <c r="M24" s="360"/>
      <c r="N24" s="360">
        <v>10</v>
      </c>
      <c r="O24" s="360"/>
      <c r="P24" s="548">
        <f t="shared" si="0"/>
        <v>30</v>
      </c>
    </row>
    <row r="25" spans="1:16" ht="27" thickBot="1" x14ac:dyDescent="0.45">
      <c r="A25" s="347">
        <v>10248</v>
      </c>
      <c r="B25" s="348" t="s">
        <v>183</v>
      </c>
      <c r="C25" s="345"/>
      <c r="D25" s="349"/>
      <c r="F25" s="360">
        <v>6</v>
      </c>
      <c r="G25" s="360"/>
      <c r="H25" s="360"/>
      <c r="I25" s="360"/>
      <c r="J25" s="360">
        <v>6</v>
      </c>
      <c r="K25" s="360"/>
      <c r="L25" s="360"/>
      <c r="M25" s="360"/>
      <c r="N25" s="360">
        <v>6</v>
      </c>
      <c r="O25" s="360"/>
      <c r="P25" s="548">
        <f t="shared" si="0"/>
        <v>18</v>
      </c>
    </row>
    <row r="26" spans="1:16" ht="27" thickBot="1" x14ac:dyDescent="0.45">
      <c r="A26" s="347">
        <v>1000052</v>
      </c>
      <c r="B26" s="348" t="s">
        <v>41</v>
      </c>
      <c r="C26" s="345"/>
      <c r="D26" s="349"/>
      <c r="F26" s="360">
        <v>1</v>
      </c>
      <c r="G26" s="360"/>
      <c r="H26" s="360"/>
      <c r="I26" s="360"/>
      <c r="J26" s="360"/>
      <c r="K26" s="360"/>
      <c r="L26" s="360"/>
      <c r="M26" s="360"/>
      <c r="N26" s="360">
        <v>1</v>
      </c>
      <c r="O26" s="360"/>
      <c r="P26" s="548">
        <f t="shared" si="0"/>
        <v>2</v>
      </c>
    </row>
    <row r="27" spans="1:16" ht="27" thickBot="1" x14ac:dyDescent="0.45">
      <c r="A27" s="347">
        <v>1000089</v>
      </c>
      <c r="B27" s="348" t="s">
        <v>42</v>
      </c>
      <c r="C27" s="345"/>
      <c r="D27" s="349"/>
      <c r="F27" s="360">
        <v>2</v>
      </c>
      <c r="G27" s="360"/>
      <c r="H27" s="360"/>
      <c r="I27" s="360"/>
      <c r="J27" s="360">
        <v>2</v>
      </c>
      <c r="K27" s="360"/>
      <c r="L27" s="360"/>
      <c r="M27" s="360"/>
      <c r="N27" s="360">
        <v>2</v>
      </c>
      <c r="O27" s="360"/>
      <c r="P27" s="548">
        <f t="shared" si="0"/>
        <v>6</v>
      </c>
    </row>
    <row r="28" spans="1:16" ht="27" thickBot="1" x14ac:dyDescent="0.45">
      <c r="A28" s="347">
        <v>1000051</v>
      </c>
      <c r="B28" s="348" t="s">
        <v>43</v>
      </c>
      <c r="C28" s="345"/>
      <c r="D28" s="349"/>
      <c r="F28" s="360">
        <v>1</v>
      </c>
      <c r="G28" s="360"/>
      <c r="H28" s="360"/>
      <c r="I28" s="360"/>
      <c r="J28" s="360">
        <v>1</v>
      </c>
      <c r="K28" s="360"/>
      <c r="L28" s="360"/>
      <c r="M28" s="360"/>
      <c r="N28" s="360">
        <v>1</v>
      </c>
      <c r="O28" s="360"/>
      <c r="P28" s="548">
        <f t="shared" si="0"/>
        <v>3</v>
      </c>
    </row>
    <row r="29" spans="1:16" ht="27" thickBot="1" x14ac:dyDescent="0.45">
      <c r="A29" s="347">
        <v>1000048</v>
      </c>
      <c r="B29" s="348" t="s">
        <v>45</v>
      </c>
      <c r="C29" s="345"/>
      <c r="D29" s="349"/>
      <c r="F29" s="360"/>
      <c r="G29" s="360"/>
      <c r="H29" s="360"/>
      <c r="I29" s="360"/>
      <c r="J29" s="360"/>
      <c r="K29" s="360"/>
      <c r="L29" s="360"/>
      <c r="M29" s="360"/>
      <c r="N29" s="360">
        <v>1</v>
      </c>
      <c r="O29" s="360"/>
      <c r="P29" s="548">
        <f t="shared" si="0"/>
        <v>1</v>
      </c>
    </row>
    <row r="30" spans="1:16" ht="27" thickBot="1" x14ac:dyDescent="0.45">
      <c r="A30" s="347">
        <v>1000076</v>
      </c>
      <c r="B30" s="348" t="s">
        <v>46</v>
      </c>
      <c r="C30" s="345"/>
      <c r="D30" s="349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56">
        <f t="shared" si="0"/>
        <v>0</v>
      </c>
    </row>
    <row r="31" spans="1:16" ht="27" thickBot="1" x14ac:dyDescent="0.45">
      <c r="A31" s="347">
        <v>1000142</v>
      </c>
      <c r="B31" s="348" t="s">
        <v>54</v>
      </c>
      <c r="C31" s="345"/>
      <c r="D31" s="349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56">
        <f t="shared" si="0"/>
        <v>0</v>
      </c>
    </row>
    <row r="32" spans="1:16" ht="27" thickBot="1" x14ac:dyDescent="0.45">
      <c r="A32" s="347">
        <v>1000008</v>
      </c>
      <c r="B32" s="348" t="s">
        <v>7</v>
      </c>
      <c r="C32" s="345"/>
      <c r="D32" s="349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56">
        <f t="shared" si="0"/>
        <v>0</v>
      </c>
    </row>
    <row r="33" spans="1:16" ht="27" thickBot="1" x14ac:dyDescent="0.45">
      <c r="A33" s="347">
        <v>1000082</v>
      </c>
      <c r="B33" s="348" t="s">
        <v>37</v>
      </c>
      <c r="C33" s="345"/>
      <c r="D33" s="349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56">
        <f t="shared" si="0"/>
        <v>0</v>
      </c>
    </row>
    <row r="34" spans="1:16" s="338" customFormat="1" ht="27" thickBot="1" x14ac:dyDescent="0.45">
      <c r="A34" s="347">
        <v>1000084</v>
      </c>
      <c r="B34" s="348" t="s">
        <v>38</v>
      </c>
      <c r="C34" s="345"/>
      <c r="D34" s="349"/>
      <c r="E34" s="337"/>
      <c r="F34" s="360">
        <v>4</v>
      </c>
      <c r="G34" s="360"/>
      <c r="H34" s="360"/>
      <c r="I34" s="360"/>
      <c r="J34" s="360">
        <v>4</v>
      </c>
      <c r="K34" s="360"/>
      <c r="L34" s="360"/>
      <c r="M34" s="360"/>
      <c r="N34" s="360">
        <v>4</v>
      </c>
      <c r="O34" s="360"/>
      <c r="P34" s="548">
        <f t="shared" si="0"/>
        <v>12</v>
      </c>
    </row>
    <row r="35" spans="1:16" ht="27" thickBot="1" x14ac:dyDescent="0.45">
      <c r="A35" s="347">
        <v>1000033</v>
      </c>
      <c r="B35" s="348" t="s">
        <v>27</v>
      </c>
      <c r="C35" s="345"/>
      <c r="D35" s="349"/>
      <c r="F35" s="360">
        <v>1</v>
      </c>
      <c r="G35" s="360"/>
      <c r="H35" s="360"/>
      <c r="I35" s="360"/>
      <c r="J35" s="360">
        <v>1</v>
      </c>
      <c r="K35" s="360"/>
      <c r="L35" s="360"/>
      <c r="M35" s="360"/>
      <c r="N35" s="360"/>
      <c r="O35" s="360"/>
      <c r="P35" s="548">
        <f t="shared" si="0"/>
        <v>2</v>
      </c>
    </row>
    <row r="36" spans="1:16" ht="27" thickBot="1" x14ac:dyDescent="0.45">
      <c r="A36" s="347">
        <v>1000067</v>
      </c>
      <c r="B36" s="348" t="s">
        <v>11</v>
      </c>
      <c r="C36" s="345"/>
      <c r="D36" s="349"/>
      <c r="F36" s="360">
        <v>1</v>
      </c>
      <c r="G36" s="360"/>
      <c r="H36" s="360"/>
      <c r="I36" s="360"/>
      <c r="J36" s="360">
        <v>1</v>
      </c>
      <c r="K36" s="360"/>
      <c r="L36" s="360"/>
      <c r="M36" s="360"/>
      <c r="N36" s="360">
        <v>1</v>
      </c>
      <c r="O36" s="360"/>
      <c r="P36" s="548">
        <f t="shared" si="0"/>
        <v>3</v>
      </c>
    </row>
    <row r="37" spans="1:16" ht="27" thickBot="1" x14ac:dyDescent="0.45">
      <c r="A37" s="347">
        <v>1000147</v>
      </c>
      <c r="B37" s="348" t="s">
        <v>52</v>
      </c>
      <c r="C37" s="345"/>
      <c r="D37" s="349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56">
        <f t="shared" si="0"/>
        <v>0</v>
      </c>
    </row>
    <row r="38" spans="1:16" ht="27" thickBot="1" x14ac:dyDescent="0.45">
      <c r="A38" s="347">
        <v>1000004</v>
      </c>
      <c r="B38" s="348" t="s">
        <v>10</v>
      </c>
      <c r="C38" s="345"/>
      <c r="D38" s="349"/>
      <c r="F38" s="360">
        <v>2</v>
      </c>
      <c r="G38" s="360"/>
      <c r="H38" s="360"/>
      <c r="I38" s="360"/>
      <c r="J38" s="360">
        <v>2</v>
      </c>
      <c r="K38" s="360"/>
      <c r="L38" s="360"/>
      <c r="M38" s="360"/>
      <c r="N38" s="360">
        <v>2</v>
      </c>
      <c r="O38" s="360"/>
      <c r="P38" s="548">
        <f t="shared" si="0"/>
        <v>6</v>
      </c>
    </row>
    <row r="39" spans="1:16" ht="27" thickBot="1" x14ac:dyDescent="0.45">
      <c r="A39" s="347">
        <v>1000027</v>
      </c>
      <c r="B39" s="348" t="s">
        <v>33</v>
      </c>
      <c r="C39" s="345"/>
      <c r="D39" s="349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56">
        <f t="shared" si="0"/>
        <v>0</v>
      </c>
    </row>
    <row r="40" spans="1:16" ht="27" thickBot="1" x14ac:dyDescent="0.45">
      <c r="A40" s="347">
        <v>1000034</v>
      </c>
      <c r="B40" s="348" t="s">
        <v>28</v>
      </c>
      <c r="C40" s="345"/>
      <c r="D40" s="349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56">
        <f t="shared" si="0"/>
        <v>0</v>
      </c>
    </row>
    <row r="41" spans="1:16" ht="27" thickBot="1" x14ac:dyDescent="0.45">
      <c r="A41" s="347">
        <v>1000045</v>
      </c>
      <c r="B41" s="348" t="s">
        <v>23</v>
      </c>
      <c r="C41" s="345"/>
      <c r="D41" s="349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56">
        <f t="shared" si="0"/>
        <v>0</v>
      </c>
    </row>
    <row r="42" spans="1:16" ht="27" thickBot="1" x14ac:dyDescent="0.45">
      <c r="A42" s="347">
        <v>1000383</v>
      </c>
      <c r="B42" s="348" t="s">
        <v>264</v>
      </c>
      <c r="C42" s="345"/>
      <c r="D42" s="349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56">
        <f t="shared" si="0"/>
        <v>0</v>
      </c>
    </row>
    <row r="43" spans="1:16" ht="27" thickBot="1" x14ac:dyDescent="0.45">
      <c r="A43" s="347">
        <v>1000010</v>
      </c>
      <c r="B43" s="348" t="s">
        <v>17</v>
      </c>
      <c r="C43" s="345"/>
      <c r="D43" s="349"/>
      <c r="F43" s="360">
        <v>1</v>
      </c>
      <c r="G43" s="360"/>
      <c r="H43" s="360"/>
      <c r="I43" s="360"/>
      <c r="J43" s="360">
        <v>1</v>
      </c>
      <c r="K43" s="360"/>
      <c r="L43" s="360"/>
      <c r="M43" s="360"/>
      <c r="N43" s="360">
        <v>1</v>
      </c>
      <c r="O43" s="360"/>
      <c r="P43" s="548">
        <f t="shared" si="0"/>
        <v>3</v>
      </c>
    </row>
    <row r="44" spans="1:16" ht="27" thickBot="1" x14ac:dyDescent="0.45">
      <c r="A44" s="347">
        <v>1000029</v>
      </c>
      <c r="B44" s="348" t="s">
        <v>30</v>
      </c>
      <c r="C44" s="345"/>
      <c r="D44" s="349"/>
      <c r="F44" s="360">
        <v>1</v>
      </c>
      <c r="G44" s="360"/>
      <c r="H44" s="360"/>
      <c r="I44" s="360"/>
      <c r="J44" s="360">
        <v>1</v>
      </c>
      <c r="K44" s="360"/>
      <c r="L44" s="360"/>
      <c r="M44" s="360"/>
      <c r="N44" s="360">
        <v>1</v>
      </c>
      <c r="O44" s="360"/>
      <c r="P44" s="548">
        <f t="shared" si="0"/>
        <v>3</v>
      </c>
    </row>
    <row r="45" spans="1:16" ht="27" thickBot="1" x14ac:dyDescent="0.45">
      <c r="A45" s="347">
        <v>1000075</v>
      </c>
      <c r="B45" s="348" t="s">
        <v>47</v>
      </c>
      <c r="C45" s="345"/>
      <c r="D45" s="349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56">
        <f t="shared" si="0"/>
        <v>0</v>
      </c>
    </row>
    <row r="46" spans="1:16" ht="27" thickBot="1" x14ac:dyDescent="0.45">
      <c r="A46" s="347">
        <v>1000057</v>
      </c>
      <c r="B46" s="348" t="s">
        <v>70</v>
      </c>
      <c r="C46" s="345"/>
      <c r="D46" s="349"/>
      <c r="F46" s="360">
        <v>1</v>
      </c>
      <c r="G46" s="360"/>
      <c r="H46" s="360"/>
      <c r="I46" s="360"/>
      <c r="J46" s="360">
        <v>1</v>
      </c>
      <c r="K46" s="360"/>
      <c r="L46" s="360"/>
      <c r="M46" s="360"/>
      <c r="N46" s="360">
        <v>1</v>
      </c>
      <c r="O46" s="360"/>
      <c r="P46" s="548">
        <f t="shared" si="0"/>
        <v>3</v>
      </c>
    </row>
    <row r="47" spans="1:16" ht="27" thickBot="1" x14ac:dyDescent="0.45">
      <c r="A47" s="347">
        <v>1000080</v>
      </c>
      <c r="B47" s="348" t="s">
        <v>275</v>
      </c>
      <c r="C47" s="345"/>
      <c r="D47" s="349"/>
      <c r="F47" s="360">
        <v>48</v>
      </c>
      <c r="G47" s="360"/>
      <c r="H47" s="360"/>
      <c r="I47" s="360"/>
      <c r="J47" s="360">
        <v>48</v>
      </c>
      <c r="K47" s="360"/>
      <c r="L47" s="360"/>
      <c r="M47" s="360"/>
      <c r="N47" s="360">
        <v>48</v>
      </c>
      <c r="O47" s="360"/>
      <c r="P47" s="548">
        <f t="shared" si="0"/>
        <v>144</v>
      </c>
    </row>
    <row r="48" spans="1:16" ht="27" thickBot="1" x14ac:dyDescent="0.45">
      <c r="A48" s="347">
        <v>1000436</v>
      </c>
      <c r="B48" s="348" t="s">
        <v>276</v>
      </c>
      <c r="C48" s="345"/>
      <c r="D48" s="349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56">
        <f t="shared" si="0"/>
        <v>0</v>
      </c>
    </row>
    <row r="49" spans="1:17" ht="27" thickBot="1" x14ac:dyDescent="0.45">
      <c r="A49" s="347">
        <v>1000550</v>
      </c>
      <c r="B49" s="348" t="s">
        <v>277</v>
      </c>
      <c r="C49" s="345"/>
      <c r="D49" s="349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56">
        <f t="shared" si="0"/>
        <v>0</v>
      </c>
    </row>
    <row r="50" spans="1:17" ht="27" thickBot="1" x14ac:dyDescent="0.45">
      <c r="A50" s="382">
        <v>1000551</v>
      </c>
      <c r="B50" s="348" t="s">
        <v>278</v>
      </c>
      <c r="C50" s="339"/>
      <c r="D50" s="347"/>
      <c r="E50" s="353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56">
        <f t="shared" si="0"/>
        <v>0</v>
      </c>
    </row>
    <row r="51" spans="1:17" ht="27" thickBot="1" x14ac:dyDescent="0.45">
      <c r="A51" s="350">
        <v>1000552</v>
      </c>
      <c r="B51" s="351" t="s">
        <v>279</v>
      </c>
      <c r="C51" s="339"/>
      <c r="D51" s="352"/>
      <c r="E51" s="353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56">
        <f t="shared" si="0"/>
        <v>0</v>
      </c>
    </row>
    <row r="52" spans="1:17" ht="27" thickBot="1" x14ac:dyDescent="0.45">
      <c r="A52" s="347">
        <v>1000045</v>
      </c>
      <c r="B52" s="348" t="s">
        <v>23</v>
      </c>
      <c r="D52" s="352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56">
        <f t="shared" si="0"/>
        <v>0</v>
      </c>
      <c r="Q52" s="339"/>
    </row>
  </sheetData>
  <mergeCells count="4">
    <mergeCell ref="D1:D2"/>
    <mergeCell ref="A1:B2"/>
    <mergeCell ref="F1:J2"/>
    <mergeCell ref="A3:B3"/>
  </mergeCells>
  <pageMargins left="0.7" right="0.7" top="0.75" bottom="0.75" header="0.3" footer="0.3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ADB7-6F10-4B73-874A-A0FE6E454A33}">
  <sheetPr>
    <tabColor rgb="FFFF0000"/>
    <pageSetUpPr fitToPage="1"/>
  </sheetPr>
  <dimension ref="A1:S53"/>
  <sheetViews>
    <sheetView zoomScale="90" zoomScaleNormal="90" workbookViewId="0">
      <selection activeCell="P30" sqref="P30:P31"/>
    </sheetView>
  </sheetViews>
  <sheetFormatPr baseColWidth="10" defaultColWidth="10.875" defaultRowHeight="15" x14ac:dyDescent="0.25"/>
  <cols>
    <col min="1" max="1" width="10.25" style="308" bestFit="1" customWidth="1"/>
    <col min="2" max="2" width="31.375" style="308" customWidth="1"/>
    <col min="3" max="3" width="0.875" style="308" customWidth="1"/>
    <col min="4" max="4" width="8.5" style="308" bestFit="1" customWidth="1"/>
    <col min="5" max="5" width="1" style="308" customWidth="1"/>
    <col min="6" max="6" width="6.375" style="324" bestFit="1" customWidth="1"/>
    <col min="7" max="7" width="4.375" style="324" bestFit="1" customWidth="1"/>
    <col min="8" max="8" width="6.375" style="324" bestFit="1" customWidth="1"/>
    <col min="9" max="9" width="4.375" style="324" bestFit="1" customWidth="1"/>
    <col min="10" max="10" width="6.375" style="324" bestFit="1" customWidth="1"/>
    <col min="11" max="11" width="4.375" style="324" bestFit="1" customWidth="1"/>
    <col min="12" max="12" width="6.375" style="324" bestFit="1" customWidth="1"/>
    <col min="13" max="13" width="4.375" style="324" bestFit="1" customWidth="1"/>
    <col min="14" max="14" width="6.375" style="324" bestFit="1" customWidth="1"/>
    <col min="15" max="15" width="4.375" style="324" bestFit="1" customWidth="1"/>
    <col min="16" max="16" width="8.875" style="324" customWidth="1"/>
    <col min="17" max="17" width="12.125" style="308" bestFit="1" customWidth="1"/>
    <col min="18" max="16384" width="10.875" style="308"/>
  </cols>
  <sheetData>
    <row r="1" spans="1:16" ht="17.25" customHeight="1" x14ac:dyDescent="0.25">
      <c r="A1" s="686" t="s">
        <v>166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</row>
    <row r="2" spans="1:16" ht="17.25" customHeight="1" x14ac:dyDescent="0.25">
      <c r="A2" s="732"/>
      <c r="B2" s="733"/>
      <c r="C2" s="18"/>
      <c r="D2" s="697"/>
      <c r="F2" s="734"/>
      <c r="G2" s="735"/>
      <c r="H2" s="735"/>
      <c r="I2" s="735"/>
      <c r="J2" s="736"/>
      <c r="K2" s="18"/>
    </row>
    <row r="3" spans="1:16" s="3" customFormat="1" ht="17.25" customHeight="1" thickBot="1" x14ac:dyDescent="0.3">
      <c r="A3" s="688"/>
      <c r="B3" s="689"/>
      <c r="C3" s="18"/>
      <c r="D3" s="18"/>
      <c r="F3" s="693"/>
      <c r="G3" s="694"/>
      <c r="H3" s="694"/>
      <c r="I3" s="694"/>
      <c r="J3" s="695"/>
      <c r="K3" s="18"/>
      <c r="L3" s="325"/>
      <c r="M3" s="325"/>
      <c r="N3" s="325"/>
      <c r="O3" s="325"/>
      <c r="P3" s="325"/>
    </row>
    <row r="4" spans="1:16" s="3" customFormat="1" ht="22.5" customHeight="1" thickBot="1" x14ac:dyDescent="0.3">
      <c r="A4" s="720" t="s">
        <v>296</v>
      </c>
      <c r="B4" s="720"/>
      <c r="C4" s="18"/>
      <c r="D4" s="18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22.5" customHeight="1" thickBot="1" x14ac:dyDescent="0.3">
      <c r="A5" s="5"/>
      <c r="B5" s="5"/>
      <c r="C5" s="18"/>
      <c r="D5" s="18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</row>
    <row r="6" spans="1:16" s="3" customFormat="1" ht="17.25" customHeight="1" thickBot="1" x14ac:dyDescent="0.3">
      <c r="A6" s="6" t="s">
        <v>0</v>
      </c>
      <c r="B6" s="6" t="s">
        <v>105</v>
      </c>
      <c r="C6" s="4"/>
      <c r="D6" s="21" t="s">
        <v>106</v>
      </c>
      <c r="E6" s="308"/>
      <c r="F6" s="372" t="s">
        <v>283</v>
      </c>
      <c r="G6" s="373" t="s">
        <v>288</v>
      </c>
      <c r="H6" s="372" t="s">
        <v>284</v>
      </c>
      <c r="I6" s="373" t="s">
        <v>288</v>
      </c>
      <c r="J6" s="372" t="s">
        <v>285</v>
      </c>
      <c r="K6" s="373" t="s">
        <v>288</v>
      </c>
      <c r="L6" s="372" t="s">
        <v>286</v>
      </c>
      <c r="M6" s="373" t="s">
        <v>288</v>
      </c>
      <c r="N6" s="372" t="s">
        <v>287</v>
      </c>
      <c r="O6" s="373" t="s">
        <v>288</v>
      </c>
      <c r="P6" s="52" t="s">
        <v>98</v>
      </c>
    </row>
    <row r="7" spans="1:16" ht="15.75" thickBot="1" x14ac:dyDescent="0.3">
      <c r="A7" s="312">
        <v>10000102</v>
      </c>
      <c r="B7" s="310" t="s">
        <v>2</v>
      </c>
      <c r="C7" s="323"/>
      <c r="D7" s="362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599">
        <f>SUM(F7:N7)</f>
        <v>0</v>
      </c>
    </row>
    <row r="8" spans="1:16" ht="15.75" thickBot="1" x14ac:dyDescent="0.3">
      <c r="A8" s="316">
        <v>1000006</v>
      </c>
      <c r="B8" s="314" t="s">
        <v>4</v>
      </c>
      <c r="C8" s="323"/>
      <c r="D8" s="363"/>
      <c r="F8" s="329"/>
      <c r="G8" s="329"/>
      <c r="H8" s="329"/>
      <c r="I8" s="329"/>
      <c r="J8" s="329">
        <v>50</v>
      </c>
      <c r="K8" s="329"/>
      <c r="L8" s="329"/>
      <c r="M8" s="329"/>
      <c r="N8" s="329"/>
      <c r="O8" s="329"/>
      <c r="P8" s="603">
        <f t="shared" ref="P8:P53" si="0">SUM(F8:N8)</f>
        <v>50</v>
      </c>
    </row>
    <row r="9" spans="1:16" ht="15.75" thickBot="1" x14ac:dyDescent="0.3">
      <c r="A9" s="316">
        <v>1000007</v>
      </c>
      <c r="B9" s="314" t="s">
        <v>5</v>
      </c>
      <c r="C9" s="323"/>
      <c r="D9" s="363"/>
      <c r="F9" s="329"/>
      <c r="G9" s="329"/>
      <c r="H9" s="329"/>
      <c r="I9" s="329"/>
      <c r="J9" s="329">
        <v>50</v>
      </c>
      <c r="K9" s="329"/>
      <c r="L9" s="329"/>
      <c r="M9" s="329"/>
      <c r="N9" s="329"/>
      <c r="O9" s="329"/>
      <c r="P9" s="603">
        <f t="shared" si="0"/>
        <v>50</v>
      </c>
    </row>
    <row r="10" spans="1:16" ht="15.75" thickBot="1" x14ac:dyDescent="0.3">
      <c r="A10" s="316">
        <v>1000001</v>
      </c>
      <c r="B10" s="314" t="s">
        <v>8</v>
      </c>
      <c r="C10" s="323"/>
      <c r="D10" s="363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599">
        <f t="shared" si="0"/>
        <v>0</v>
      </c>
    </row>
    <row r="11" spans="1:16" ht="15.75" thickBot="1" x14ac:dyDescent="0.3">
      <c r="A11" s="316">
        <v>1000002</v>
      </c>
      <c r="B11" s="314" t="s">
        <v>9</v>
      </c>
      <c r="C11" s="323"/>
      <c r="D11" s="363"/>
      <c r="F11" s="329"/>
      <c r="G11" s="329"/>
      <c r="H11" s="329">
        <v>2</v>
      </c>
      <c r="I11" s="329"/>
      <c r="J11" s="329">
        <v>2</v>
      </c>
      <c r="K11" s="329"/>
      <c r="L11" s="329">
        <v>2</v>
      </c>
      <c r="M11" s="329"/>
      <c r="N11" s="329"/>
      <c r="O11" s="329"/>
      <c r="P11" s="603">
        <f t="shared" si="0"/>
        <v>6</v>
      </c>
    </row>
    <row r="12" spans="1:16" ht="15.75" thickBot="1" x14ac:dyDescent="0.3">
      <c r="A12" s="316">
        <v>1000004</v>
      </c>
      <c r="B12" s="314" t="s">
        <v>10</v>
      </c>
      <c r="C12" s="323"/>
      <c r="D12" s="363"/>
      <c r="F12" s="329"/>
      <c r="G12" s="329"/>
      <c r="H12" s="329">
        <v>2</v>
      </c>
      <c r="I12" s="329"/>
      <c r="J12" s="329">
        <v>2</v>
      </c>
      <c r="K12" s="329"/>
      <c r="L12" s="329">
        <v>2</v>
      </c>
      <c r="M12" s="329"/>
      <c r="N12" s="329">
        <v>2</v>
      </c>
      <c r="O12" s="329"/>
      <c r="P12" s="603">
        <f t="shared" si="0"/>
        <v>8</v>
      </c>
    </row>
    <row r="13" spans="1:16" ht="15.75" thickBot="1" x14ac:dyDescent="0.3">
      <c r="A13" s="316">
        <v>1000067</v>
      </c>
      <c r="B13" s="314" t="s">
        <v>11</v>
      </c>
      <c r="C13" s="323"/>
      <c r="D13" s="363"/>
      <c r="F13" s="329"/>
      <c r="G13" s="329"/>
      <c r="H13" s="329"/>
      <c r="I13" s="329"/>
      <c r="J13" s="329"/>
      <c r="K13" s="329"/>
      <c r="L13" s="329"/>
      <c r="M13" s="329"/>
      <c r="N13" s="329">
        <v>2</v>
      </c>
      <c r="O13" s="329"/>
      <c r="P13" s="603">
        <f t="shared" si="0"/>
        <v>2</v>
      </c>
    </row>
    <row r="14" spans="1:16" ht="15.75" thickBot="1" x14ac:dyDescent="0.3">
      <c r="A14" s="316">
        <v>1000054</v>
      </c>
      <c r="B14" s="314" t="s">
        <v>12</v>
      </c>
      <c r="C14" s="323"/>
      <c r="D14" s="363"/>
      <c r="F14" s="329">
        <v>10</v>
      </c>
      <c r="G14" s="329"/>
      <c r="H14" s="329">
        <v>10</v>
      </c>
      <c r="I14" s="329"/>
      <c r="J14" s="329">
        <v>10</v>
      </c>
      <c r="K14" s="329"/>
      <c r="L14" s="329">
        <v>10</v>
      </c>
      <c r="M14" s="329"/>
      <c r="N14" s="329">
        <v>10</v>
      </c>
      <c r="O14" s="329"/>
      <c r="P14" s="603">
        <f t="shared" si="0"/>
        <v>50</v>
      </c>
    </row>
    <row r="15" spans="1:16" ht="15.75" thickBot="1" x14ac:dyDescent="0.3">
      <c r="A15" s="316">
        <v>1000070</v>
      </c>
      <c r="B15" s="314" t="s">
        <v>13</v>
      </c>
      <c r="C15" s="323"/>
      <c r="D15" s="363"/>
      <c r="F15" s="329">
        <v>1</v>
      </c>
      <c r="G15" s="329"/>
      <c r="H15" s="329">
        <v>1</v>
      </c>
      <c r="I15" s="329"/>
      <c r="J15" s="329">
        <v>1</v>
      </c>
      <c r="K15" s="329"/>
      <c r="L15" s="329">
        <v>2</v>
      </c>
      <c r="M15" s="329"/>
      <c r="N15" s="329">
        <v>2</v>
      </c>
      <c r="O15" s="329"/>
      <c r="P15" s="603">
        <f t="shared" si="0"/>
        <v>7</v>
      </c>
    </row>
    <row r="16" spans="1:16" ht="15.75" thickBot="1" x14ac:dyDescent="0.3">
      <c r="A16" s="316">
        <v>1000017</v>
      </c>
      <c r="B16" s="314" t="s">
        <v>14</v>
      </c>
      <c r="C16" s="323"/>
      <c r="D16" s="363"/>
      <c r="F16" s="329">
        <v>20</v>
      </c>
      <c r="G16" s="329"/>
      <c r="H16" s="329">
        <v>20</v>
      </c>
      <c r="I16" s="329"/>
      <c r="J16" s="329">
        <v>20</v>
      </c>
      <c r="K16" s="329"/>
      <c r="L16" s="329">
        <v>20</v>
      </c>
      <c r="M16" s="329"/>
      <c r="N16" s="329">
        <v>20</v>
      </c>
      <c r="O16" s="329"/>
      <c r="P16" s="603">
        <f t="shared" si="0"/>
        <v>100</v>
      </c>
    </row>
    <row r="17" spans="1:16" ht="15.75" thickBot="1" x14ac:dyDescent="0.3">
      <c r="A17" s="316">
        <v>1000016</v>
      </c>
      <c r="B17" s="314" t="s">
        <v>15</v>
      </c>
      <c r="C17" s="323"/>
      <c r="D17" s="363"/>
      <c r="F17" s="329">
        <v>5</v>
      </c>
      <c r="G17" s="329"/>
      <c r="H17" s="329">
        <v>5</v>
      </c>
      <c r="I17" s="329"/>
      <c r="J17" s="329"/>
      <c r="K17" s="329"/>
      <c r="L17" s="329"/>
      <c r="M17" s="329"/>
      <c r="N17" s="329">
        <v>5</v>
      </c>
      <c r="O17" s="329"/>
      <c r="P17" s="603">
        <f t="shared" si="0"/>
        <v>15</v>
      </c>
    </row>
    <row r="18" spans="1:16" ht="15.75" thickBot="1" x14ac:dyDescent="0.3">
      <c r="A18" s="316">
        <v>1000041</v>
      </c>
      <c r="B18" s="314" t="s">
        <v>16</v>
      </c>
      <c r="C18" s="323"/>
      <c r="D18" s="363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599">
        <f t="shared" si="0"/>
        <v>0</v>
      </c>
    </row>
    <row r="19" spans="1:16" ht="15.75" thickBot="1" x14ac:dyDescent="0.3">
      <c r="A19" s="316">
        <v>1000009</v>
      </c>
      <c r="B19" s="314" t="s">
        <v>19</v>
      </c>
      <c r="C19" s="323"/>
      <c r="D19" s="363"/>
      <c r="F19" s="329"/>
      <c r="G19" s="329"/>
      <c r="H19" s="329"/>
      <c r="I19" s="329"/>
      <c r="J19" s="329">
        <v>2</v>
      </c>
      <c r="K19" s="329"/>
      <c r="L19" s="329">
        <v>2</v>
      </c>
      <c r="M19" s="329"/>
      <c r="N19" s="329">
        <v>2</v>
      </c>
      <c r="O19" s="329"/>
      <c r="P19" s="603">
        <f t="shared" si="0"/>
        <v>6</v>
      </c>
    </row>
    <row r="20" spans="1:16" ht="15.75" thickBot="1" x14ac:dyDescent="0.3">
      <c r="A20" s="316">
        <v>1000049</v>
      </c>
      <c r="B20" s="314" t="s">
        <v>21</v>
      </c>
      <c r="C20" s="323"/>
      <c r="D20" s="363"/>
      <c r="F20" s="329"/>
      <c r="G20" s="329"/>
      <c r="H20" s="329"/>
      <c r="I20" s="329"/>
      <c r="J20" s="329"/>
      <c r="K20" s="329"/>
      <c r="L20" s="329"/>
      <c r="M20" s="329"/>
      <c r="N20" s="329">
        <v>3</v>
      </c>
      <c r="O20" s="329"/>
      <c r="P20" s="603">
        <f t="shared" si="0"/>
        <v>3</v>
      </c>
    </row>
    <row r="21" spans="1:16" ht="15.75" thickBot="1" x14ac:dyDescent="0.3">
      <c r="A21" s="316">
        <v>1000050</v>
      </c>
      <c r="B21" s="314" t="s">
        <v>22</v>
      </c>
      <c r="C21" s="323"/>
      <c r="D21" s="363"/>
      <c r="F21" s="329"/>
      <c r="G21" s="329"/>
      <c r="H21" s="329"/>
      <c r="I21" s="329"/>
      <c r="J21" s="329"/>
      <c r="K21" s="329"/>
      <c r="L21" s="329"/>
      <c r="M21" s="329"/>
      <c r="N21" s="329">
        <v>3</v>
      </c>
      <c r="O21" s="329"/>
      <c r="P21" s="603">
        <f t="shared" si="0"/>
        <v>3</v>
      </c>
    </row>
    <row r="22" spans="1:16" ht="15.75" thickBot="1" x14ac:dyDescent="0.3">
      <c r="A22" s="316">
        <v>1000031</v>
      </c>
      <c r="B22" s="314" t="s">
        <v>25</v>
      </c>
      <c r="C22" s="323"/>
      <c r="D22" s="363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599">
        <f t="shared" si="0"/>
        <v>0</v>
      </c>
    </row>
    <row r="23" spans="1:16" ht="15.75" thickBot="1" x14ac:dyDescent="0.3">
      <c r="A23" s="316">
        <v>1000032</v>
      </c>
      <c r="B23" s="314" t="s">
        <v>26</v>
      </c>
      <c r="C23" s="323"/>
      <c r="D23" s="363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599">
        <f t="shared" si="0"/>
        <v>0</v>
      </c>
    </row>
    <row r="24" spans="1:16" ht="15.75" thickBot="1" x14ac:dyDescent="0.3">
      <c r="A24" s="316">
        <v>1000029</v>
      </c>
      <c r="B24" s="314" t="s">
        <v>30</v>
      </c>
      <c r="C24" s="323"/>
      <c r="D24" s="363"/>
      <c r="F24" s="329"/>
      <c r="G24" s="329"/>
      <c r="H24" s="329">
        <v>1</v>
      </c>
      <c r="I24" s="329"/>
      <c r="J24" s="329"/>
      <c r="K24" s="329"/>
      <c r="L24" s="329"/>
      <c r="M24" s="329"/>
      <c r="N24" s="329"/>
      <c r="O24" s="329"/>
      <c r="P24" s="603">
        <f t="shared" si="0"/>
        <v>1</v>
      </c>
    </row>
    <row r="25" spans="1:16" ht="15.75" thickBot="1" x14ac:dyDescent="0.3">
      <c r="A25" s="316">
        <v>1000027</v>
      </c>
      <c r="B25" s="314" t="s">
        <v>33</v>
      </c>
      <c r="C25" s="323"/>
      <c r="D25" s="363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599">
        <f t="shared" si="0"/>
        <v>0</v>
      </c>
    </row>
    <row r="26" spans="1:16" ht="15.75" thickBot="1" x14ac:dyDescent="0.3">
      <c r="A26" s="316">
        <v>1000073</v>
      </c>
      <c r="B26" s="314" t="s">
        <v>36</v>
      </c>
      <c r="C26" s="323"/>
      <c r="D26" s="363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599">
        <f t="shared" si="0"/>
        <v>0</v>
      </c>
    </row>
    <row r="27" spans="1:16" ht="15.75" thickBot="1" x14ac:dyDescent="0.3">
      <c r="A27" s="316">
        <v>1000146</v>
      </c>
      <c r="B27" s="314" t="s">
        <v>39</v>
      </c>
      <c r="C27" s="323"/>
      <c r="D27" s="363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599">
        <f t="shared" si="0"/>
        <v>0</v>
      </c>
    </row>
    <row r="28" spans="1:16" ht="15.75" thickBot="1" x14ac:dyDescent="0.3">
      <c r="A28" s="316">
        <v>10248</v>
      </c>
      <c r="B28" s="314" t="s">
        <v>183</v>
      </c>
      <c r="C28" s="323"/>
      <c r="D28" s="363"/>
      <c r="F28" s="329">
        <v>6</v>
      </c>
      <c r="G28" s="329"/>
      <c r="H28" s="329">
        <v>6</v>
      </c>
      <c r="I28" s="329"/>
      <c r="J28" s="329">
        <v>6</v>
      </c>
      <c r="K28" s="329"/>
      <c r="L28" s="329">
        <v>6</v>
      </c>
      <c r="M28" s="329"/>
      <c r="N28" s="329">
        <v>12</v>
      </c>
      <c r="O28" s="329"/>
      <c r="P28" s="603">
        <f t="shared" si="0"/>
        <v>36</v>
      </c>
    </row>
    <row r="29" spans="1:16" ht="15.75" thickBot="1" x14ac:dyDescent="0.3">
      <c r="A29" s="316">
        <v>1000052</v>
      </c>
      <c r="B29" s="314" t="s">
        <v>41</v>
      </c>
      <c r="C29" s="323"/>
      <c r="D29" s="363"/>
      <c r="F29" s="329"/>
      <c r="G29" s="329"/>
      <c r="H29" s="329">
        <v>3</v>
      </c>
      <c r="I29" s="329"/>
      <c r="J29" s="329"/>
      <c r="K29" s="329"/>
      <c r="L29" s="329">
        <v>2</v>
      </c>
      <c r="M29" s="329"/>
      <c r="N29" s="329">
        <v>3</v>
      </c>
      <c r="O29" s="329"/>
      <c r="P29" s="603">
        <f t="shared" si="0"/>
        <v>8</v>
      </c>
    </row>
    <row r="30" spans="1:16" ht="15.75" thickBot="1" x14ac:dyDescent="0.3">
      <c r="A30" s="316">
        <v>1000089</v>
      </c>
      <c r="B30" s="314" t="s">
        <v>42</v>
      </c>
      <c r="C30" s="323"/>
      <c r="D30" s="363"/>
      <c r="F30" s="329"/>
      <c r="G30" s="329"/>
      <c r="H30" s="329">
        <v>3</v>
      </c>
      <c r="I30" s="329"/>
      <c r="J30" s="329"/>
      <c r="K30" s="329"/>
      <c r="L30" s="329">
        <v>3</v>
      </c>
      <c r="M30" s="329"/>
      <c r="N30" s="329">
        <v>3</v>
      </c>
      <c r="O30" s="329"/>
      <c r="P30" s="603">
        <f t="shared" si="0"/>
        <v>9</v>
      </c>
    </row>
    <row r="31" spans="1:16" ht="15.75" thickBot="1" x14ac:dyDescent="0.3">
      <c r="A31" s="316">
        <v>1000051</v>
      </c>
      <c r="B31" s="314" t="s">
        <v>43</v>
      </c>
      <c r="C31" s="323"/>
      <c r="D31" s="363"/>
      <c r="F31" s="329"/>
      <c r="G31" s="329"/>
      <c r="H31" s="329"/>
      <c r="I31" s="329"/>
      <c r="J31" s="329"/>
      <c r="K31" s="329"/>
      <c r="L31" s="329">
        <v>2</v>
      </c>
      <c r="M31" s="329"/>
      <c r="N31" s="329"/>
      <c r="O31" s="329"/>
      <c r="P31" s="603">
        <f t="shared" si="0"/>
        <v>2</v>
      </c>
    </row>
    <row r="32" spans="1:16" ht="15.75" thickBot="1" x14ac:dyDescent="0.3">
      <c r="A32" s="316">
        <v>1000048</v>
      </c>
      <c r="B32" s="314" t="s">
        <v>45</v>
      </c>
      <c r="C32" s="323"/>
      <c r="D32" s="363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599">
        <f t="shared" si="0"/>
        <v>0</v>
      </c>
    </row>
    <row r="33" spans="1:19" ht="15.75" thickBot="1" x14ac:dyDescent="0.3">
      <c r="A33" s="316">
        <v>1000076</v>
      </c>
      <c r="B33" s="314" t="s">
        <v>46</v>
      </c>
      <c r="C33" s="323"/>
      <c r="D33" s="363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599">
        <f t="shared" si="0"/>
        <v>0</v>
      </c>
    </row>
    <row r="34" spans="1:19" ht="15.75" thickBot="1" x14ac:dyDescent="0.3">
      <c r="A34" s="316">
        <v>1000214</v>
      </c>
      <c r="B34" s="314" t="s">
        <v>49</v>
      </c>
      <c r="C34" s="323"/>
      <c r="D34" s="363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599">
        <f t="shared" si="0"/>
        <v>0</v>
      </c>
    </row>
    <row r="35" spans="1:19" ht="15.75" thickBot="1" x14ac:dyDescent="0.3">
      <c r="A35" s="316">
        <v>1000142</v>
      </c>
      <c r="B35" s="314" t="s">
        <v>54</v>
      </c>
      <c r="C35" s="323"/>
      <c r="D35" s="363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599">
        <f t="shared" si="0"/>
        <v>0</v>
      </c>
    </row>
    <row r="36" spans="1:19" ht="15.75" thickBot="1" x14ac:dyDescent="0.3">
      <c r="A36" s="316">
        <v>1000100</v>
      </c>
      <c r="B36" s="314" t="s">
        <v>34</v>
      </c>
      <c r="C36" s="323"/>
      <c r="D36" s="363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599">
        <f t="shared" si="0"/>
        <v>0</v>
      </c>
    </row>
    <row r="37" spans="1:19" ht="15.75" thickBot="1" x14ac:dyDescent="0.3">
      <c r="A37" s="316">
        <v>1000101</v>
      </c>
      <c r="B37" s="314" t="s">
        <v>35</v>
      </c>
      <c r="C37" s="323"/>
      <c r="D37" s="363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599">
        <f t="shared" si="0"/>
        <v>0</v>
      </c>
      <c r="S37" s="626" t="s">
        <v>336</v>
      </c>
    </row>
    <row r="38" spans="1:19" s="15" customFormat="1" ht="15.95" customHeight="1" thickBot="1" x14ac:dyDescent="0.3">
      <c r="A38" s="316">
        <v>1000010</v>
      </c>
      <c r="B38" s="314" t="s">
        <v>17</v>
      </c>
      <c r="C38" s="323"/>
      <c r="D38" s="363"/>
      <c r="E38" s="308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599">
        <f t="shared" si="0"/>
        <v>0</v>
      </c>
    </row>
    <row r="39" spans="1:19" ht="15.75" thickBot="1" x14ac:dyDescent="0.3">
      <c r="A39" s="316">
        <v>1000034</v>
      </c>
      <c r="B39" s="314" t="s">
        <v>28</v>
      </c>
      <c r="C39" s="323"/>
      <c r="D39" s="363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599">
        <f t="shared" si="0"/>
        <v>0</v>
      </c>
    </row>
    <row r="40" spans="1:19" ht="15.75" thickBot="1" x14ac:dyDescent="0.3">
      <c r="A40" s="316">
        <v>1000035</v>
      </c>
      <c r="B40" s="314" t="s">
        <v>297</v>
      </c>
      <c r="C40" s="323"/>
      <c r="D40" s="363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599">
        <f t="shared" si="0"/>
        <v>0</v>
      </c>
    </row>
    <row r="41" spans="1:19" ht="15.75" thickBot="1" x14ac:dyDescent="0.3">
      <c r="A41" s="316">
        <v>1000025</v>
      </c>
      <c r="B41" s="314" t="s">
        <v>32</v>
      </c>
      <c r="C41" s="323"/>
      <c r="D41" s="363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599">
        <f t="shared" si="0"/>
        <v>0</v>
      </c>
    </row>
    <row r="42" spans="1:19" ht="15.75" thickBot="1" x14ac:dyDescent="0.3">
      <c r="A42" s="316">
        <v>1000008</v>
      </c>
      <c r="B42" s="314" t="s">
        <v>7</v>
      </c>
      <c r="C42" s="323"/>
      <c r="D42" s="363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599">
        <f t="shared" si="0"/>
        <v>0</v>
      </c>
    </row>
    <row r="43" spans="1:19" ht="15.75" thickBot="1" x14ac:dyDescent="0.3">
      <c r="A43" s="316">
        <v>1000084</v>
      </c>
      <c r="B43" s="314" t="s">
        <v>38</v>
      </c>
      <c r="C43" s="323"/>
      <c r="D43" s="363"/>
      <c r="F43" s="329">
        <v>8</v>
      </c>
      <c r="G43" s="329"/>
      <c r="H43" s="329">
        <v>8</v>
      </c>
      <c r="I43" s="329"/>
      <c r="J43" s="329">
        <v>8</v>
      </c>
      <c r="K43" s="329"/>
      <c r="L43" s="329">
        <v>8</v>
      </c>
      <c r="M43" s="329"/>
      <c r="N43" s="329">
        <v>8</v>
      </c>
      <c r="O43" s="329"/>
      <c r="P43" s="603">
        <f t="shared" si="0"/>
        <v>40</v>
      </c>
    </row>
    <row r="44" spans="1:19" ht="15.75" thickBot="1" x14ac:dyDescent="0.3">
      <c r="A44" s="316">
        <v>1000087</v>
      </c>
      <c r="B44" s="314" t="s">
        <v>69</v>
      </c>
      <c r="C44" s="323"/>
      <c r="D44" s="363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599">
        <f t="shared" si="0"/>
        <v>0</v>
      </c>
    </row>
    <row r="45" spans="1:19" ht="15.75" thickBot="1" x14ac:dyDescent="0.3">
      <c r="A45" s="316">
        <v>1000057</v>
      </c>
      <c r="B45" s="314" t="s">
        <v>70</v>
      </c>
      <c r="C45" s="323"/>
      <c r="D45" s="363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599">
        <f t="shared" si="0"/>
        <v>0</v>
      </c>
    </row>
    <row r="46" spans="1:19" ht="15.75" thickBot="1" x14ac:dyDescent="0.3">
      <c r="A46" s="316">
        <v>1000472</v>
      </c>
      <c r="B46" s="314" t="s">
        <v>222</v>
      </c>
      <c r="C46" s="323"/>
      <c r="D46" s="363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599">
        <f t="shared" si="0"/>
        <v>0</v>
      </c>
    </row>
    <row r="47" spans="1:19" ht="15.75" thickBot="1" x14ac:dyDescent="0.3">
      <c r="A47" s="316">
        <v>1000383</v>
      </c>
      <c r="B47" s="314" t="s">
        <v>264</v>
      </c>
      <c r="C47" s="323"/>
      <c r="D47" s="363"/>
      <c r="F47" s="329">
        <v>24</v>
      </c>
      <c r="G47" s="329"/>
      <c r="H47" s="329">
        <v>24</v>
      </c>
      <c r="I47" s="329"/>
      <c r="J47" s="329">
        <v>24</v>
      </c>
      <c r="K47" s="329"/>
      <c r="L47" s="329">
        <v>32</v>
      </c>
      <c r="M47" s="329"/>
      <c r="N47" s="329">
        <v>32</v>
      </c>
      <c r="O47" s="329"/>
      <c r="P47" s="603">
        <f t="shared" si="0"/>
        <v>136</v>
      </c>
    </row>
    <row r="48" spans="1:19" ht="15.75" thickBot="1" x14ac:dyDescent="0.3">
      <c r="A48" s="316">
        <v>1000075</v>
      </c>
      <c r="B48" s="314" t="s">
        <v>47</v>
      </c>
      <c r="C48" s="323"/>
      <c r="D48" s="363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599">
        <f t="shared" si="0"/>
        <v>0</v>
      </c>
    </row>
    <row r="49" spans="1:16" ht="15.75" thickBot="1" x14ac:dyDescent="0.3">
      <c r="A49" s="316">
        <v>1000436</v>
      </c>
      <c r="B49" s="314" t="s">
        <v>276</v>
      </c>
      <c r="C49" s="323"/>
      <c r="D49" s="363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599">
        <f t="shared" si="0"/>
        <v>0</v>
      </c>
    </row>
    <row r="50" spans="1:16" ht="15.75" thickBot="1" x14ac:dyDescent="0.3">
      <c r="A50" s="316">
        <v>1000550</v>
      </c>
      <c r="B50" s="314" t="s">
        <v>277</v>
      </c>
      <c r="C50" s="323"/>
      <c r="D50" s="363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599">
        <f t="shared" si="0"/>
        <v>0</v>
      </c>
    </row>
    <row r="51" spans="1:16" ht="15.75" thickBot="1" x14ac:dyDescent="0.3">
      <c r="A51" s="316">
        <v>1000551</v>
      </c>
      <c r="B51" s="314" t="s">
        <v>278</v>
      </c>
      <c r="C51" s="323"/>
      <c r="D51" s="363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599">
        <f t="shared" si="0"/>
        <v>0</v>
      </c>
    </row>
    <row r="52" spans="1:16" ht="15.75" thickBot="1" x14ac:dyDescent="0.3">
      <c r="A52" s="316">
        <v>1000552</v>
      </c>
      <c r="B52" s="314" t="s">
        <v>279</v>
      </c>
      <c r="C52" s="323"/>
      <c r="D52" s="363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599">
        <f t="shared" si="0"/>
        <v>0</v>
      </c>
    </row>
    <row r="53" spans="1:16" ht="15.75" thickBot="1" x14ac:dyDescent="0.3">
      <c r="A53" s="35">
        <v>1000035</v>
      </c>
      <c r="B53" s="549" t="s">
        <v>29</v>
      </c>
      <c r="C53" s="320"/>
      <c r="D53" s="321"/>
      <c r="E53" s="320"/>
      <c r="F53" s="329">
        <v>1</v>
      </c>
      <c r="G53" s="329"/>
      <c r="H53" s="329">
        <v>1</v>
      </c>
      <c r="I53" s="329"/>
      <c r="J53" s="329"/>
      <c r="K53" s="329"/>
      <c r="L53" s="329">
        <v>1</v>
      </c>
      <c r="M53" s="329"/>
      <c r="N53" s="329">
        <v>1</v>
      </c>
      <c r="O53" s="329"/>
      <c r="P53" s="603">
        <f t="shared" si="0"/>
        <v>4</v>
      </c>
    </row>
  </sheetData>
  <mergeCells count="4">
    <mergeCell ref="A1:B3"/>
    <mergeCell ref="F1:J3"/>
    <mergeCell ref="A4:B4"/>
    <mergeCell ref="D1:D2"/>
  </mergeCells>
  <pageMargins left="0.7" right="0.7" top="0.75" bottom="0.75" header="0.3" footer="0.3"/>
  <pageSetup paperSize="9" scale="6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2F92-5DDF-433F-883D-84388B069398}">
  <sheetPr>
    <tabColor rgb="FFFF0000"/>
    <pageSetUpPr fitToPage="1"/>
  </sheetPr>
  <dimension ref="A1:R61"/>
  <sheetViews>
    <sheetView topLeftCell="A31" zoomScaleNormal="100" workbookViewId="0">
      <selection activeCell="A52" sqref="A52:B52"/>
    </sheetView>
  </sheetViews>
  <sheetFormatPr baseColWidth="10" defaultColWidth="10.875" defaultRowHeight="15" x14ac:dyDescent="0.25"/>
  <cols>
    <col min="1" max="1" width="9.875" style="308" customWidth="1"/>
    <col min="2" max="2" width="40.125" style="308" bestFit="1" customWidth="1"/>
    <col min="3" max="3" width="0.5" style="308" customWidth="1"/>
    <col min="4" max="4" width="8.5" style="308" bestFit="1" customWidth="1"/>
    <col min="5" max="5" width="0.5" style="308" customWidth="1"/>
    <col min="6" max="6" width="6.625" style="324" customWidth="1"/>
    <col min="7" max="7" width="4.125" style="324" bestFit="1" customWidth="1"/>
    <col min="8" max="8" width="6.875" style="324" customWidth="1"/>
    <col min="9" max="9" width="4.125" style="324" bestFit="1" customWidth="1"/>
    <col min="10" max="10" width="8.75" style="324" customWidth="1"/>
    <col min="11" max="11" width="4.125" style="324" bestFit="1" customWidth="1"/>
    <col min="12" max="12" width="7" style="324" customWidth="1"/>
    <col min="13" max="13" width="4.125" style="324" bestFit="1" customWidth="1"/>
    <col min="14" max="14" width="6.875" style="324" customWidth="1"/>
    <col min="15" max="15" width="4.125" style="324" bestFit="1" customWidth="1"/>
    <col min="16" max="16" width="9.25" style="324" customWidth="1"/>
    <col min="17" max="16384" width="10.875" style="308"/>
  </cols>
  <sheetData>
    <row r="1" spans="1:16" ht="17.25" customHeight="1" x14ac:dyDescent="0.25">
      <c r="A1" s="686" t="s">
        <v>261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</row>
    <row r="2" spans="1:16" s="3" customFormat="1" ht="17.2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L2" s="325"/>
      <c r="M2" s="325"/>
      <c r="N2" s="325"/>
      <c r="O2" s="325"/>
      <c r="P2" s="325"/>
    </row>
    <row r="3" spans="1:16" s="3" customFormat="1" ht="29.25" thickBot="1" x14ac:dyDescent="0.3">
      <c r="A3" s="720" t="s">
        <v>303</v>
      </c>
      <c r="B3" s="720"/>
      <c r="C3" s="18"/>
      <c r="D3" s="18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6" s="3" customFormat="1" ht="17.25" customHeight="1" thickBot="1" x14ac:dyDescent="0.3">
      <c r="A4" s="5"/>
      <c r="B4" s="5"/>
      <c r="C4" s="18"/>
      <c r="D4" s="18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6" s="3" customFormat="1" ht="17.25" customHeight="1" thickBot="1" x14ac:dyDescent="0.3">
      <c r="A5" s="6" t="s">
        <v>0</v>
      </c>
      <c r="B5" s="6" t="s">
        <v>105</v>
      </c>
      <c r="C5" s="4"/>
      <c r="D5" s="21" t="s">
        <v>106</v>
      </c>
      <c r="E5" s="308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52" t="s">
        <v>98</v>
      </c>
    </row>
    <row r="6" spans="1:16" ht="15.75" thickBot="1" x14ac:dyDescent="0.3">
      <c r="A6" s="312">
        <v>10000015</v>
      </c>
      <c r="B6" s="310" t="s">
        <v>1</v>
      </c>
      <c r="C6" s="323"/>
      <c r="D6" s="362">
        <v>1</v>
      </c>
      <c r="F6" s="329">
        <v>5</v>
      </c>
      <c r="G6" s="329"/>
      <c r="H6" s="329"/>
      <c r="I6" s="329"/>
      <c r="J6" s="329">
        <v>5</v>
      </c>
      <c r="K6" s="329"/>
      <c r="L6" s="329">
        <v>5</v>
      </c>
      <c r="M6" s="329"/>
      <c r="N6" s="329">
        <v>5</v>
      </c>
      <c r="O6" s="329"/>
      <c r="P6" s="371">
        <f t="shared" ref="P6:P61" si="0">SUM(F6:O6)</f>
        <v>20</v>
      </c>
    </row>
    <row r="7" spans="1:16" ht="15.75" thickBot="1" x14ac:dyDescent="0.3">
      <c r="A7" s="316">
        <v>1000006</v>
      </c>
      <c r="B7" s="314" t="s">
        <v>4</v>
      </c>
      <c r="C7" s="323"/>
      <c r="D7" s="363">
        <v>500</v>
      </c>
      <c r="F7" s="329"/>
      <c r="G7" s="329"/>
      <c r="H7" s="329">
        <v>50</v>
      </c>
      <c r="I7" s="329"/>
      <c r="J7" s="329">
        <v>50</v>
      </c>
      <c r="K7" s="329"/>
      <c r="L7" s="329">
        <v>50</v>
      </c>
      <c r="M7" s="329"/>
      <c r="N7" s="329">
        <v>50</v>
      </c>
      <c r="O7" s="329"/>
      <c r="P7" s="371">
        <f t="shared" si="0"/>
        <v>200</v>
      </c>
    </row>
    <row r="8" spans="1:16" ht="15.75" thickBot="1" x14ac:dyDescent="0.3">
      <c r="A8" s="316">
        <v>1000008</v>
      </c>
      <c r="B8" s="314" t="s">
        <v>7</v>
      </c>
      <c r="C8" s="323"/>
      <c r="D8" s="363">
        <v>100</v>
      </c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6">
        <f t="shared" si="0"/>
        <v>0</v>
      </c>
    </row>
    <row r="9" spans="1:16" ht="15.75" thickBot="1" x14ac:dyDescent="0.3">
      <c r="A9" s="316">
        <v>1000001</v>
      </c>
      <c r="B9" s="314" t="s">
        <v>8</v>
      </c>
      <c r="C9" s="323"/>
      <c r="D9" s="363">
        <v>3</v>
      </c>
      <c r="F9" s="329"/>
      <c r="G9" s="329"/>
      <c r="H9" s="329">
        <v>2</v>
      </c>
      <c r="I9" s="329"/>
      <c r="J9" s="329">
        <v>2</v>
      </c>
      <c r="K9" s="329"/>
      <c r="L9" s="329">
        <v>2</v>
      </c>
      <c r="M9" s="329"/>
      <c r="N9" s="329">
        <v>2</v>
      </c>
      <c r="O9" s="329"/>
      <c r="P9" s="371">
        <f t="shared" si="0"/>
        <v>8</v>
      </c>
    </row>
    <row r="10" spans="1:16" ht="15.75" thickBot="1" x14ac:dyDescent="0.3">
      <c r="A10" s="316">
        <v>1000002</v>
      </c>
      <c r="B10" s="314" t="s">
        <v>9</v>
      </c>
      <c r="C10" s="323"/>
      <c r="D10" s="363">
        <v>1</v>
      </c>
      <c r="F10" s="329"/>
      <c r="G10" s="329"/>
      <c r="H10" s="329"/>
      <c r="I10" s="329"/>
      <c r="J10" s="329"/>
      <c r="K10" s="329"/>
      <c r="L10" s="329">
        <v>2</v>
      </c>
      <c r="M10" s="329"/>
      <c r="N10" s="329"/>
      <c r="O10" s="329"/>
      <c r="P10" s="371">
        <f t="shared" si="0"/>
        <v>2</v>
      </c>
    </row>
    <row r="11" spans="1:16" ht="15.75" thickBot="1" x14ac:dyDescent="0.3">
      <c r="A11" s="316">
        <v>1000004</v>
      </c>
      <c r="B11" s="314" t="s">
        <v>10</v>
      </c>
      <c r="C11" s="323"/>
      <c r="D11" s="363">
        <v>2</v>
      </c>
      <c r="F11" s="329">
        <v>2</v>
      </c>
      <c r="G11" s="329"/>
      <c r="H11" s="329">
        <v>2</v>
      </c>
      <c r="I11" s="329"/>
      <c r="J11" s="329">
        <v>2</v>
      </c>
      <c r="K11" s="329"/>
      <c r="L11" s="329">
        <v>2</v>
      </c>
      <c r="M11" s="329"/>
      <c r="N11" s="329">
        <v>2</v>
      </c>
      <c r="O11" s="329"/>
      <c r="P11" s="371">
        <f t="shared" si="0"/>
        <v>10</v>
      </c>
    </row>
    <row r="12" spans="1:16" ht="15.75" thickBot="1" x14ac:dyDescent="0.3">
      <c r="A12" s="316">
        <v>1000054</v>
      </c>
      <c r="B12" s="314" t="s">
        <v>12</v>
      </c>
      <c r="C12" s="323"/>
      <c r="D12" s="363">
        <v>60</v>
      </c>
      <c r="F12" s="329">
        <v>5</v>
      </c>
      <c r="G12" s="329"/>
      <c r="H12" s="329">
        <v>5</v>
      </c>
      <c r="I12" s="329"/>
      <c r="J12" s="329">
        <v>5</v>
      </c>
      <c r="K12" s="329"/>
      <c r="L12" s="329">
        <v>5</v>
      </c>
      <c r="M12" s="329"/>
      <c r="N12" s="329">
        <v>5</v>
      </c>
      <c r="O12" s="329"/>
      <c r="P12" s="371">
        <f t="shared" si="0"/>
        <v>25</v>
      </c>
    </row>
    <row r="13" spans="1:16" ht="15.75" thickBot="1" x14ac:dyDescent="0.3">
      <c r="A13" s="316">
        <v>1000017</v>
      </c>
      <c r="B13" s="314" t="s">
        <v>14</v>
      </c>
      <c r="C13" s="323"/>
      <c r="D13" s="363">
        <v>20</v>
      </c>
      <c r="F13" s="329">
        <v>5</v>
      </c>
      <c r="G13" s="329"/>
      <c r="H13" s="329">
        <v>5</v>
      </c>
      <c r="I13" s="329"/>
      <c r="J13" s="329">
        <v>5</v>
      </c>
      <c r="K13" s="329"/>
      <c r="L13" s="329">
        <v>5</v>
      </c>
      <c r="M13" s="329"/>
      <c r="N13" s="329">
        <v>5</v>
      </c>
      <c r="O13" s="329"/>
      <c r="P13" s="371">
        <f t="shared" si="0"/>
        <v>25</v>
      </c>
    </row>
    <row r="14" spans="1:16" ht="15.75" thickBot="1" x14ac:dyDescent="0.3">
      <c r="A14" s="316">
        <v>1000016</v>
      </c>
      <c r="B14" s="314" t="s">
        <v>15</v>
      </c>
      <c r="C14" s="323"/>
      <c r="D14" s="363">
        <v>5</v>
      </c>
      <c r="F14" s="329"/>
      <c r="G14" s="329"/>
      <c r="H14" s="329"/>
      <c r="I14" s="329"/>
      <c r="J14" s="329"/>
      <c r="K14" s="329"/>
      <c r="L14" s="329"/>
      <c r="M14" s="329"/>
      <c r="N14" s="329"/>
      <c r="O14" s="329"/>
      <c r="P14" s="326">
        <f t="shared" si="0"/>
        <v>0</v>
      </c>
    </row>
    <row r="15" spans="1:16" ht="15.75" thickBot="1" x14ac:dyDescent="0.3">
      <c r="A15" s="316">
        <v>1000041</v>
      </c>
      <c r="B15" s="314" t="s">
        <v>16</v>
      </c>
      <c r="C15" s="323"/>
      <c r="D15" s="363">
        <v>10</v>
      </c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6">
        <f t="shared" si="0"/>
        <v>0</v>
      </c>
    </row>
    <row r="16" spans="1:16" ht="15.75" thickBot="1" x14ac:dyDescent="0.3">
      <c r="A16" s="316">
        <v>1000049</v>
      </c>
      <c r="B16" s="364" t="s">
        <v>21</v>
      </c>
      <c r="C16" s="323"/>
      <c r="D16" s="363">
        <v>1</v>
      </c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6">
        <f t="shared" si="0"/>
        <v>0</v>
      </c>
    </row>
    <row r="17" spans="1:18" ht="15.75" thickBot="1" x14ac:dyDescent="0.3">
      <c r="A17" s="316">
        <v>1000050</v>
      </c>
      <c r="B17" s="314" t="s">
        <v>22</v>
      </c>
      <c r="C17" s="323"/>
      <c r="D17" s="363">
        <v>1</v>
      </c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6">
        <f t="shared" si="0"/>
        <v>0</v>
      </c>
    </row>
    <row r="18" spans="1:18" ht="15.75" thickBot="1" x14ac:dyDescent="0.3">
      <c r="A18" s="316">
        <v>1000045</v>
      </c>
      <c r="B18" s="314" t="s">
        <v>23</v>
      </c>
      <c r="C18" s="323"/>
      <c r="D18" s="363">
        <v>1</v>
      </c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6">
        <f t="shared" si="0"/>
        <v>0</v>
      </c>
    </row>
    <row r="19" spans="1:18" ht="15.75" thickBot="1" x14ac:dyDescent="0.3">
      <c r="A19" s="316">
        <v>1000030</v>
      </c>
      <c r="B19" s="314" t="s">
        <v>24</v>
      </c>
      <c r="C19" s="323"/>
      <c r="D19" s="363">
        <v>4</v>
      </c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6">
        <f t="shared" si="0"/>
        <v>0</v>
      </c>
    </row>
    <row r="20" spans="1:18" ht="15.75" thickBot="1" x14ac:dyDescent="0.3">
      <c r="A20" s="316">
        <v>1000031</v>
      </c>
      <c r="B20" s="314" t="s">
        <v>25</v>
      </c>
      <c r="C20" s="323"/>
      <c r="D20" s="363">
        <v>4</v>
      </c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6">
        <f t="shared" si="0"/>
        <v>0</v>
      </c>
    </row>
    <row r="21" spans="1:18" ht="15.75" thickBot="1" x14ac:dyDescent="0.3">
      <c r="A21" s="316">
        <v>1000026</v>
      </c>
      <c r="B21" s="314" t="s">
        <v>31</v>
      </c>
      <c r="C21" s="323"/>
      <c r="D21" s="363">
        <v>4</v>
      </c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6">
        <f t="shared" si="0"/>
        <v>0</v>
      </c>
    </row>
    <row r="22" spans="1:18" ht="15.75" thickBot="1" x14ac:dyDescent="0.3">
      <c r="A22" s="316">
        <v>1000027</v>
      </c>
      <c r="B22" s="314" t="s">
        <v>33</v>
      </c>
      <c r="C22" s="323"/>
      <c r="D22" s="363">
        <v>12</v>
      </c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6">
        <f t="shared" si="0"/>
        <v>0</v>
      </c>
      <c r="R22" s="543" t="s">
        <v>448</v>
      </c>
    </row>
    <row r="23" spans="1:18" ht="15.75" thickBot="1" x14ac:dyDescent="0.3">
      <c r="A23" s="316">
        <v>1000100</v>
      </c>
      <c r="B23" s="314" t="s">
        <v>34</v>
      </c>
      <c r="C23" s="323"/>
      <c r="D23" s="363">
        <v>1</v>
      </c>
      <c r="F23" s="329"/>
      <c r="G23" s="329"/>
      <c r="H23" s="329"/>
      <c r="I23" s="329"/>
      <c r="J23" s="329"/>
      <c r="K23" s="329"/>
      <c r="L23" s="329"/>
      <c r="M23" s="329"/>
      <c r="N23" s="329">
        <v>1</v>
      </c>
      <c r="O23" s="329"/>
      <c r="P23" s="371">
        <f t="shared" si="0"/>
        <v>1</v>
      </c>
    </row>
    <row r="24" spans="1:18" ht="15.75" thickBot="1" x14ac:dyDescent="0.3">
      <c r="A24" s="316">
        <v>1000082</v>
      </c>
      <c r="B24" s="314" t="s">
        <v>37</v>
      </c>
      <c r="C24" s="323"/>
      <c r="D24" s="363">
        <v>60</v>
      </c>
      <c r="F24" s="329">
        <v>8</v>
      </c>
      <c r="G24" s="329"/>
      <c r="H24" s="329">
        <v>8</v>
      </c>
      <c r="I24" s="329"/>
      <c r="J24" s="329">
        <v>8</v>
      </c>
      <c r="K24" s="329"/>
      <c r="L24" s="329">
        <v>8</v>
      </c>
      <c r="M24" s="329"/>
      <c r="N24" s="329">
        <v>8</v>
      </c>
      <c r="O24" s="329"/>
      <c r="P24" s="371">
        <f t="shared" si="0"/>
        <v>40</v>
      </c>
    </row>
    <row r="25" spans="1:18" ht="15.75" thickBot="1" x14ac:dyDescent="0.3">
      <c r="A25" s="316">
        <v>1000084</v>
      </c>
      <c r="B25" s="314" t="s">
        <v>38</v>
      </c>
      <c r="C25" s="323"/>
      <c r="D25" s="363">
        <v>30</v>
      </c>
      <c r="F25" s="329"/>
      <c r="G25" s="329"/>
      <c r="H25" s="329">
        <v>4</v>
      </c>
      <c r="I25" s="329"/>
      <c r="J25" s="329">
        <v>4</v>
      </c>
      <c r="K25" s="329"/>
      <c r="L25" s="329">
        <v>4</v>
      </c>
      <c r="M25" s="329"/>
      <c r="N25" s="329">
        <v>4</v>
      </c>
      <c r="O25" s="329"/>
      <c r="P25" s="371">
        <f t="shared" si="0"/>
        <v>16</v>
      </c>
    </row>
    <row r="26" spans="1:18" ht="15.75" thickBot="1" x14ac:dyDescent="0.3">
      <c r="A26" s="316">
        <v>1000052</v>
      </c>
      <c r="B26" s="314" t="s">
        <v>41</v>
      </c>
      <c r="C26" s="323"/>
      <c r="D26" s="363">
        <v>6</v>
      </c>
      <c r="F26" s="329"/>
      <c r="G26" s="329"/>
      <c r="H26" s="329"/>
      <c r="I26" s="329"/>
      <c r="J26" s="329"/>
      <c r="K26" s="329"/>
      <c r="L26" s="329">
        <v>1</v>
      </c>
      <c r="M26" s="329"/>
      <c r="N26" s="329"/>
      <c r="O26" s="329"/>
      <c r="P26" s="371">
        <f t="shared" si="0"/>
        <v>1</v>
      </c>
    </row>
    <row r="27" spans="1:18" ht="15.75" thickBot="1" x14ac:dyDescent="0.3">
      <c r="A27" s="316">
        <v>1000089</v>
      </c>
      <c r="B27" s="314" t="s">
        <v>42</v>
      </c>
      <c r="C27" s="323"/>
      <c r="D27" s="363">
        <v>6</v>
      </c>
      <c r="F27" s="329"/>
      <c r="G27" s="329"/>
      <c r="H27" s="329">
        <v>2</v>
      </c>
      <c r="I27" s="329"/>
      <c r="J27" s="329">
        <v>2</v>
      </c>
      <c r="K27" s="329"/>
      <c r="L27" s="329">
        <v>2</v>
      </c>
      <c r="M27" s="329"/>
      <c r="N27" s="329">
        <v>2</v>
      </c>
      <c r="O27" s="329"/>
      <c r="P27" s="371">
        <f t="shared" si="0"/>
        <v>8</v>
      </c>
    </row>
    <row r="28" spans="1:18" ht="15.75" thickBot="1" x14ac:dyDescent="0.3">
      <c r="A28" s="316">
        <v>1000051</v>
      </c>
      <c r="B28" s="314" t="s">
        <v>43</v>
      </c>
      <c r="C28" s="323"/>
      <c r="D28" s="363">
        <v>1</v>
      </c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6">
        <f t="shared" si="0"/>
        <v>0</v>
      </c>
    </row>
    <row r="29" spans="1:18" ht="15.75" thickBot="1" x14ac:dyDescent="0.3">
      <c r="A29" s="316">
        <v>1000048</v>
      </c>
      <c r="B29" s="314" t="s">
        <v>45</v>
      </c>
      <c r="C29" s="323"/>
      <c r="D29" s="363">
        <v>1</v>
      </c>
      <c r="F29" s="329"/>
      <c r="G29" s="329"/>
      <c r="H29" s="329"/>
      <c r="I29" s="329"/>
      <c r="J29" s="329">
        <v>1</v>
      </c>
      <c r="K29" s="329"/>
      <c r="L29" s="329"/>
      <c r="M29" s="329"/>
      <c r="N29" s="329"/>
      <c r="O29" s="329"/>
      <c r="P29" s="371">
        <f t="shared" si="0"/>
        <v>1</v>
      </c>
    </row>
    <row r="30" spans="1:18" ht="15.75" thickBot="1" x14ac:dyDescent="0.3">
      <c r="A30" s="316">
        <v>1000142</v>
      </c>
      <c r="B30" s="314" t="s">
        <v>54</v>
      </c>
      <c r="C30" s="323"/>
      <c r="D30" s="363">
        <v>1</v>
      </c>
      <c r="F30" s="329"/>
      <c r="G30" s="329"/>
      <c r="H30" s="329"/>
      <c r="I30" s="329"/>
      <c r="J30" s="329"/>
      <c r="K30" s="329"/>
      <c r="L30" s="329">
        <v>1</v>
      </c>
      <c r="M30" s="329"/>
      <c r="N30" s="329"/>
      <c r="O30" s="329"/>
      <c r="P30" s="371">
        <f t="shared" si="0"/>
        <v>1</v>
      </c>
    </row>
    <row r="31" spans="1:18" ht="15.75" thickBot="1" x14ac:dyDescent="0.3">
      <c r="A31" s="316">
        <v>1000205</v>
      </c>
      <c r="B31" s="314" t="s">
        <v>82</v>
      </c>
      <c r="C31" s="323"/>
      <c r="D31" s="363">
        <v>1</v>
      </c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6">
        <f t="shared" si="0"/>
        <v>0</v>
      </c>
    </row>
    <row r="32" spans="1:18" ht="15.75" thickBot="1" x14ac:dyDescent="0.3">
      <c r="A32" s="316">
        <v>1000070</v>
      </c>
      <c r="B32" s="314" t="s">
        <v>13</v>
      </c>
      <c r="C32" s="323"/>
      <c r="D32" s="363">
        <v>1</v>
      </c>
      <c r="F32" s="329"/>
      <c r="G32" s="329"/>
      <c r="H32" s="329">
        <v>1</v>
      </c>
      <c r="I32" s="329"/>
      <c r="J32" s="329">
        <v>1</v>
      </c>
      <c r="K32" s="329"/>
      <c r="L32" s="329">
        <v>1</v>
      </c>
      <c r="M32" s="329"/>
      <c r="N32" s="329">
        <v>1</v>
      </c>
      <c r="O32" s="329"/>
      <c r="P32" s="371">
        <f t="shared" si="0"/>
        <v>4</v>
      </c>
    </row>
    <row r="33" spans="1:16" s="15" customFormat="1" ht="15.95" customHeight="1" thickBot="1" x14ac:dyDescent="0.3">
      <c r="A33" s="316">
        <v>1000067</v>
      </c>
      <c r="B33" s="314" t="s">
        <v>11</v>
      </c>
      <c r="C33" s="323"/>
      <c r="D33" s="363"/>
      <c r="E33" s="308"/>
      <c r="F33" s="329">
        <v>1</v>
      </c>
      <c r="G33" s="329"/>
      <c r="H33" s="329"/>
      <c r="I33" s="329"/>
      <c r="J33" s="329">
        <v>1</v>
      </c>
      <c r="K33" s="329"/>
      <c r="L33" s="329"/>
      <c r="M33" s="329"/>
      <c r="N33" s="329"/>
      <c r="O33" s="329"/>
      <c r="P33" s="371">
        <f t="shared" si="0"/>
        <v>2</v>
      </c>
    </row>
    <row r="34" spans="1:16" ht="15.75" thickBot="1" x14ac:dyDescent="0.3">
      <c r="A34" s="316">
        <v>1000146</v>
      </c>
      <c r="B34" s="314" t="s">
        <v>39</v>
      </c>
      <c r="C34" s="323"/>
      <c r="D34" s="363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6">
        <f t="shared" si="0"/>
        <v>0</v>
      </c>
    </row>
    <row r="35" spans="1:16" ht="15.75" thickBot="1" x14ac:dyDescent="0.3">
      <c r="A35" s="316">
        <v>1000032</v>
      </c>
      <c r="B35" s="314" t="s">
        <v>26</v>
      </c>
      <c r="C35" s="323"/>
      <c r="D35" s="363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6">
        <f t="shared" si="0"/>
        <v>0</v>
      </c>
    </row>
    <row r="36" spans="1:16" ht="15.75" thickBot="1" x14ac:dyDescent="0.3">
      <c r="A36" s="316">
        <v>1000087</v>
      </c>
      <c r="B36" s="314" t="s">
        <v>197</v>
      </c>
      <c r="C36" s="323"/>
      <c r="D36" s="363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6">
        <f t="shared" si="0"/>
        <v>0</v>
      </c>
    </row>
    <row r="37" spans="1:16" ht="15.75" thickBot="1" x14ac:dyDescent="0.3">
      <c r="A37" s="316">
        <v>1000011</v>
      </c>
      <c r="B37" s="314" t="s">
        <v>18</v>
      </c>
      <c r="C37" s="323"/>
      <c r="D37" s="363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6">
        <f t="shared" si="0"/>
        <v>0</v>
      </c>
    </row>
    <row r="38" spans="1:16" ht="15.75" thickBot="1" x14ac:dyDescent="0.3">
      <c r="A38" s="316">
        <v>1000075</v>
      </c>
      <c r="B38" s="314" t="s">
        <v>47</v>
      </c>
      <c r="C38" s="323"/>
      <c r="D38" s="363"/>
      <c r="F38" s="329"/>
      <c r="G38" s="329"/>
      <c r="H38" s="329"/>
      <c r="I38" s="329"/>
      <c r="J38" s="329"/>
      <c r="K38" s="329"/>
      <c r="L38" s="329"/>
      <c r="M38" s="329"/>
      <c r="N38" s="329">
        <v>1</v>
      </c>
      <c r="O38" s="329"/>
      <c r="P38" s="371">
        <f t="shared" si="0"/>
        <v>1</v>
      </c>
    </row>
    <row r="39" spans="1:16" ht="15.75" thickBot="1" x14ac:dyDescent="0.3">
      <c r="A39" s="316">
        <v>1000147</v>
      </c>
      <c r="B39" s="314" t="s">
        <v>52</v>
      </c>
      <c r="C39" s="323"/>
      <c r="D39" s="363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6">
        <f t="shared" si="0"/>
        <v>0</v>
      </c>
    </row>
    <row r="40" spans="1:16" ht="15.75" thickBot="1" x14ac:dyDescent="0.3">
      <c r="A40" s="316">
        <v>10000102</v>
      </c>
      <c r="B40" s="314" t="s">
        <v>2</v>
      </c>
      <c r="C40" s="323"/>
      <c r="D40" s="363"/>
      <c r="F40" s="329"/>
      <c r="G40" s="329"/>
      <c r="H40" s="329"/>
      <c r="I40" s="329"/>
      <c r="J40" s="329">
        <v>1</v>
      </c>
      <c r="K40" s="329"/>
      <c r="L40" s="329"/>
      <c r="M40" s="329"/>
      <c r="N40" s="329"/>
      <c r="O40" s="329"/>
      <c r="P40" s="371">
        <f t="shared" si="0"/>
        <v>1</v>
      </c>
    </row>
    <row r="41" spans="1:16" ht="15.75" thickBot="1" x14ac:dyDescent="0.3">
      <c r="A41" s="316">
        <v>1000029</v>
      </c>
      <c r="B41" s="314" t="s">
        <v>30</v>
      </c>
      <c r="C41" s="323"/>
      <c r="D41" s="363"/>
      <c r="F41" s="329"/>
      <c r="G41" s="329"/>
      <c r="H41" s="329"/>
      <c r="I41" s="329"/>
      <c r="J41" s="329"/>
      <c r="K41" s="329"/>
      <c r="L41" s="329"/>
      <c r="M41" s="329"/>
      <c r="N41" s="329">
        <v>1</v>
      </c>
      <c r="O41" s="329"/>
      <c r="P41" s="371">
        <f t="shared" si="0"/>
        <v>1</v>
      </c>
    </row>
    <row r="42" spans="1:16" ht="15.75" thickBot="1" x14ac:dyDescent="0.3">
      <c r="A42" s="316">
        <v>1000073</v>
      </c>
      <c r="B42" s="314" t="s">
        <v>36</v>
      </c>
      <c r="C42" s="323"/>
      <c r="D42" s="363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6">
        <f t="shared" si="0"/>
        <v>0</v>
      </c>
    </row>
    <row r="43" spans="1:16" ht="15.75" thickBot="1" x14ac:dyDescent="0.3">
      <c r="A43" s="316">
        <v>1000076</v>
      </c>
      <c r="B43" s="314" t="s">
        <v>46</v>
      </c>
      <c r="C43" s="323"/>
      <c r="D43" s="363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6">
        <f t="shared" si="0"/>
        <v>0</v>
      </c>
    </row>
    <row r="44" spans="1:16" ht="15.75" thickBot="1" x14ac:dyDescent="0.3">
      <c r="A44" s="316">
        <v>10211</v>
      </c>
      <c r="B44" s="314" t="s">
        <v>3</v>
      </c>
      <c r="C44" s="323"/>
      <c r="D44" s="363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6">
        <f t="shared" si="0"/>
        <v>0</v>
      </c>
    </row>
    <row r="45" spans="1:16" ht="15.75" thickBot="1" x14ac:dyDescent="0.3">
      <c r="A45" s="316">
        <v>1000007</v>
      </c>
      <c r="B45" s="314" t="s">
        <v>5</v>
      </c>
      <c r="C45" s="323"/>
      <c r="D45" s="363"/>
      <c r="F45" s="329">
        <v>50</v>
      </c>
      <c r="G45" s="329"/>
      <c r="H45" s="329">
        <v>50</v>
      </c>
      <c r="I45" s="329"/>
      <c r="J45" s="329">
        <v>50</v>
      </c>
      <c r="K45" s="329"/>
      <c r="L45" s="329">
        <v>50</v>
      </c>
      <c r="M45" s="329"/>
      <c r="N45" s="329">
        <v>50</v>
      </c>
      <c r="O45" s="329"/>
      <c r="P45" s="371">
        <f t="shared" si="0"/>
        <v>250</v>
      </c>
    </row>
    <row r="46" spans="1:16" ht="15.75" thickBot="1" x14ac:dyDescent="0.3">
      <c r="A46" s="316">
        <v>1000033</v>
      </c>
      <c r="B46" s="314" t="s">
        <v>27</v>
      </c>
      <c r="C46" s="323"/>
      <c r="D46" s="363"/>
      <c r="F46" s="329"/>
      <c r="G46" s="329"/>
      <c r="H46" s="329">
        <v>1</v>
      </c>
      <c r="I46" s="329"/>
      <c r="J46" s="329">
        <v>1</v>
      </c>
      <c r="K46" s="329"/>
      <c r="L46" s="329">
        <v>1</v>
      </c>
      <c r="M46" s="329"/>
      <c r="N46" s="329">
        <v>1</v>
      </c>
      <c r="O46" s="329"/>
      <c r="P46" s="371">
        <f t="shared" si="0"/>
        <v>4</v>
      </c>
    </row>
    <row r="47" spans="1:16" ht="15.75" thickBot="1" x14ac:dyDescent="0.3">
      <c r="A47" s="282">
        <v>1000034</v>
      </c>
      <c r="B47" s="314" t="s">
        <v>28</v>
      </c>
      <c r="C47" s="323"/>
      <c r="D47" s="363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6">
        <f t="shared" si="0"/>
        <v>0</v>
      </c>
    </row>
    <row r="48" spans="1:16" ht="15.75" thickBot="1" x14ac:dyDescent="0.3">
      <c r="A48" s="316">
        <v>1000061</v>
      </c>
      <c r="B48" s="314" t="s">
        <v>217</v>
      </c>
      <c r="C48" s="323"/>
      <c r="D48" s="363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6">
        <f t="shared" si="0"/>
        <v>0</v>
      </c>
    </row>
    <row r="49" spans="1:16" ht="15.75" thickBot="1" x14ac:dyDescent="0.3">
      <c r="A49" s="316">
        <v>1000025</v>
      </c>
      <c r="B49" s="314" t="s">
        <v>32</v>
      </c>
      <c r="C49" s="323"/>
      <c r="D49" s="363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6">
        <f t="shared" si="0"/>
        <v>0</v>
      </c>
    </row>
    <row r="50" spans="1:16" ht="15.75" thickBot="1" x14ac:dyDescent="0.3">
      <c r="A50" s="316">
        <v>1000067</v>
      </c>
      <c r="B50" s="314" t="s">
        <v>11</v>
      </c>
      <c r="C50" s="323"/>
      <c r="D50" s="363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6">
        <f t="shared" si="0"/>
        <v>0</v>
      </c>
    </row>
    <row r="51" spans="1:16" ht="15.75" thickBot="1" x14ac:dyDescent="0.3">
      <c r="A51" s="316">
        <v>1000472</v>
      </c>
      <c r="B51" s="314" t="s">
        <v>222</v>
      </c>
      <c r="C51" s="323"/>
      <c r="D51" s="363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6">
        <f t="shared" si="0"/>
        <v>0</v>
      </c>
    </row>
    <row r="52" spans="1:16" ht="15.75" thickBot="1" x14ac:dyDescent="0.3">
      <c r="A52" s="316">
        <v>1000090</v>
      </c>
      <c r="B52" s="314" t="s">
        <v>40</v>
      </c>
      <c r="C52" s="323"/>
      <c r="D52" s="363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6">
        <f t="shared" si="0"/>
        <v>0</v>
      </c>
    </row>
    <row r="53" spans="1:16" ht="15.75" thickBot="1" x14ac:dyDescent="0.3">
      <c r="A53" s="316">
        <v>1000383</v>
      </c>
      <c r="B53" s="314" t="s">
        <v>264</v>
      </c>
      <c r="C53" s="323"/>
      <c r="D53" s="363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6">
        <f t="shared" si="0"/>
        <v>0</v>
      </c>
    </row>
    <row r="54" spans="1:16" ht="15.75" thickBot="1" x14ac:dyDescent="0.3">
      <c r="A54" s="316">
        <v>1000486</v>
      </c>
      <c r="B54" s="314" t="s">
        <v>263</v>
      </c>
      <c r="C54" s="323"/>
      <c r="D54" s="363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6">
        <f t="shared" si="0"/>
        <v>0</v>
      </c>
    </row>
    <row r="55" spans="1:16" ht="15.75" thickBot="1" x14ac:dyDescent="0.3">
      <c r="A55" s="316">
        <v>1000080</v>
      </c>
      <c r="B55" s="314" t="s">
        <v>275</v>
      </c>
      <c r="C55" s="323"/>
      <c r="D55" s="363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6">
        <f t="shared" si="0"/>
        <v>0</v>
      </c>
    </row>
    <row r="56" spans="1:16" ht="15.75" thickBot="1" x14ac:dyDescent="0.3">
      <c r="A56" s="316">
        <v>1000436</v>
      </c>
      <c r="B56" s="314" t="s">
        <v>276</v>
      </c>
      <c r="C56" s="323"/>
      <c r="D56" s="363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6">
        <f t="shared" si="0"/>
        <v>0</v>
      </c>
    </row>
    <row r="57" spans="1:16" ht="15.75" thickBot="1" x14ac:dyDescent="0.3">
      <c r="A57" s="316">
        <v>1000550</v>
      </c>
      <c r="B57" s="314" t="s">
        <v>277</v>
      </c>
      <c r="C57" s="323"/>
      <c r="D57" s="363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6">
        <f t="shared" si="0"/>
        <v>0</v>
      </c>
    </row>
    <row r="58" spans="1:16" ht="16.5" thickBot="1" x14ac:dyDescent="0.3">
      <c r="A58" s="317">
        <v>1000551</v>
      </c>
      <c r="B58" s="314" t="s">
        <v>278</v>
      </c>
      <c r="C58" s="331"/>
      <c r="D58" s="316"/>
      <c r="E58" s="320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6">
        <f t="shared" si="0"/>
        <v>0</v>
      </c>
    </row>
    <row r="59" spans="1:16" ht="16.5" thickBot="1" x14ac:dyDescent="0.3">
      <c r="A59" s="334">
        <v>1000552</v>
      </c>
      <c r="B59" s="335" t="s">
        <v>279</v>
      </c>
      <c r="C59" s="331"/>
      <c r="D59" s="321"/>
      <c r="E59" s="320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6">
        <f t="shared" si="0"/>
        <v>0</v>
      </c>
    </row>
    <row r="60" spans="1:16" ht="15.75" thickBot="1" x14ac:dyDescent="0.3">
      <c r="A60" s="317">
        <v>10248</v>
      </c>
      <c r="B60" s="314" t="s">
        <v>183</v>
      </c>
      <c r="D60" s="321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6">
        <f t="shared" si="0"/>
        <v>0</v>
      </c>
    </row>
    <row r="61" spans="1:16" ht="15.75" thickBot="1" x14ac:dyDescent="0.3">
      <c r="A61" s="316">
        <v>1000009</v>
      </c>
      <c r="B61" s="314" t="s">
        <v>19</v>
      </c>
      <c r="D61" s="321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6">
        <f t="shared" si="0"/>
        <v>0</v>
      </c>
    </row>
  </sheetData>
  <mergeCells count="4">
    <mergeCell ref="A1:B2"/>
    <mergeCell ref="F1:J2"/>
    <mergeCell ref="A3:B3"/>
    <mergeCell ref="D1:D2"/>
  </mergeCells>
  <pageMargins left="0.25" right="0.25" top="0.75" bottom="0.75" header="0.3" footer="0.3"/>
  <pageSetup paperSize="9" scale="5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1B89-73C9-4162-915C-A1CF50B5B357}">
  <sheetPr>
    <tabColor rgb="FFFF0000"/>
    <pageSetUpPr fitToPage="1"/>
  </sheetPr>
  <dimension ref="A1:R53"/>
  <sheetViews>
    <sheetView topLeftCell="A18" zoomScale="85" zoomScaleNormal="85" workbookViewId="0">
      <selection activeCell="U41" sqref="U41"/>
    </sheetView>
  </sheetViews>
  <sheetFormatPr baseColWidth="10" defaultColWidth="10.875" defaultRowHeight="15" x14ac:dyDescent="0.25"/>
  <cols>
    <col min="1" max="1" width="10.375" style="308" customWidth="1"/>
    <col min="2" max="2" width="39.375" style="308" customWidth="1"/>
    <col min="3" max="3" width="1.875" style="308" customWidth="1"/>
    <col min="4" max="4" width="8.375" style="308" bestFit="1" customWidth="1"/>
    <col min="5" max="5" width="1.875" style="308" customWidth="1"/>
    <col min="6" max="6" width="7.125" style="324" customWidth="1"/>
    <col min="7" max="7" width="4.375" style="324" bestFit="1" customWidth="1"/>
    <col min="8" max="8" width="6.75" style="324" customWidth="1"/>
    <col min="9" max="9" width="4.375" style="324" bestFit="1" customWidth="1"/>
    <col min="10" max="10" width="7.875" style="324" customWidth="1"/>
    <col min="11" max="11" width="4.375" style="324" bestFit="1" customWidth="1"/>
    <col min="12" max="12" width="6.75" style="324" customWidth="1"/>
    <col min="13" max="13" width="4.375" style="324" bestFit="1" customWidth="1"/>
    <col min="14" max="14" width="6.125" style="324" bestFit="1" customWidth="1"/>
    <col min="15" max="15" width="4.375" style="324" bestFit="1" customWidth="1"/>
    <col min="16" max="16" width="5.375" style="324" bestFit="1" customWidth="1"/>
    <col min="17" max="16384" width="10.875" style="308"/>
  </cols>
  <sheetData>
    <row r="1" spans="1:18" ht="15" customHeight="1" x14ac:dyDescent="0.25">
      <c r="A1" s="686" t="s">
        <v>129</v>
      </c>
      <c r="B1" s="687"/>
      <c r="C1" s="18"/>
      <c r="D1" s="697" t="s">
        <v>305</v>
      </c>
      <c r="F1" s="690" t="s">
        <v>474</v>
      </c>
      <c r="G1" s="691"/>
      <c r="H1" s="691"/>
      <c r="I1" s="691"/>
      <c r="J1" s="692"/>
      <c r="K1" s="18"/>
      <c r="L1" s="308"/>
      <c r="M1" s="308"/>
    </row>
    <row r="2" spans="1:18" s="3" customFormat="1" ht="16.5" customHeight="1" thickBot="1" x14ac:dyDescent="0.3">
      <c r="A2" s="688"/>
      <c r="B2" s="689"/>
      <c r="C2" s="18"/>
      <c r="D2" s="697"/>
      <c r="F2" s="693"/>
      <c r="G2" s="694"/>
      <c r="H2" s="694"/>
      <c r="I2" s="694"/>
      <c r="J2" s="695"/>
      <c r="K2" s="18"/>
      <c r="N2" s="325"/>
      <c r="O2" s="325"/>
      <c r="P2" s="325"/>
    </row>
    <row r="3" spans="1:18" s="3" customFormat="1" ht="29.25" thickBot="1" x14ac:dyDescent="0.3">
      <c r="A3" s="698" t="s">
        <v>299</v>
      </c>
      <c r="B3" s="698"/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</row>
    <row r="4" spans="1:18" s="3" customFormat="1" ht="7.5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78"/>
      <c r="R4" s="378"/>
    </row>
    <row r="5" spans="1:18" s="3" customFormat="1" ht="16.5" thickBot="1" x14ac:dyDescent="0.3">
      <c r="A5" s="375" t="s">
        <v>0</v>
      </c>
      <c r="B5" s="6" t="s">
        <v>105</v>
      </c>
      <c r="C5" s="4"/>
      <c r="D5" s="7" t="s">
        <v>106</v>
      </c>
      <c r="E5" s="308"/>
      <c r="F5" s="372" t="s">
        <v>283</v>
      </c>
      <c r="G5" s="373" t="s">
        <v>288</v>
      </c>
      <c r="H5" s="372" t="s">
        <v>284</v>
      </c>
      <c r="I5" s="373" t="s">
        <v>288</v>
      </c>
      <c r="J5" s="372" t="s">
        <v>285</v>
      </c>
      <c r="K5" s="373" t="s">
        <v>288</v>
      </c>
      <c r="L5" s="372" t="s">
        <v>286</v>
      </c>
      <c r="M5" s="373" t="s">
        <v>288</v>
      </c>
      <c r="N5" s="372" t="s">
        <v>287</v>
      </c>
      <c r="O5" s="373" t="s">
        <v>288</v>
      </c>
      <c r="P5" s="6" t="s">
        <v>98</v>
      </c>
    </row>
    <row r="6" spans="1:18" ht="15.75" thickBot="1" x14ac:dyDescent="0.3">
      <c r="A6" s="376">
        <v>10000015</v>
      </c>
      <c r="B6" s="310" t="s">
        <v>1</v>
      </c>
      <c r="C6" s="323"/>
      <c r="D6" s="362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6">
        <f>SUM(F6+H6+J6+L6+N6)</f>
        <v>0</v>
      </c>
    </row>
    <row r="7" spans="1:18" ht="15.75" thickBot="1" x14ac:dyDescent="0.3">
      <c r="A7" s="317">
        <v>1000006</v>
      </c>
      <c r="B7" s="314" t="s">
        <v>4</v>
      </c>
      <c r="C7" s="323"/>
      <c r="D7" s="363"/>
      <c r="F7" s="329">
        <v>50</v>
      </c>
      <c r="G7" s="329"/>
      <c r="H7" s="329">
        <v>50</v>
      </c>
      <c r="I7" s="329"/>
      <c r="J7" s="329"/>
      <c r="K7" s="329"/>
      <c r="L7" s="329">
        <v>50</v>
      </c>
      <c r="M7" s="329"/>
      <c r="N7" s="329">
        <v>50</v>
      </c>
      <c r="O7" s="329"/>
      <c r="P7" s="371">
        <f t="shared" ref="P7:P52" si="0">SUM(F7+H7+J7+L7+N7)</f>
        <v>200</v>
      </c>
    </row>
    <row r="8" spans="1:18" ht="15.75" thickBot="1" x14ac:dyDescent="0.3">
      <c r="A8" s="317">
        <v>1000007</v>
      </c>
      <c r="B8" s="314" t="s">
        <v>5</v>
      </c>
      <c r="C8" s="323"/>
      <c r="D8" s="363"/>
      <c r="F8" s="329">
        <v>50</v>
      </c>
      <c r="G8" s="329"/>
      <c r="H8" s="329">
        <v>50</v>
      </c>
      <c r="I8" s="329"/>
      <c r="J8" s="329"/>
      <c r="K8" s="329"/>
      <c r="L8" s="329">
        <v>50</v>
      </c>
      <c r="M8" s="329"/>
      <c r="N8" s="329">
        <v>50</v>
      </c>
      <c r="O8" s="329"/>
      <c r="P8" s="371">
        <f t="shared" si="0"/>
        <v>200</v>
      </c>
    </row>
    <row r="9" spans="1:18" ht="15.75" thickBot="1" x14ac:dyDescent="0.3">
      <c r="A9" s="317">
        <v>1000001</v>
      </c>
      <c r="B9" s="314" t="s">
        <v>8</v>
      </c>
      <c r="C9" s="323"/>
      <c r="D9" s="363"/>
      <c r="F9" s="329">
        <v>2</v>
      </c>
      <c r="G9" s="329"/>
      <c r="H9" s="329">
        <v>3</v>
      </c>
      <c r="I9" s="329"/>
      <c r="J9" s="329"/>
      <c r="K9" s="329"/>
      <c r="L9" s="329">
        <v>3</v>
      </c>
      <c r="M9" s="329"/>
      <c r="N9" s="329">
        <v>3</v>
      </c>
      <c r="O9" s="329"/>
      <c r="P9" s="371">
        <f t="shared" si="0"/>
        <v>11</v>
      </c>
    </row>
    <row r="10" spans="1:18" ht="15.75" thickBot="1" x14ac:dyDescent="0.3">
      <c r="A10" s="317">
        <v>1000002</v>
      </c>
      <c r="B10" s="314" t="s">
        <v>9</v>
      </c>
      <c r="C10" s="323"/>
      <c r="D10" s="363"/>
      <c r="F10" s="329"/>
      <c r="G10" s="329"/>
      <c r="H10" s="329">
        <v>1</v>
      </c>
      <c r="I10" s="329"/>
      <c r="J10" s="329"/>
      <c r="K10" s="329"/>
      <c r="L10" s="329">
        <v>2</v>
      </c>
      <c r="M10" s="329"/>
      <c r="N10" s="329"/>
      <c r="O10" s="329"/>
      <c r="P10" s="326">
        <f t="shared" si="0"/>
        <v>3</v>
      </c>
    </row>
    <row r="11" spans="1:18" ht="15.75" thickBot="1" x14ac:dyDescent="0.3">
      <c r="A11" s="317">
        <v>1000004</v>
      </c>
      <c r="B11" s="314" t="s">
        <v>10</v>
      </c>
      <c r="C11" s="323"/>
      <c r="D11" s="363"/>
      <c r="F11" s="329">
        <v>2</v>
      </c>
      <c r="G11" s="329"/>
      <c r="H11" s="329"/>
      <c r="I11" s="329"/>
      <c r="J11" s="329"/>
      <c r="K11" s="329"/>
      <c r="L11" s="329">
        <v>3</v>
      </c>
      <c r="M11" s="329"/>
      <c r="N11" s="329">
        <v>2</v>
      </c>
      <c r="O11" s="329"/>
      <c r="P11" s="371">
        <f t="shared" si="0"/>
        <v>7</v>
      </c>
    </row>
    <row r="12" spans="1:18" ht="15.75" thickBot="1" x14ac:dyDescent="0.3">
      <c r="A12" s="317">
        <v>1000067</v>
      </c>
      <c r="B12" s="314" t="s">
        <v>11</v>
      </c>
      <c r="C12" s="323"/>
      <c r="D12" s="363"/>
      <c r="F12" s="329"/>
      <c r="G12" s="329"/>
      <c r="H12" s="329"/>
      <c r="I12" s="329"/>
      <c r="J12" s="329"/>
      <c r="K12" s="329"/>
      <c r="L12" s="329"/>
      <c r="M12" s="329"/>
      <c r="N12" s="329">
        <v>1</v>
      </c>
      <c r="O12" s="329"/>
      <c r="P12" s="326">
        <f t="shared" si="0"/>
        <v>1</v>
      </c>
    </row>
    <row r="13" spans="1:18" ht="15.75" thickBot="1" x14ac:dyDescent="0.3">
      <c r="A13" s="317">
        <v>1000054</v>
      </c>
      <c r="B13" s="314" t="s">
        <v>12</v>
      </c>
      <c r="C13" s="323"/>
      <c r="D13" s="363"/>
      <c r="F13" s="329"/>
      <c r="G13" s="329"/>
      <c r="H13" s="329"/>
      <c r="I13" s="329"/>
      <c r="J13" s="329"/>
      <c r="K13" s="329"/>
      <c r="L13" s="329"/>
      <c r="M13" s="329"/>
      <c r="N13" s="329">
        <v>5</v>
      </c>
      <c r="O13" s="329"/>
      <c r="P13" s="326">
        <f t="shared" si="0"/>
        <v>5</v>
      </c>
    </row>
    <row r="14" spans="1:18" ht="15.75" thickBot="1" x14ac:dyDescent="0.3">
      <c r="A14" s="317">
        <v>1000017</v>
      </c>
      <c r="B14" s="314" t="s">
        <v>14</v>
      </c>
      <c r="C14" s="323"/>
      <c r="D14" s="363"/>
      <c r="F14" s="329">
        <v>5</v>
      </c>
      <c r="G14" s="329"/>
      <c r="H14" s="329">
        <v>5</v>
      </c>
      <c r="I14" s="329"/>
      <c r="J14" s="329"/>
      <c r="K14" s="329"/>
      <c r="L14" s="329">
        <v>10</v>
      </c>
      <c r="M14" s="329"/>
      <c r="N14" s="329">
        <v>10</v>
      </c>
      <c r="O14" s="329"/>
      <c r="P14" s="371">
        <f t="shared" si="0"/>
        <v>30</v>
      </c>
    </row>
    <row r="15" spans="1:18" ht="15.75" thickBot="1" x14ac:dyDescent="0.3">
      <c r="A15" s="317">
        <v>1000010</v>
      </c>
      <c r="B15" s="314" t="s">
        <v>17</v>
      </c>
      <c r="C15" s="323"/>
      <c r="D15" s="363"/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6">
        <f t="shared" si="0"/>
        <v>0</v>
      </c>
    </row>
    <row r="16" spans="1:18" ht="15.75" thickBot="1" x14ac:dyDescent="0.3">
      <c r="A16" s="317">
        <v>1000012</v>
      </c>
      <c r="B16" s="314" t="s">
        <v>20</v>
      </c>
      <c r="C16" s="323"/>
      <c r="D16" s="363"/>
      <c r="F16" s="329"/>
      <c r="G16" s="329"/>
      <c r="H16" s="329">
        <v>1</v>
      </c>
      <c r="I16" s="329"/>
      <c r="J16" s="329"/>
      <c r="K16" s="329"/>
      <c r="L16" s="329"/>
      <c r="M16" s="329"/>
      <c r="N16" s="329"/>
      <c r="O16" s="329"/>
      <c r="P16" s="326">
        <f t="shared" si="0"/>
        <v>1</v>
      </c>
    </row>
    <row r="17" spans="1:16" ht="15.75" thickBot="1" x14ac:dyDescent="0.3">
      <c r="A17" s="317">
        <v>1000049</v>
      </c>
      <c r="B17" s="364" t="s">
        <v>21</v>
      </c>
      <c r="C17" s="323"/>
      <c r="D17" s="363"/>
      <c r="F17" s="329">
        <v>2</v>
      </c>
      <c r="G17" s="329"/>
      <c r="H17" s="329"/>
      <c r="I17" s="329"/>
      <c r="J17" s="329"/>
      <c r="K17" s="329"/>
      <c r="L17" s="329"/>
      <c r="M17" s="329"/>
      <c r="N17" s="329"/>
      <c r="O17" s="329"/>
      <c r="P17" s="326">
        <f t="shared" si="0"/>
        <v>2</v>
      </c>
    </row>
    <row r="18" spans="1:16" ht="15.75" thickBot="1" x14ac:dyDescent="0.3">
      <c r="A18" s="317">
        <v>1000050</v>
      </c>
      <c r="B18" s="314" t="s">
        <v>22</v>
      </c>
      <c r="C18" s="323"/>
      <c r="D18" s="363"/>
      <c r="F18" s="329">
        <v>3</v>
      </c>
      <c r="G18" s="329"/>
      <c r="H18" s="329">
        <v>3</v>
      </c>
      <c r="I18" s="329"/>
      <c r="J18" s="329"/>
      <c r="K18" s="329"/>
      <c r="L18" s="329">
        <v>2</v>
      </c>
      <c r="M18" s="329"/>
      <c r="N18" s="329">
        <v>2</v>
      </c>
      <c r="O18" s="329"/>
      <c r="P18" s="371">
        <f t="shared" si="0"/>
        <v>10</v>
      </c>
    </row>
    <row r="19" spans="1:16" ht="15.75" thickBot="1" x14ac:dyDescent="0.3">
      <c r="A19" s="317">
        <v>1000045</v>
      </c>
      <c r="B19" s="365" t="s">
        <v>23</v>
      </c>
      <c r="C19" s="323"/>
      <c r="D19" s="363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6">
        <f t="shared" si="0"/>
        <v>0</v>
      </c>
    </row>
    <row r="20" spans="1:16" ht="15.75" thickBot="1" x14ac:dyDescent="0.3">
      <c r="A20" s="317">
        <v>1000031</v>
      </c>
      <c r="B20" s="314" t="s">
        <v>25</v>
      </c>
      <c r="C20" s="323"/>
      <c r="D20" s="363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6">
        <f t="shared" si="0"/>
        <v>0</v>
      </c>
    </row>
    <row r="21" spans="1:16" ht="15.75" thickBot="1" x14ac:dyDescent="0.3">
      <c r="A21" s="317">
        <v>1000146</v>
      </c>
      <c r="B21" s="314" t="s">
        <v>39</v>
      </c>
      <c r="C21" s="323"/>
      <c r="D21" s="363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71">
        <f t="shared" si="0"/>
        <v>0</v>
      </c>
    </row>
    <row r="22" spans="1:16" ht="15.75" thickBot="1" x14ac:dyDescent="0.3">
      <c r="A22" s="317">
        <v>1000052</v>
      </c>
      <c r="B22" s="314" t="s">
        <v>41</v>
      </c>
      <c r="C22" s="323"/>
      <c r="D22" s="363"/>
      <c r="F22" s="329">
        <v>2</v>
      </c>
      <c r="G22" s="329"/>
      <c r="H22" s="329"/>
      <c r="I22" s="329"/>
      <c r="J22" s="329"/>
      <c r="K22" s="329"/>
      <c r="L22" s="329">
        <v>2</v>
      </c>
      <c r="M22" s="329"/>
      <c r="N22" s="329">
        <v>2</v>
      </c>
      <c r="O22" s="329"/>
      <c r="P22" s="326">
        <f t="shared" si="0"/>
        <v>6</v>
      </c>
    </row>
    <row r="23" spans="1:16" ht="15.75" thickBot="1" x14ac:dyDescent="0.3">
      <c r="A23" s="317">
        <v>1000089</v>
      </c>
      <c r="B23" s="314" t="s">
        <v>42</v>
      </c>
      <c r="C23" s="323"/>
      <c r="D23" s="363"/>
      <c r="F23" s="329">
        <v>2</v>
      </c>
      <c r="G23" s="329"/>
      <c r="H23" s="329"/>
      <c r="I23" s="329"/>
      <c r="J23" s="329"/>
      <c r="K23" s="329"/>
      <c r="L23" s="329">
        <v>2</v>
      </c>
      <c r="M23" s="329"/>
      <c r="N23" s="329">
        <v>2</v>
      </c>
      <c r="O23" s="329"/>
      <c r="P23" s="326">
        <f t="shared" si="0"/>
        <v>6</v>
      </c>
    </row>
    <row r="24" spans="1:16" ht="15.75" thickBot="1" x14ac:dyDescent="0.3">
      <c r="A24" s="317">
        <v>1000051</v>
      </c>
      <c r="B24" s="314" t="s">
        <v>43</v>
      </c>
      <c r="C24" s="323"/>
      <c r="D24" s="363"/>
      <c r="F24" s="329">
        <v>2</v>
      </c>
      <c r="G24" s="329"/>
      <c r="H24" s="329"/>
      <c r="I24" s="329"/>
      <c r="J24" s="329"/>
      <c r="K24" s="329"/>
      <c r="L24" s="329">
        <v>2</v>
      </c>
      <c r="M24" s="329"/>
      <c r="N24" s="329">
        <v>2</v>
      </c>
      <c r="O24" s="329"/>
      <c r="P24" s="326">
        <f t="shared" si="0"/>
        <v>6</v>
      </c>
    </row>
    <row r="25" spans="1:16" ht="15.75" thickBot="1" x14ac:dyDescent="0.3">
      <c r="A25" s="317">
        <v>1000048</v>
      </c>
      <c r="B25" s="314" t="s">
        <v>45</v>
      </c>
      <c r="C25" s="323"/>
      <c r="D25" s="363"/>
      <c r="F25" s="329"/>
      <c r="G25" s="329"/>
      <c r="H25" s="329">
        <v>1</v>
      </c>
      <c r="I25" s="329"/>
      <c r="J25" s="329"/>
      <c r="K25" s="329"/>
      <c r="L25" s="329"/>
      <c r="M25" s="329"/>
      <c r="N25" s="329"/>
      <c r="O25" s="329"/>
      <c r="P25" s="326">
        <f t="shared" si="0"/>
        <v>1</v>
      </c>
    </row>
    <row r="26" spans="1:16" ht="15.75" thickBot="1" x14ac:dyDescent="0.3">
      <c r="A26" s="317">
        <v>1000075</v>
      </c>
      <c r="B26" s="314" t="s">
        <v>47</v>
      </c>
      <c r="C26" s="323"/>
      <c r="D26" s="363"/>
      <c r="F26" s="329"/>
      <c r="G26" s="329"/>
      <c r="H26" s="329">
        <v>2</v>
      </c>
      <c r="I26" s="329"/>
      <c r="J26" s="329"/>
      <c r="K26" s="329"/>
      <c r="L26" s="329"/>
      <c r="M26" s="329"/>
      <c r="N26" s="329"/>
      <c r="O26" s="329"/>
      <c r="P26" s="326">
        <f t="shared" si="0"/>
        <v>2</v>
      </c>
    </row>
    <row r="27" spans="1:16" ht="15.75" thickBot="1" x14ac:dyDescent="0.3">
      <c r="A27" s="317">
        <v>1000085</v>
      </c>
      <c r="B27" s="314" t="s">
        <v>50</v>
      </c>
      <c r="C27" s="323"/>
      <c r="D27" s="363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6">
        <f t="shared" si="0"/>
        <v>0</v>
      </c>
    </row>
    <row r="28" spans="1:16" ht="15.75" thickBot="1" x14ac:dyDescent="0.3">
      <c r="A28" s="377">
        <v>1000016</v>
      </c>
      <c r="B28" s="369" t="s">
        <v>15</v>
      </c>
      <c r="C28" s="323"/>
      <c r="D28" s="363"/>
      <c r="F28" s="329"/>
      <c r="G28" s="329"/>
      <c r="H28" s="329">
        <v>5</v>
      </c>
      <c r="I28" s="329"/>
      <c r="J28" s="329"/>
      <c r="K28" s="329"/>
      <c r="L28" s="329">
        <v>5</v>
      </c>
      <c r="M28" s="329"/>
      <c r="N28" s="329"/>
      <c r="O28" s="329"/>
      <c r="P28" s="326">
        <f t="shared" si="0"/>
        <v>10</v>
      </c>
    </row>
    <row r="29" spans="1:16" s="15" customFormat="1" ht="15.95" customHeight="1" thickBot="1" x14ac:dyDescent="0.3">
      <c r="A29" s="377">
        <v>1000034</v>
      </c>
      <c r="B29" s="369" t="s">
        <v>28</v>
      </c>
      <c r="C29" s="323"/>
      <c r="D29" s="363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6">
        <f t="shared" si="0"/>
        <v>0</v>
      </c>
    </row>
    <row r="30" spans="1:16" ht="15.75" thickBot="1" x14ac:dyDescent="0.3">
      <c r="A30" s="377">
        <v>1000033</v>
      </c>
      <c r="B30" s="369" t="s">
        <v>27</v>
      </c>
      <c r="C30" s="323"/>
      <c r="D30" s="370"/>
      <c r="F30" s="329"/>
      <c r="G30" s="329"/>
      <c r="H30" s="329">
        <v>2</v>
      </c>
      <c r="I30" s="329"/>
      <c r="J30" s="329"/>
      <c r="K30" s="329"/>
      <c r="L30" s="329">
        <v>2</v>
      </c>
      <c r="M30" s="329"/>
      <c r="N30" s="329">
        <v>2</v>
      </c>
      <c r="O30" s="329"/>
      <c r="P30" s="326">
        <f t="shared" si="0"/>
        <v>6</v>
      </c>
    </row>
    <row r="31" spans="1:16" ht="15.75" thickBot="1" x14ac:dyDescent="0.3">
      <c r="A31" s="317">
        <v>1000025</v>
      </c>
      <c r="B31" s="314" t="s">
        <v>32</v>
      </c>
      <c r="C31" s="323"/>
      <c r="D31" s="363"/>
      <c r="F31" s="329"/>
      <c r="G31" s="329"/>
      <c r="H31" s="329"/>
      <c r="I31" s="329"/>
      <c r="J31" s="329"/>
      <c r="K31" s="329"/>
      <c r="L31" s="329">
        <v>5</v>
      </c>
      <c r="M31" s="329"/>
      <c r="N31" s="329"/>
      <c r="O31" s="329"/>
      <c r="P31" s="326">
        <f t="shared" si="0"/>
        <v>5</v>
      </c>
    </row>
    <row r="32" spans="1:16" ht="15.75" thickBot="1" x14ac:dyDescent="0.3">
      <c r="A32" s="317">
        <v>10248</v>
      </c>
      <c r="B32" s="314" t="s">
        <v>183</v>
      </c>
      <c r="C32" s="323"/>
      <c r="D32" s="363"/>
      <c r="F32" s="329">
        <v>6</v>
      </c>
      <c r="G32" s="329"/>
      <c r="H32" s="329">
        <v>6</v>
      </c>
      <c r="I32" s="329"/>
      <c r="J32" s="329"/>
      <c r="K32" s="329"/>
      <c r="L32" s="329"/>
      <c r="M32" s="329"/>
      <c r="N32" s="329">
        <v>6</v>
      </c>
      <c r="O32" s="329"/>
      <c r="P32" s="326">
        <f t="shared" si="0"/>
        <v>18</v>
      </c>
    </row>
    <row r="33" spans="1:16" ht="15.75" thickBot="1" x14ac:dyDescent="0.3">
      <c r="A33" s="317">
        <v>1000100</v>
      </c>
      <c r="B33" s="314" t="s">
        <v>34</v>
      </c>
      <c r="C33" s="323"/>
      <c r="D33" s="363"/>
      <c r="F33" s="329"/>
      <c r="G33" s="329"/>
      <c r="H33" s="329">
        <v>1</v>
      </c>
      <c r="I33" s="329"/>
      <c r="J33" s="329"/>
      <c r="K33" s="329"/>
      <c r="L33" s="329"/>
      <c r="M33" s="329"/>
      <c r="N33" s="329"/>
      <c r="O33" s="329"/>
      <c r="P33" s="326">
        <f t="shared" si="0"/>
        <v>1</v>
      </c>
    </row>
    <row r="34" spans="1:16" ht="15.75" thickBot="1" x14ac:dyDescent="0.3">
      <c r="A34" s="317">
        <v>1000008</v>
      </c>
      <c r="B34" s="314" t="s">
        <v>7</v>
      </c>
      <c r="C34" s="323"/>
      <c r="D34" s="363"/>
      <c r="F34" s="329"/>
      <c r="G34" s="329"/>
      <c r="H34" s="329"/>
      <c r="I34" s="329"/>
      <c r="J34" s="329"/>
      <c r="K34" s="329"/>
      <c r="L34" s="329">
        <v>50</v>
      </c>
      <c r="M34" s="329"/>
      <c r="N34" s="329"/>
      <c r="O34" s="329"/>
      <c r="P34" s="326">
        <f t="shared" si="0"/>
        <v>50</v>
      </c>
    </row>
    <row r="35" spans="1:16" ht="15.75" thickBot="1" x14ac:dyDescent="0.3">
      <c r="A35" s="317">
        <v>1000070</v>
      </c>
      <c r="B35" s="314" t="s">
        <v>13</v>
      </c>
      <c r="C35" s="323"/>
      <c r="D35" s="363"/>
      <c r="F35" s="329"/>
      <c r="G35" s="329"/>
      <c r="H35" s="329">
        <v>1</v>
      </c>
      <c r="I35" s="329"/>
      <c r="J35" s="329"/>
      <c r="K35" s="329"/>
      <c r="L35" s="329"/>
      <c r="M35" s="329"/>
      <c r="N35" s="329">
        <v>1</v>
      </c>
      <c r="O35" s="329"/>
      <c r="P35" s="326">
        <f t="shared" si="0"/>
        <v>2</v>
      </c>
    </row>
    <row r="36" spans="1:16" ht="15.75" thickBot="1" x14ac:dyDescent="0.3">
      <c r="A36" s="317">
        <v>1000084</v>
      </c>
      <c r="B36" s="314" t="s">
        <v>38</v>
      </c>
      <c r="C36" s="323"/>
      <c r="D36" s="363"/>
      <c r="F36" s="329"/>
      <c r="G36" s="329"/>
      <c r="H36" s="329">
        <v>4</v>
      </c>
      <c r="I36" s="329"/>
      <c r="J36" s="329"/>
      <c r="K36" s="329"/>
      <c r="L36" s="329">
        <v>4</v>
      </c>
      <c r="M36" s="329"/>
      <c r="N36" s="329">
        <v>4</v>
      </c>
      <c r="O36" s="329"/>
      <c r="P36" s="371">
        <f t="shared" si="0"/>
        <v>12</v>
      </c>
    </row>
    <row r="37" spans="1:16" ht="15.75" thickBot="1" x14ac:dyDescent="0.3">
      <c r="A37" s="317">
        <v>1000057</v>
      </c>
      <c r="B37" s="314" t="s">
        <v>70</v>
      </c>
      <c r="C37" s="323"/>
      <c r="D37" s="363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6">
        <f t="shared" si="0"/>
        <v>0</v>
      </c>
    </row>
    <row r="38" spans="1:16" ht="15.75" thickBot="1" x14ac:dyDescent="0.3">
      <c r="A38" s="36">
        <v>1000412</v>
      </c>
      <c r="B38" s="314" t="s">
        <v>195</v>
      </c>
      <c r="C38" s="323"/>
      <c r="D38" s="363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6">
        <f t="shared" si="0"/>
        <v>0</v>
      </c>
    </row>
    <row r="39" spans="1:16" ht="15.75" thickBot="1" x14ac:dyDescent="0.3">
      <c r="A39" s="317">
        <v>1000439</v>
      </c>
      <c r="B39" s="314" t="s">
        <v>193</v>
      </c>
      <c r="C39" s="323"/>
      <c r="D39" s="363"/>
      <c r="F39" s="329">
        <v>1</v>
      </c>
      <c r="G39" s="329"/>
      <c r="H39" s="329"/>
      <c r="I39" s="329"/>
      <c r="J39" s="329"/>
      <c r="K39" s="329"/>
      <c r="L39" s="329"/>
      <c r="M39" s="329"/>
      <c r="N39" s="329"/>
      <c r="O39" s="329"/>
      <c r="P39" s="326">
        <f t="shared" si="0"/>
        <v>1</v>
      </c>
    </row>
    <row r="40" spans="1:16" ht="15.75" thickBot="1" x14ac:dyDescent="0.3">
      <c r="A40" s="317">
        <v>1000009</v>
      </c>
      <c r="B40" s="314" t="s">
        <v>19</v>
      </c>
      <c r="C40" s="323"/>
      <c r="D40" s="363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6">
        <f t="shared" si="0"/>
        <v>0</v>
      </c>
    </row>
    <row r="41" spans="1:16" ht="15.75" thickBot="1" x14ac:dyDescent="0.3">
      <c r="A41" s="317">
        <v>1000472</v>
      </c>
      <c r="B41" s="314" t="s">
        <v>222</v>
      </c>
      <c r="C41" s="323"/>
      <c r="D41" s="363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6">
        <f t="shared" si="0"/>
        <v>0</v>
      </c>
    </row>
    <row r="42" spans="1:16" ht="15.75" thickBot="1" x14ac:dyDescent="0.3">
      <c r="A42" s="317">
        <v>1000029</v>
      </c>
      <c r="B42" s="314" t="s">
        <v>30</v>
      </c>
      <c r="C42" s="323"/>
      <c r="D42" s="363"/>
      <c r="F42" s="329">
        <v>1</v>
      </c>
      <c r="G42" s="329"/>
      <c r="H42" s="329"/>
      <c r="I42" s="329"/>
      <c r="J42" s="329"/>
      <c r="K42" s="329"/>
      <c r="L42" s="329"/>
      <c r="M42" s="329"/>
      <c r="N42" s="329"/>
      <c r="O42" s="329"/>
      <c r="P42" s="371">
        <f t="shared" si="0"/>
        <v>1</v>
      </c>
    </row>
    <row r="43" spans="1:16" ht="15.75" thickBot="1" x14ac:dyDescent="0.3">
      <c r="A43" s="317">
        <v>10248</v>
      </c>
      <c r="B43" s="314" t="s">
        <v>183</v>
      </c>
      <c r="C43" s="323"/>
      <c r="D43" s="363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71">
        <f t="shared" si="0"/>
        <v>0</v>
      </c>
    </row>
    <row r="44" spans="1:16" ht="15.75" thickBot="1" x14ac:dyDescent="0.3">
      <c r="A44" s="317">
        <v>1000383</v>
      </c>
      <c r="B44" s="314" t="s">
        <v>264</v>
      </c>
      <c r="C44" s="323"/>
      <c r="D44" s="363"/>
      <c r="F44" s="329">
        <v>48</v>
      </c>
      <c r="G44" s="329"/>
      <c r="H44" s="329"/>
      <c r="I44" s="329"/>
      <c r="J44" s="329"/>
      <c r="K44" s="329"/>
      <c r="L44" s="329">
        <v>48</v>
      </c>
      <c r="M44" s="329"/>
      <c r="N44" s="329">
        <v>48</v>
      </c>
      <c r="O44" s="329"/>
      <c r="P44" s="371">
        <f t="shared" si="0"/>
        <v>144</v>
      </c>
    </row>
    <row r="45" spans="1:16" ht="15.75" thickBot="1" x14ac:dyDescent="0.3">
      <c r="A45" s="317">
        <v>1000486</v>
      </c>
      <c r="B45" s="314" t="s">
        <v>263</v>
      </c>
      <c r="C45" s="323"/>
      <c r="D45" s="363"/>
      <c r="F45" s="329"/>
      <c r="G45" s="329"/>
      <c r="H45" s="329">
        <v>20</v>
      </c>
      <c r="I45" s="329"/>
      <c r="J45" s="329"/>
      <c r="K45" s="329"/>
      <c r="L45" s="329"/>
      <c r="M45" s="329"/>
      <c r="N45" s="329"/>
      <c r="O45" s="329"/>
      <c r="P45" s="326">
        <f t="shared" si="0"/>
        <v>20</v>
      </c>
    </row>
    <row r="46" spans="1:16" ht="15.75" thickBot="1" x14ac:dyDescent="0.3">
      <c r="A46" s="317">
        <v>1000076</v>
      </c>
      <c r="B46" s="314" t="s">
        <v>46</v>
      </c>
      <c r="C46" s="323"/>
      <c r="D46" s="363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6">
        <f t="shared" si="0"/>
        <v>0</v>
      </c>
    </row>
    <row r="47" spans="1:16" ht="15.75" thickBot="1" x14ac:dyDescent="0.3">
      <c r="A47" s="317">
        <v>1000436</v>
      </c>
      <c r="B47" s="314" t="s">
        <v>276</v>
      </c>
      <c r="C47" s="323"/>
      <c r="D47" s="363"/>
      <c r="F47" s="329"/>
      <c r="G47" s="329"/>
      <c r="H47" s="329"/>
      <c r="I47" s="329"/>
      <c r="J47" s="329"/>
      <c r="K47" s="329"/>
      <c r="L47" s="329">
        <v>10</v>
      </c>
      <c r="M47" s="329"/>
      <c r="N47" s="329"/>
      <c r="O47" s="329"/>
      <c r="P47" s="326">
        <f t="shared" si="0"/>
        <v>10</v>
      </c>
    </row>
    <row r="48" spans="1:16" ht="15.75" thickBot="1" x14ac:dyDescent="0.3">
      <c r="A48" s="317">
        <v>1000550</v>
      </c>
      <c r="B48" s="314" t="s">
        <v>277</v>
      </c>
      <c r="C48" s="323"/>
      <c r="D48" s="363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6">
        <f t="shared" si="0"/>
        <v>0</v>
      </c>
    </row>
    <row r="49" spans="1:16" ht="15.75" thickBot="1" x14ac:dyDescent="0.3">
      <c r="A49" s="317">
        <v>1000551</v>
      </c>
      <c r="B49" s="314" t="s">
        <v>278</v>
      </c>
      <c r="C49" s="323"/>
      <c r="D49" s="363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6">
        <f t="shared" si="0"/>
        <v>0</v>
      </c>
    </row>
    <row r="50" spans="1:16" ht="15.75" thickBot="1" x14ac:dyDescent="0.3">
      <c r="A50" s="317">
        <v>1000552</v>
      </c>
      <c r="B50" s="314" t="s">
        <v>279</v>
      </c>
      <c r="C50" s="323"/>
      <c r="D50" s="363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6">
        <f t="shared" si="0"/>
        <v>0</v>
      </c>
    </row>
    <row r="51" spans="1:16" ht="15.75" thickBot="1" x14ac:dyDescent="0.3">
      <c r="A51" s="316">
        <v>1000073</v>
      </c>
      <c r="B51" s="314" t="s">
        <v>36</v>
      </c>
      <c r="C51" s="323"/>
      <c r="D51" s="367"/>
      <c r="F51" s="329"/>
      <c r="G51" s="329"/>
      <c r="H51" s="329">
        <v>1</v>
      </c>
      <c r="I51" s="329"/>
      <c r="J51" s="329"/>
      <c r="K51" s="329"/>
      <c r="L51" s="329"/>
      <c r="M51" s="329"/>
      <c r="N51" s="329"/>
      <c r="O51" s="329"/>
      <c r="P51" s="326">
        <f t="shared" si="0"/>
        <v>1</v>
      </c>
    </row>
    <row r="52" spans="1:16" ht="15.75" thickBot="1" x14ac:dyDescent="0.3">
      <c r="A52" s="316">
        <v>1000142</v>
      </c>
      <c r="B52" s="314" t="s">
        <v>54</v>
      </c>
      <c r="D52" s="367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71">
        <f t="shared" si="0"/>
        <v>0</v>
      </c>
    </row>
    <row r="53" spans="1:16" ht="15.75" thickBot="1" x14ac:dyDescent="0.3">
      <c r="A53" s="316">
        <v>1000090</v>
      </c>
      <c r="B53" s="314" t="s">
        <v>40</v>
      </c>
      <c r="D53" s="367"/>
      <c r="F53" s="329"/>
      <c r="G53" s="329"/>
      <c r="H53" s="329"/>
      <c r="I53" s="329"/>
      <c r="J53" s="329"/>
      <c r="K53" s="329"/>
      <c r="L53" s="329">
        <v>5</v>
      </c>
      <c r="M53" s="329"/>
      <c r="N53" s="329">
        <v>5</v>
      </c>
      <c r="O53" s="329"/>
      <c r="P53" s="371">
        <f t="shared" ref="P53" si="1">SUM(F53+H53+J53+L53+N53)</f>
        <v>10</v>
      </c>
    </row>
  </sheetData>
  <mergeCells count="4">
    <mergeCell ref="A1:B2"/>
    <mergeCell ref="F1:J2"/>
    <mergeCell ref="A3:B3"/>
    <mergeCell ref="D1:D2"/>
  </mergeCells>
  <pageMargins left="0.25" right="0.25" top="0.75" bottom="0.75" header="0.3" footer="0.3"/>
  <pageSetup paperSize="9" scale="6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6853-CCD8-4E7B-A7B5-7783561D2205}">
  <sheetPr>
    <tabColor rgb="FFFF0000"/>
    <pageSetUpPr fitToPage="1"/>
  </sheetPr>
  <dimension ref="A1:R67"/>
  <sheetViews>
    <sheetView topLeftCell="A34" zoomScale="85" zoomScaleNormal="85" workbookViewId="0">
      <selection activeCell="A35" sqref="A35:B35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.125" style="27" customWidth="1"/>
    <col min="4" max="4" width="8.375" style="27" bestFit="1" customWidth="1"/>
    <col min="5" max="5" width="2.5" style="27" customWidth="1"/>
    <col min="6" max="6" width="8.125" style="27" customWidth="1"/>
    <col min="7" max="7" width="4.5" style="27" customWidth="1"/>
    <col min="8" max="8" width="7.75" style="27" customWidth="1"/>
    <col min="9" max="9" width="5.5" style="27" customWidth="1"/>
    <col min="10" max="10" width="8.25" style="27" customWidth="1"/>
    <col min="11" max="11" width="6.25" style="27" customWidth="1"/>
    <col min="12" max="12" width="8.5" style="27" customWidth="1"/>
    <col min="13" max="13" width="6.375" style="27" customWidth="1"/>
    <col min="14" max="14" width="8.125" style="27" customWidth="1"/>
    <col min="15" max="15" width="6.625" style="27" customWidth="1"/>
    <col min="16" max="16" width="9.375" style="27" customWidth="1"/>
    <col min="17" max="16384" width="10.875" style="27"/>
  </cols>
  <sheetData>
    <row r="1" spans="1:18" ht="15" customHeight="1" x14ac:dyDescent="0.45">
      <c r="A1" s="686" t="s">
        <v>207</v>
      </c>
      <c r="B1" s="687"/>
      <c r="C1" s="18"/>
      <c r="D1" s="18"/>
      <c r="F1" s="737" t="s">
        <v>474</v>
      </c>
      <c r="G1" s="738"/>
      <c r="H1" s="738"/>
      <c r="I1" s="738"/>
      <c r="J1" s="739"/>
      <c r="K1" s="2"/>
    </row>
    <row r="2" spans="1:18" s="3" customFormat="1" ht="16.5" customHeight="1" thickBot="1" x14ac:dyDescent="0.5">
      <c r="A2" s="688"/>
      <c r="B2" s="689"/>
      <c r="C2" s="18"/>
      <c r="D2" s="431" t="s">
        <v>305</v>
      </c>
      <c r="F2" s="740"/>
      <c r="G2" s="741"/>
      <c r="H2" s="741"/>
      <c r="I2" s="741"/>
      <c r="J2" s="742"/>
      <c r="K2" s="2"/>
    </row>
    <row r="3" spans="1:18" s="3" customFormat="1" ht="25.5" customHeight="1" thickBot="1" x14ac:dyDescent="0.3">
      <c r="A3" s="5"/>
      <c r="B3" s="5" t="s">
        <v>321</v>
      </c>
      <c r="C3" s="18"/>
      <c r="D3" s="18"/>
      <c r="Q3" s="550" t="s">
        <v>449</v>
      </c>
      <c r="R3" s="550"/>
    </row>
    <row r="4" spans="1:18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288</v>
      </c>
      <c r="H4" s="19" t="s">
        <v>310</v>
      </c>
      <c r="I4" s="20" t="s">
        <v>288</v>
      </c>
      <c r="J4" s="19" t="s">
        <v>311</v>
      </c>
      <c r="K4" s="20" t="s">
        <v>288</v>
      </c>
      <c r="L4" s="19" t="s">
        <v>312</v>
      </c>
      <c r="M4" s="20" t="s">
        <v>288</v>
      </c>
      <c r="N4" s="19" t="s">
        <v>313</v>
      </c>
      <c r="O4" s="20" t="s">
        <v>288</v>
      </c>
      <c r="P4" s="19" t="s">
        <v>322</v>
      </c>
    </row>
    <row r="5" spans="1:18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>
        <v>5</v>
      </c>
      <c r="O5" s="28"/>
      <c r="P5" s="418">
        <f t="shared" ref="P5:P67" si="0">SUM(F5:O5)</f>
        <v>5</v>
      </c>
    </row>
    <row r="6" spans="1:18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8" ht="15.75" thickBot="1" x14ac:dyDescent="0.3">
      <c r="A7" s="35">
        <v>1000006</v>
      </c>
      <c r="B7" s="12" t="s">
        <v>4</v>
      </c>
      <c r="C7" s="41"/>
      <c r="D7" s="47">
        <v>100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>
        <v>50</v>
      </c>
      <c r="O7" s="28"/>
      <c r="P7" s="418">
        <f t="shared" si="0"/>
        <v>250</v>
      </c>
    </row>
    <row r="8" spans="1:18" ht="15.75" thickBot="1" x14ac:dyDescent="0.3">
      <c r="A8" s="35">
        <v>1000007</v>
      </c>
      <c r="B8" s="12" t="s">
        <v>5</v>
      </c>
      <c r="C8" s="41"/>
      <c r="D8" s="47">
        <v>75</v>
      </c>
      <c r="F8" s="28">
        <v>50</v>
      </c>
      <c r="G8" s="28"/>
      <c r="H8" s="28">
        <v>50</v>
      </c>
      <c r="I8" s="28"/>
      <c r="J8" s="28">
        <v>50</v>
      </c>
      <c r="K8" s="28"/>
      <c r="L8" s="28">
        <v>50</v>
      </c>
      <c r="M8" s="28"/>
      <c r="N8" s="28">
        <v>50</v>
      </c>
      <c r="O8" s="28"/>
      <c r="P8" s="418">
        <f t="shared" si="0"/>
        <v>250</v>
      </c>
    </row>
    <row r="9" spans="1:18" ht="15.75" thickBot="1" x14ac:dyDescent="0.3">
      <c r="A9" s="35">
        <v>1000008</v>
      </c>
      <c r="B9" s="12" t="s">
        <v>7</v>
      </c>
      <c r="C9" s="41"/>
      <c r="D9" s="47">
        <v>35</v>
      </c>
      <c r="F9" s="28"/>
      <c r="G9" s="28"/>
      <c r="H9" s="28"/>
      <c r="I9" s="28"/>
      <c r="J9" s="28">
        <v>50</v>
      </c>
      <c r="K9" s="28"/>
      <c r="L9" s="28"/>
      <c r="M9" s="28"/>
      <c r="N9" s="28"/>
      <c r="O9" s="28"/>
      <c r="P9" s="418">
        <f t="shared" si="0"/>
        <v>50</v>
      </c>
    </row>
    <row r="10" spans="1:18" ht="15.75" thickBot="1" x14ac:dyDescent="0.3">
      <c r="A10" s="35">
        <v>1000001</v>
      </c>
      <c r="B10" s="12" t="s">
        <v>8</v>
      </c>
      <c r="C10" s="41"/>
      <c r="D10" s="47">
        <v>4</v>
      </c>
      <c r="F10" s="28">
        <v>1</v>
      </c>
      <c r="G10" s="28"/>
      <c r="H10" s="28">
        <v>1</v>
      </c>
      <c r="I10" s="28"/>
      <c r="J10" s="28">
        <v>1</v>
      </c>
      <c r="K10" s="28"/>
      <c r="L10" s="28">
        <v>1</v>
      </c>
      <c r="M10" s="28"/>
      <c r="N10" s="28">
        <v>1</v>
      </c>
      <c r="O10" s="28"/>
      <c r="P10" s="418">
        <f t="shared" si="0"/>
        <v>5</v>
      </c>
    </row>
    <row r="11" spans="1:18" ht="15.75" thickBot="1" x14ac:dyDescent="0.3">
      <c r="A11" s="35">
        <v>1000002</v>
      </c>
      <c r="B11" s="12" t="s">
        <v>9</v>
      </c>
      <c r="C11" s="41"/>
      <c r="D11" s="47">
        <v>1</v>
      </c>
      <c r="F11" s="28">
        <v>1</v>
      </c>
      <c r="G11" s="28"/>
      <c r="H11" s="28"/>
      <c r="I11" s="28"/>
      <c r="J11" s="28">
        <v>1</v>
      </c>
      <c r="K11" s="28"/>
      <c r="L11" s="28"/>
      <c r="M11" s="28"/>
      <c r="N11" s="28">
        <v>1</v>
      </c>
      <c r="O11" s="28"/>
      <c r="P11" s="418">
        <f t="shared" si="0"/>
        <v>3</v>
      </c>
    </row>
    <row r="12" spans="1:18" ht="15.75" thickBot="1" x14ac:dyDescent="0.3">
      <c r="A12" s="35">
        <v>1000004</v>
      </c>
      <c r="B12" s="12" t="s">
        <v>10</v>
      </c>
      <c r="C12" s="41"/>
      <c r="D12" s="47">
        <v>1</v>
      </c>
      <c r="F12" s="28">
        <v>1</v>
      </c>
      <c r="G12" s="28"/>
      <c r="H12" s="28">
        <v>1</v>
      </c>
      <c r="I12" s="28"/>
      <c r="J12" s="28">
        <v>1</v>
      </c>
      <c r="K12" s="28"/>
      <c r="L12" s="28">
        <v>1</v>
      </c>
      <c r="M12" s="28"/>
      <c r="N12" s="28">
        <v>1</v>
      </c>
      <c r="O12" s="28"/>
      <c r="P12" s="418">
        <f t="shared" si="0"/>
        <v>5</v>
      </c>
    </row>
    <row r="13" spans="1:18" ht="15.75" thickBot="1" x14ac:dyDescent="0.3">
      <c r="A13" s="35">
        <v>1000067</v>
      </c>
      <c r="B13" s="12" t="s">
        <v>11</v>
      </c>
      <c r="C13" s="41"/>
      <c r="D13" s="47">
        <v>0</v>
      </c>
      <c r="F13" s="28">
        <v>1</v>
      </c>
      <c r="G13" s="28"/>
      <c r="H13" s="28"/>
      <c r="I13" s="28"/>
      <c r="J13" s="28"/>
      <c r="K13" s="28"/>
      <c r="L13" s="28"/>
      <c r="M13" s="28"/>
      <c r="N13" s="28">
        <v>1</v>
      </c>
      <c r="O13" s="28"/>
      <c r="P13" s="418">
        <f t="shared" si="0"/>
        <v>2</v>
      </c>
    </row>
    <row r="14" spans="1:18" ht="15.75" thickBot="1" x14ac:dyDescent="0.3">
      <c r="A14" s="35">
        <v>1000054</v>
      </c>
      <c r="B14" s="12" t="s">
        <v>12</v>
      </c>
      <c r="C14" s="41"/>
      <c r="D14" s="47">
        <v>18</v>
      </c>
      <c r="F14" s="28">
        <v>10</v>
      </c>
      <c r="G14" s="28"/>
      <c r="H14" s="28">
        <v>10</v>
      </c>
      <c r="I14" s="28"/>
      <c r="J14" s="28">
        <v>5</v>
      </c>
      <c r="K14" s="28"/>
      <c r="L14" s="28"/>
      <c r="M14" s="28"/>
      <c r="N14" s="28">
        <v>5</v>
      </c>
      <c r="O14" s="28"/>
      <c r="P14" s="418">
        <f t="shared" si="0"/>
        <v>30</v>
      </c>
    </row>
    <row r="15" spans="1:18" ht="15.75" thickBot="1" x14ac:dyDescent="0.3">
      <c r="A15" s="35">
        <v>1000017</v>
      </c>
      <c r="B15" s="12" t="s">
        <v>14</v>
      </c>
      <c r="C15" s="41"/>
      <c r="D15" s="47">
        <v>20</v>
      </c>
      <c r="F15" s="28">
        <v>10</v>
      </c>
      <c r="G15" s="28"/>
      <c r="H15" s="28">
        <v>10</v>
      </c>
      <c r="I15" s="28"/>
      <c r="J15" s="28">
        <v>5</v>
      </c>
      <c r="K15" s="28"/>
      <c r="L15" s="28"/>
      <c r="M15" s="28"/>
      <c r="N15" s="28"/>
      <c r="O15" s="28"/>
      <c r="P15" s="418">
        <f t="shared" si="0"/>
        <v>25</v>
      </c>
    </row>
    <row r="16" spans="1:18" ht="15.75" thickBot="1" x14ac:dyDescent="0.3">
      <c r="A16" s="35">
        <v>1000016</v>
      </c>
      <c r="B16" s="12" t="s">
        <v>15</v>
      </c>
      <c r="C16" s="41"/>
      <c r="D16" s="47">
        <v>5</v>
      </c>
      <c r="F16" s="28"/>
      <c r="G16" s="28"/>
      <c r="H16" s="28"/>
      <c r="I16" s="28"/>
      <c r="J16" s="28"/>
      <c r="K16" s="28"/>
      <c r="L16" s="28">
        <v>5</v>
      </c>
      <c r="M16" s="28"/>
      <c r="N16" s="28">
        <v>5</v>
      </c>
      <c r="O16" s="28"/>
      <c r="P16" s="418">
        <f t="shared" si="0"/>
        <v>10</v>
      </c>
    </row>
    <row r="17" spans="1:16" ht="15.75" thickBot="1" x14ac:dyDescent="0.3">
      <c r="A17" s="35">
        <v>1000041</v>
      </c>
      <c r="B17" s="12" t="s">
        <v>16</v>
      </c>
      <c r="C17" s="41"/>
      <c r="D17" s="47">
        <v>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1000049</v>
      </c>
      <c r="B18" s="12" t="s">
        <v>21</v>
      </c>
      <c r="C18" s="41"/>
      <c r="D18" s="47">
        <v>1</v>
      </c>
      <c r="F18" s="28"/>
      <c r="G18" s="28"/>
      <c r="H18" s="28"/>
      <c r="I18" s="28"/>
      <c r="J18" s="28">
        <v>2</v>
      </c>
      <c r="K18" s="28"/>
      <c r="L18" s="28"/>
      <c r="M18" s="28"/>
      <c r="N18" s="28">
        <v>2</v>
      </c>
      <c r="O18" s="28"/>
      <c r="P18" s="418">
        <f t="shared" si="0"/>
        <v>4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8"/>
      <c r="G19" s="28"/>
      <c r="H19" s="28"/>
      <c r="I19" s="28"/>
      <c r="J19" s="28">
        <v>2</v>
      </c>
      <c r="K19" s="28"/>
      <c r="L19" s="28"/>
      <c r="M19" s="28"/>
      <c r="N19" s="28">
        <v>2</v>
      </c>
      <c r="O19" s="28"/>
      <c r="P19" s="418">
        <f t="shared" si="0"/>
        <v>4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1000031</v>
      </c>
      <c r="B21" s="12" t="s">
        <v>25</v>
      </c>
      <c r="C21" s="41"/>
      <c r="D21" s="47">
        <v>0</v>
      </c>
      <c r="F21" s="28">
        <v>2</v>
      </c>
      <c r="G21" s="28"/>
      <c r="H21" s="28">
        <v>2</v>
      </c>
      <c r="I21" s="28"/>
      <c r="J21" s="28">
        <v>2</v>
      </c>
      <c r="K21" s="28"/>
      <c r="L21" s="28">
        <v>2</v>
      </c>
      <c r="M21" s="28"/>
      <c r="N21" s="28">
        <v>1</v>
      </c>
      <c r="O21" s="28"/>
      <c r="P21" s="418">
        <f t="shared" si="0"/>
        <v>9</v>
      </c>
    </row>
    <row r="22" spans="1:16" ht="15.75" thickBot="1" x14ac:dyDescent="0.3">
      <c r="A22" s="35">
        <v>1000034</v>
      </c>
      <c r="B22" s="12" t="s">
        <v>28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1000025</v>
      </c>
      <c r="B23" s="12" t="s">
        <v>32</v>
      </c>
      <c r="C23" s="41"/>
      <c r="D23" s="47">
        <v>0</v>
      </c>
      <c r="F23" s="28"/>
      <c r="G23" s="28"/>
      <c r="H23" s="28"/>
      <c r="I23" s="28"/>
      <c r="J23" s="28"/>
      <c r="K23" s="28"/>
      <c r="L23" s="28">
        <v>5</v>
      </c>
      <c r="M23" s="28"/>
      <c r="N23" s="28"/>
      <c r="O23" s="28"/>
      <c r="P23" s="418">
        <f t="shared" si="0"/>
        <v>5</v>
      </c>
    </row>
    <row r="24" spans="1:16" ht="15.75" thickBot="1" x14ac:dyDescent="0.3">
      <c r="A24" s="35">
        <v>1000027</v>
      </c>
      <c r="B24" s="12" t="s">
        <v>33</v>
      </c>
      <c r="C24" s="41"/>
      <c r="D24" s="47">
        <v>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1000100</v>
      </c>
      <c r="B25" s="12" t="s">
        <v>34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1000073</v>
      </c>
      <c r="B26" s="12" t="s">
        <v>36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1000082</v>
      </c>
      <c r="B27" s="12" t="s">
        <v>37</v>
      </c>
      <c r="C27" s="41"/>
      <c r="D27" s="47">
        <v>38</v>
      </c>
      <c r="F27" s="28">
        <v>16</v>
      </c>
      <c r="G27" s="28"/>
      <c r="H27" s="28">
        <v>16</v>
      </c>
      <c r="I27" s="28"/>
      <c r="J27" s="28">
        <v>16</v>
      </c>
      <c r="K27" s="28"/>
      <c r="L27" s="28">
        <v>16</v>
      </c>
      <c r="M27" s="28"/>
      <c r="N27" s="28">
        <v>16</v>
      </c>
      <c r="O27" s="28"/>
      <c r="P27" s="418">
        <f t="shared" si="0"/>
        <v>80</v>
      </c>
    </row>
    <row r="28" spans="1:16" ht="15.75" thickBot="1" x14ac:dyDescent="0.3">
      <c r="A28" s="35">
        <v>1000146</v>
      </c>
      <c r="B28" s="12" t="s">
        <v>39</v>
      </c>
      <c r="C28" s="41"/>
      <c r="D28" s="47">
        <v>10</v>
      </c>
      <c r="F28" s="28"/>
      <c r="G28" s="28"/>
      <c r="H28" s="28">
        <v>10</v>
      </c>
      <c r="I28" s="28"/>
      <c r="J28" s="28"/>
      <c r="K28" s="28"/>
      <c r="L28" s="28">
        <v>10</v>
      </c>
      <c r="M28" s="28"/>
      <c r="N28" s="28"/>
      <c r="O28" s="28"/>
      <c r="P28" s="418">
        <f t="shared" si="0"/>
        <v>20</v>
      </c>
    </row>
    <row r="29" spans="1:16" ht="15.75" thickBot="1" x14ac:dyDescent="0.3">
      <c r="A29" s="35">
        <v>10248</v>
      </c>
      <c r="B29" s="12" t="s">
        <v>183</v>
      </c>
      <c r="C29" s="41"/>
      <c r="D29" s="47">
        <v>0</v>
      </c>
      <c r="F29" s="28">
        <v>6</v>
      </c>
      <c r="G29" s="28"/>
      <c r="H29" s="28">
        <v>6</v>
      </c>
      <c r="I29" s="28"/>
      <c r="J29" s="28">
        <v>6</v>
      </c>
      <c r="K29" s="28"/>
      <c r="L29" s="28">
        <v>6</v>
      </c>
      <c r="M29" s="28"/>
      <c r="N29" s="28">
        <v>6</v>
      </c>
      <c r="O29" s="28"/>
      <c r="P29" s="418">
        <f t="shared" si="0"/>
        <v>30</v>
      </c>
    </row>
    <row r="30" spans="1:16" ht="15.75" thickBot="1" x14ac:dyDescent="0.3">
      <c r="A30" s="35">
        <v>1000090</v>
      </c>
      <c r="B30" s="12" t="s">
        <v>40</v>
      </c>
      <c r="C30" s="41"/>
      <c r="D30" s="47">
        <v>3</v>
      </c>
      <c r="F30" s="28">
        <v>3</v>
      </c>
      <c r="G30" s="28"/>
      <c r="H30" s="28">
        <v>3</v>
      </c>
      <c r="I30" s="28"/>
      <c r="J30" s="28">
        <v>3</v>
      </c>
      <c r="K30" s="28"/>
      <c r="L30" s="28">
        <v>3</v>
      </c>
      <c r="M30" s="28"/>
      <c r="N30" s="28"/>
      <c r="O30" s="28"/>
      <c r="P30" s="418">
        <f t="shared" si="0"/>
        <v>12</v>
      </c>
    </row>
    <row r="31" spans="1:16" ht="15.75" thickBot="1" x14ac:dyDescent="0.3">
      <c r="A31" s="35">
        <v>1000052</v>
      </c>
      <c r="B31" s="12" t="s">
        <v>41</v>
      </c>
      <c r="C31" s="41"/>
      <c r="D31" s="47">
        <v>2</v>
      </c>
      <c r="F31" s="28">
        <v>2</v>
      </c>
      <c r="G31" s="28"/>
      <c r="H31" s="28">
        <v>2</v>
      </c>
      <c r="I31" s="28"/>
      <c r="J31" s="28">
        <v>2</v>
      </c>
      <c r="K31" s="28"/>
      <c r="L31" s="28">
        <v>2</v>
      </c>
      <c r="M31" s="28"/>
      <c r="N31" s="28">
        <v>2</v>
      </c>
      <c r="O31" s="28"/>
      <c r="P31" s="418">
        <f t="shared" si="0"/>
        <v>10</v>
      </c>
    </row>
    <row r="32" spans="1:16" ht="15.75" thickBot="1" x14ac:dyDescent="0.3">
      <c r="A32" s="35">
        <v>1000089</v>
      </c>
      <c r="B32" s="12" t="s">
        <v>42</v>
      </c>
      <c r="C32" s="41"/>
      <c r="D32" s="47">
        <v>2</v>
      </c>
      <c r="F32" s="28">
        <v>2</v>
      </c>
      <c r="G32" s="28"/>
      <c r="H32" s="28">
        <v>2</v>
      </c>
      <c r="I32" s="28"/>
      <c r="J32" s="28">
        <v>2</v>
      </c>
      <c r="K32" s="28"/>
      <c r="L32" s="28">
        <v>2</v>
      </c>
      <c r="M32" s="28"/>
      <c r="N32" s="28">
        <v>2</v>
      </c>
      <c r="O32" s="28"/>
      <c r="P32" s="418">
        <f t="shared" si="0"/>
        <v>10</v>
      </c>
    </row>
    <row r="33" spans="1:16" ht="15.75" thickBot="1" x14ac:dyDescent="0.3">
      <c r="A33" s="35">
        <v>1000051</v>
      </c>
      <c r="B33" s="12" t="s">
        <v>43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1000048</v>
      </c>
      <c r="B34" s="12" t="s">
        <v>45</v>
      </c>
      <c r="C34" s="41"/>
      <c r="D34" s="47">
        <v>0</v>
      </c>
      <c r="F34" s="28"/>
      <c r="G34" s="28"/>
      <c r="H34" s="28"/>
      <c r="I34" s="28"/>
      <c r="J34" s="28"/>
      <c r="K34" s="28"/>
      <c r="L34" s="28">
        <v>1</v>
      </c>
      <c r="M34" s="28"/>
      <c r="N34" s="28"/>
      <c r="O34" s="28"/>
      <c r="P34" s="418">
        <f t="shared" si="0"/>
        <v>1</v>
      </c>
    </row>
    <row r="35" spans="1:16" ht="15.75" thickBot="1" x14ac:dyDescent="0.3">
      <c r="A35" s="35">
        <v>1000214</v>
      </c>
      <c r="B35" s="12" t="s">
        <v>49</v>
      </c>
      <c r="C35" s="41"/>
      <c r="D35" s="47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1000092</v>
      </c>
      <c r="B36" s="12" t="s">
        <v>51</v>
      </c>
      <c r="C36" s="41"/>
      <c r="D36" s="47">
        <v>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1000142</v>
      </c>
      <c r="B37" s="12" t="s">
        <v>54</v>
      </c>
      <c r="C37" s="41"/>
      <c r="D37" s="47">
        <v>0</v>
      </c>
      <c r="F37" s="28"/>
      <c r="G37" s="28"/>
      <c r="H37" s="28">
        <v>1</v>
      </c>
      <c r="I37" s="28"/>
      <c r="J37" s="28"/>
      <c r="K37" s="28"/>
      <c r="L37" s="28"/>
      <c r="M37" s="28"/>
      <c r="N37" s="28"/>
      <c r="O37" s="28"/>
      <c r="P37" s="418">
        <f t="shared" si="0"/>
        <v>1</v>
      </c>
    </row>
    <row r="38" spans="1:16" ht="15.75" thickBot="1" x14ac:dyDescent="0.3">
      <c r="A38" s="35">
        <v>1000087</v>
      </c>
      <c r="B38" s="12" t="s">
        <v>69</v>
      </c>
      <c r="C38" s="41"/>
      <c r="D38" s="47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1000036</v>
      </c>
      <c r="B39" s="12" t="s">
        <v>75</v>
      </c>
      <c r="C39" s="41"/>
      <c r="D39" s="47">
        <v>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1000037</v>
      </c>
      <c r="B40" s="12" t="s">
        <v>76</v>
      </c>
      <c r="C40" s="41"/>
      <c r="D40" s="47">
        <v>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1000117</v>
      </c>
      <c r="B41" s="12" t="s">
        <v>80</v>
      </c>
      <c r="C41" s="41"/>
      <c r="D41" s="47">
        <v>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1000076</v>
      </c>
      <c r="B42" s="12" t="s">
        <v>46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1000070</v>
      </c>
      <c r="B43" s="12" t="s">
        <v>13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>
        <v>1</v>
      </c>
      <c r="O43" s="28"/>
      <c r="P43" s="418">
        <f t="shared" si="0"/>
        <v>1</v>
      </c>
    </row>
    <row r="44" spans="1:16" ht="15.75" thickBot="1" x14ac:dyDescent="0.3">
      <c r="A44" s="35">
        <v>1000030</v>
      </c>
      <c r="B44" s="12" t="s">
        <v>24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1000101</v>
      </c>
      <c r="B45" s="12" t="s">
        <v>35</v>
      </c>
      <c r="C45" s="41"/>
      <c r="D45" s="47"/>
      <c r="F45" s="28">
        <v>1</v>
      </c>
      <c r="G45" s="28"/>
      <c r="H45" s="28"/>
      <c r="I45" s="28"/>
      <c r="J45" s="28"/>
      <c r="K45" s="28"/>
      <c r="L45" s="28"/>
      <c r="M45" s="28"/>
      <c r="N45" s="28"/>
      <c r="O45" s="28"/>
      <c r="P45" s="418">
        <f t="shared" si="0"/>
        <v>1</v>
      </c>
    </row>
    <row r="46" spans="1:16" ht="15.75" thickBot="1" x14ac:dyDescent="0.3">
      <c r="A46" s="35">
        <v>1000214</v>
      </c>
      <c r="B46" s="12" t="s">
        <v>49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1000064</v>
      </c>
      <c r="B47" s="12" t="s">
        <v>64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1000105</v>
      </c>
      <c r="B48" s="12" t="s">
        <v>58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1000084</v>
      </c>
      <c r="B49" s="12" t="s">
        <v>38</v>
      </c>
      <c r="C49" s="41"/>
      <c r="D49" s="47"/>
      <c r="F49" s="28">
        <v>8</v>
      </c>
      <c r="G49" s="28"/>
      <c r="H49" s="28">
        <v>8</v>
      </c>
      <c r="I49" s="28"/>
      <c r="J49" s="28">
        <v>8</v>
      </c>
      <c r="K49" s="28"/>
      <c r="L49" s="28">
        <v>8</v>
      </c>
      <c r="M49" s="28"/>
      <c r="N49" s="28">
        <v>8</v>
      </c>
      <c r="O49" s="28"/>
      <c r="P49" s="418">
        <f t="shared" si="0"/>
        <v>40</v>
      </c>
    </row>
    <row r="50" spans="1:16" ht="15.75" thickBot="1" x14ac:dyDescent="0.3">
      <c r="A50" s="35">
        <v>1000472</v>
      </c>
      <c r="B50" s="12" t="s">
        <v>222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1000466</v>
      </c>
      <c r="B51" s="12" t="s">
        <v>213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1000075</v>
      </c>
      <c r="B52" s="12" t="s">
        <v>47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1000035</v>
      </c>
      <c r="B53" s="12" t="s">
        <v>29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1000036</v>
      </c>
      <c r="B54" s="12" t="s">
        <v>75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1000040</v>
      </c>
      <c r="B55" s="12" t="s">
        <v>77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1000486</v>
      </c>
      <c r="B56" s="12" t="s">
        <v>263</v>
      </c>
      <c r="C56" s="41"/>
      <c r="D56" s="4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35">
        <v>1000534</v>
      </c>
      <c r="B57" s="12" t="s">
        <v>260</v>
      </c>
      <c r="C57" s="41"/>
      <c r="D57" s="4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35">
        <v>1000057</v>
      </c>
      <c r="B58" s="12" t="s">
        <v>70</v>
      </c>
      <c r="C58" s="41"/>
      <c r="D58" s="4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35">
        <v>1000029</v>
      </c>
      <c r="B59" s="12" t="s">
        <v>30</v>
      </c>
      <c r="C59" s="41"/>
      <c r="D59" s="47"/>
      <c r="F59" s="28">
        <v>1</v>
      </c>
      <c r="G59" s="28"/>
      <c r="H59" s="28"/>
      <c r="I59" s="28"/>
      <c r="J59" s="28"/>
      <c r="K59" s="28"/>
      <c r="L59" s="28"/>
      <c r="M59" s="28"/>
      <c r="N59" s="28">
        <v>1</v>
      </c>
      <c r="O59" s="28"/>
      <c r="P59" s="418">
        <f t="shared" si="0"/>
        <v>2</v>
      </c>
    </row>
    <row r="60" spans="1:16" ht="15.75" thickBot="1" x14ac:dyDescent="0.3">
      <c r="A60" s="35">
        <v>1000080</v>
      </c>
      <c r="B60" s="12" t="s">
        <v>275</v>
      </c>
      <c r="C60" s="41"/>
      <c r="D60" s="4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si="0"/>
        <v>0</v>
      </c>
    </row>
    <row r="61" spans="1:16" ht="15.75" thickBot="1" x14ac:dyDescent="0.3">
      <c r="A61" s="35">
        <v>1000436</v>
      </c>
      <c r="B61" s="12" t="s">
        <v>276</v>
      </c>
      <c r="C61" s="41"/>
      <c r="D61" s="4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30">
        <f t="shared" si="0"/>
        <v>0</v>
      </c>
    </row>
    <row r="62" spans="1:16" ht="15.75" thickBot="1" x14ac:dyDescent="0.3">
      <c r="A62" s="35">
        <v>1000550</v>
      </c>
      <c r="B62" s="12" t="s">
        <v>277</v>
      </c>
      <c r="C62" s="41"/>
      <c r="D62" s="4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>
        <f t="shared" si="0"/>
        <v>0</v>
      </c>
    </row>
    <row r="63" spans="1:16" ht="15.75" thickBot="1" x14ac:dyDescent="0.3">
      <c r="A63" s="35">
        <v>1000551</v>
      </c>
      <c r="B63" s="12" t="s">
        <v>278</v>
      </c>
      <c r="C63" s="41"/>
      <c r="D63" s="4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>
        <f t="shared" si="0"/>
        <v>0</v>
      </c>
    </row>
    <row r="64" spans="1:16" ht="15.75" thickBot="1" x14ac:dyDescent="0.3">
      <c r="A64" s="38">
        <v>1000552</v>
      </c>
      <c r="B64" s="17" t="s">
        <v>279</v>
      </c>
      <c r="C64" s="41"/>
      <c r="D64" s="4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30">
        <f t="shared" si="0"/>
        <v>0</v>
      </c>
    </row>
    <row r="65" spans="1:16" ht="15.75" thickBot="1" x14ac:dyDescent="0.3">
      <c r="A65" s="35">
        <v>1000010</v>
      </c>
      <c r="B65" s="12" t="s">
        <v>17</v>
      </c>
      <c r="D65" s="46"/>
      <c r="F65" s="28">
        <v>1</v>
      </c>
      <c r="G65" s="28"/>
      <c r="H65" s="28"/>
      <c r="I65" s="28"/>
      <c r="J65" s="28"/>
      <c r="K65" s="28"/>
      <c r="L65" s="28"/>
      <c r="M65" s="28"/>
      <c r="N65" s="28">
        <v>1</v>
      </c>
      <c r="O65" s="28"/>
      <c r="P65" s="418">
        <f t="shared" si="0"/>
        <v>2</v>
      </c>
    </row>
    <row r="66" spans="1:16" ht="16.5" thickBot="1" x14ac:dyDescent="0.3">
      <c r="A66" s="411">
        <v>1000154</v>
      </c>
      <c r="B66" s="108" t="s">
        <v>85</v>
      </c>
      <c r="D66" s="46"/>
      <c r="F66" s="28">
        <v>1</v>
      </c>
      <c r="G66" s="28"/>
      <c r="H66" s="28"/>
      <c r="I66" s="28"/>
      <c r="J66" s="28"/>
      <c r="K66" s="28"/>
      <c r="L66" s="28"/>
      <c r="M66" s="28"/>
      <c r="N66" s="28"/>
      <c r="O66" s="28"/>
      <c r="P66" s="418">
        <f t="shared" si="0"/>
        <v>1</v>
      </c>
    </row>
    <row r="67" spans="1:16" ht="16.5" thickBot="1" x14ac:dyDescent="0.3">
      <c r="A67" s="411"/>
      <c r="B67" s="108" t="s">
        <v>466</v>
      </c>
      <c r="D67" s="4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0822-9599-4F36-9336-83C163BA93B6}">
  <sheetPr>
    <tabColor rgb="FFFF0000"/>
    <pageSetUpPr fitToPage="1"/>
  </sheetPr>
  <dimension ref="A1:S46"/>
  <sheetViews>
    <sheetView topLeftCell="A14" workbookViewId="0">
      <selection activeCell="P14" sqref="P14"/>
    </sheetView>
  </sheetViews>
  <sheetFormatPr baseColWidth="10" defaultColWidth="10.875" defaultRowHeight="15" x14ac:dyDescent="0.25"/>
  <cols>
    <col min="1" max="1" width="10.375" style="308" customWidth="1"/>
    <col min="2" max="2" width="39.375" style="308" customWidth="1"/>
    <col min="3" max="3" width="1.125" style="308" customWidth="1"/>
    <col min="4" max="4" width="8.125" style="308" bestFit="1" customWidth="1"/>
    <col min="5" max="5" width="1.375" style="308" customWidth="1"/>
    <col min="6" max="6" width="6" style="324" bestFit="1" customWidth="1"/>
    <col min="7" max="7" width="4.125" style="324" bestFit="1" customWidth="1"/>
    <col min="8" max="8" width="6" style="324" bestFit="1" customWidth="1"/>
    <col min="9" max="9" width="4.125" style="324" bestFit="1" customWidth="1"/>
    <col min="10" max="10" width="6" style="324" bestFit="1" customWidth="1"/>
    <col min="11" max="11" width="4.125" style="324" bestFit="1" customWidth="1"/>
    <col min="12" max="12" width="6" style="324" bestFit="1" customWidth="1"/>
    <col min="13" max="13" width="4.125" style="324" bestFit="1" customWidth="1"/>
    <col min="14" max="14" width="6" style="324" bestFit="1" customWidth="1"/>
    <col min="15" max="15" width="4.125" style="324" bestFit="1" customWidth="1"/>
    <col min="16" max="16" width="5.25" style="324" bestFit="1" customWidth="1"/>
    <col min="17" max="16384" width="10.875" style="308"/>
  </cols>
  <sheetData>
    <row r="1" spans="1:18" ht="15" customHeight="1" x14ac:dyDescent="0.25">
      <c r="A1" s="743" t="s">
        <v>265</v>
      </c>
      <c r="B1" s="744"/>
      <c r="C1" s="18"/>
      <c r="D1" s="697" t="s">
        <v>305</v>
      </c>
      <c r="F1" s="699" t="s">
        <v>474</v>
      </c>
      <c r="G1" s="700"/>
      <c r="H1" s="700"/>
      <c r="I1" s="700"/>
      <c r="J1" s="701"/>
      <c r="K1" s="18"/>
    </row>
    <row r="2" spans="1:18" s="3" customFormat="1" ht="16.5" customHeight="1" thickBot="1" x14ac:dyDescent="0.3">
      <c r="A2" s="745"/>
      <c r="B2" s="746"/>
      <c r="C2" s="18"/>
      <c r="D2" s="697"/>
      <c r="F2" s="702"/>
      <c r="G2" s="703"/>
      <c r="H2" s="703"/>
      <c r="I2" s="703"/>
      <c r="J2" s="704"/>
      <c r="K2" s="18"/>
      <c r="L2" s="325"/>
      <c r="M2" s="325"/>
      <c r="N2" s="325"/>
      <c r="O2" s="325"/>
      <c r="P2" s="325"/>
    </row>
    <row r="3" spans="1:18" s="3" customFormat="1" ht="29.25" thickBot="1" x14ac:dyDescent="0.3">
      <c r="A3" s="340"/>
      <c r="B3" s="340" t="s">
        <v>290</v>
      </c>
      <c r="C3" s="18"/>
      <c r="D3" s="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550" t="s">
        <v>449</v>
      </c>
      <c r="R3" s="550"/>
    </row>
    <row r="4" spans="1:18" s="3" customFormat="1" ht="7.5" customHeight="1" thickBot="1" x14ac:dyDescent="0.3">
      <c r="A4" s="5"/>
      <c r="B4" s="5"/>
      <c r="C4" s="18"/>
      <c r="D4" s="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</row>
    <row r="5" spans="1:18" s="3" customFormat="1" ht="16.5" thickBot="1" x14ac:dyDescent="0.3">
      <c r="A5" s="6" t="s">
        <v>0</v>
      </c>
      <c r="B5" s="6" t="s">
        <v>105</v>
      </c>
      <c r="C5" s="4"/>
      <c r="D5" s="7" t="s">
        <v>106</v>
      </c>
      <c r="E5" s="308"/>
      <c r="F5" s="327" t="s">
        <v>283</v>
      </c>
      <c r="G5" s="328" t="s">
        <v>288</v>
      </c>
      <c r="H5" s="327" t="s">
        <v>284</v>
      </c>
      <c r="I5" s="328" t="s">
        <v>288</v>
      </c>
      <c r="J5" s="327" t="s">
        <v>285</v>
      </c>
      <c r="K5" s="328" t="s">
        <v>288</v>
      </c>
      <c r="L5" s="327" t="s">
        <v>286</v>
      </c>
      <c r="M5" s="328" t="s">
        <v>288</v>
      </c>
      <c r="N5" s="327" t="s">
        <v>287</v>
      </c>
      <c r="O5" s="328" t="s">
        <v>288</v>
      </c>
      <c r="P5" s="6" t="s">
        <v>98</v>
      </c>
    </row>
    <row r="6" spans="1:18" ht="15.75" thickBot="1" x14ac:dyDescent="0.3">
      <c r="A6" s="312">
        <v>1000006</v>
      </c>
      <c r="B6" s="310" t="s">
        <v>4</v>
      </c>
      <c r="C6" s="361"/>
      <c r="D6" s="362"/>
      <c r="F6" s="330"/>
      <c r="G6" s="330"/>
      <c r="H6" s="330">
        <v>50</v>
      </c>
      <c r="I6" s="330"/>
      <c r="J6" s="330"/>
      <c r="K6" s="330"/>
      <c r="L6" s="330"/>
      <c r="M6" s="330"/>
      <c r="N6" s="330">
        <v>50</v>
      </c>
      <c r="O6" s="330"/>
      <c r="P6" s="371">
        <f t="shared" ref="P6:P46" si="0">SUM(F6:O6)</f>
        <v>100</v>
      </c>
    </row>
    <row r="7" spans="1:18" ht="15.75" thickBot="1" x14ac:dyDescent="0.3">
      <c r="A7" s="316">
        <v>1000007</v>
      </c>
      <c r="B7" s="314" t="s">
        <v>5</v>
      </c>
      <c r="C7" s="361"/>
      <c r="D7" s="363"/>
      <c r="F7" s="330"/>
      <c r="G7" s="330"/>
      <c r="H7" s="330">
        <v>50</v>
      </c>
      <c r="I7" s="330"/>
      <c r="J7" s="330"/>
      <c r="K7" s="330"/>
      <c r="L7" s="330"/>
      <c r="M7" s="330"/>
      <c r="N7" s="330"/>
      <c r="O7" s="330"/>
      <c r="P7" s="371">
        <f t="shared" si="0"/>
        <v>50</v>
      </c>
    </row>
    <row r="8" spans="1:18" ht="15.75" thickBot="1" x14ac:dyDescent="0.3">
      <c r="A8" s="316">
        <v>1000008</v>
      </c>
      <c r="B8" s="314" t="s">
        <v>7</v>
      </c>
      <c r="C8" s="361"/>
      <c r="D8" s="363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26">
        <f t="shared" si="0"/>
        <v>0</v>
      </c>
    </row>
    <row r="9" spans="1:18" ht="15.75" thickBot="1" x14ac:dyDescent="0.3">
      <c r="A9" s="316">
        <v>1000001</v>
      </c>
      <c r="B9" s="314" t="s">
        <v>8</v>
      </c>
      <c r="C9" s="361"/>
      <c r="D9" s="363"/>
      <c r="F9" s="330"/>
      <c r="G9" s="330"/>
      <c r="H9" s="330">
        <v>2</v>
      </c>
      <c r="I9" s="330"/>
      <c r="J9" s="330"/>
      <c r="K9" s="330"/>
      <c r="L9" s="330"/>
      <c r="M9" s="330"/>
      <c r="N9" s="330">
        <v>2</v>
      </c>
      <c r="O9" s="330"/>
      <c r="P9" s="371">
        <f t="shared" si="0"/>
        <v>4</v>
      </c>
    </row>
    <row r="10" spans="1:18" ht="15.75" thickBot="1" x14ac:dyDescent="0.3">
      <c r="A10" s="316">
        <v>1000002</v>
      </c>
      <c r="B10" s="314" t="s">
        <v>9</v>
      </c>
      <c r="C10" s="361"/>
      <c r="D10" s="363"/>
      <c r="F10" s="330"/>
      <c r="G10" s="330"/>
      <c r="H10" s="330"/>
      <c r="I10" s="330"/>
      <c r="J10" s="330"/>
      <c r="K10" s="330"/>
      <c r="L10" s="330"/>
      <c r="M10" s="330"/>
      <c r="N10" s="330">
        <v>1</v>
      </c>
      <c r="O10" s="330"/>
      <c r="P10" s="326">
        <f t="shared" si="0"/>
        <v>1</v>
      </c>
    </row>
    <row r="11" spans="1:18" ht="15.75" thickBot="1" x14ac:dyDescent="0.3">
      <c r="A11" s="316">
        <v>1000017</v>
      </c>
      <c r="B11" s="314" t="s">
        <v>14</v>
      </c>
      <c r="C11" s="361"/>
      <c r="D11" s="363"/>
      <c r="F11" s="330"/>
      <c r="G11" s="330"/>
      <c r="H11" s="330">
        <v>5</v>
      </c>
      <c r="I11" s="330"/>
      <c r="J11" s="330"/>
      <c r="K11" s="330"/>
      <c r="L11" s="330"/>
      <c r="M11" s="330"/>
      <c r="N11" s="330">
        <v>5</v>
      </c>
      <c r="O11" s="330"/>
      <c r="P11" s="371">
        <f t="shared" si="0"/>
        <v>10</v>
      </c>
    </row>
    <row r="12" spans="1:18" ht="15.75" thickBot="1" x14ac:dyDescent="0.3">
      <c r="A12" s="316">
        <v>1000016</v>
      </c>
      <c r="B12" s="314" t="s">
        <v>15</v>
      </c>
      <c r="C12" s="361"/>
      <c r="D12" s="363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26">
        <f t="shared" si="0"/>
        <v>0</v>
      </c>
    </row>
    <row r="13" spans="1:18" ht="15.75" thickBot="1" x14ac:dyDescent="0.3">
      <c r="A13" s="316">
        <v>1000041</v>
      </c>
      <c r="B13" s="314" t="s">
        <v>16</v>
      </c>
      <c r="C13" s="361"/>
      <c r="D13" s="363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26">
        <f t="shared" si="0"/>
        <v>0</v>
      </c>
    </row>
    <row r="14" spans="1:18" ht="15.75" thickBot="1" x14ac:dyDescent="0.3">
      <c r="A14" s="316">
        <v>1000049</v>
      </c>
      <c r="B14" s="314" t="s">
        <v>21</v>
      </c>
      <c r="C14" s="361"/>
      <c r="D14" s="363"/>
      <c r="F14" s="330"/>
      <c r="G14" s="330"/>
      <c r="H14" s="330"/>
      <c r="I14" s="330"/>
      <c r="J14" s="330"/>
      <c r="K14" s="330"/>
      <c r="L14" s="330"/>
      <c r="M14" s="330"/>
      <c r="N14" s="330">
        <v>1</v>
      </c>
      <c r="O14" s="330"/>
      <c r="P14" s="371">
        <f t="shared" si="0"/>
        <v>1</v>
      </c>
    </row>
    <row r="15" spans="1:18" ht="15.75" thickBot="1" x14ac:dyDescent="0.3">
      <c r="A15" s="316">
        <v>1000050</v>
      </c>
      <c r="B15" s="314" t="s">
        <v>22</v>
      </c>
      <c r="C15" s="361"/>
      <c r="D15" s="363"/>
      <c r="F15" s="330"/>
      <c r="G15" s="330"/>
      <c r="H15" s="330">
        <v>1</v>
      </c>
      <c r="I15" s="330"/>
      <c r="J15" s="330"/>
      <c r="K15" s="330"/>
      <c r="L15" s="330"/>
      <c r="M15" s="330"/>
      <c r="N15" s="330">
        <v>1</v>
      </c>
      <c r="O15" s="330"/>
      <c r="P15" s="371">
        <v>2</v>
      </c>
    </row>
    <row r="16" spans="1:18" ht="15.75" thickBot="1" x14ac:dyDescent="0.3">
      <c r="A16" s="316">
        <v>1000146</v>
      </c>
      <c r="B16" s="314" t="s">
        <v>39</v>
      </c>
      <c r="C16" s="361"/>
      <c r="D16" s="363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26">
        <f t="shared" si="0"/>
        <v>0</v>
      </c>
    </row>
    <row r="17" spans="1:19" ht="15.75" thickBot="1" x14ac:dyDescent="0.3">
      <c r="A17" s="316">
        <v>1000052</v>
      </c>
      <c r="B17" s="364" t="s">
        <v>41</v>
      </c>
      <c r="C17" s="361"/>
      <c r="D17" s="363"/>
      <c r="F17" s="330"/>
      <c r="G17" s="330"/>
      <c r="H17" s="330">
        <v>2</v>
      </c>
      <c r="I17" s="330"/>
      <c r="J17" s="330"/>
      <c r="K17" s="330"/>
      <c r="L17" s="330"/>
      <c r="M17" s="330"/>
      <c r="N17" s="330">
        <v>1</v>
      </c>
      <c r="O17" s="330"/>
      <c r="P17" s="371">
        <f t="shared" si="0"/>
        <v>3</v>
      </c>
    </row>
    <row r="18" spans="1:19" ht="15.75" thickBot="1" x14ac:dyDescent="0.3">
      <c r="A18" s="316">
        <v>1000089</v>
      </c>
      <c r="B18" s="314" t="s">
        <v>42</v>
      </c>
      <c r="C18" s="361"/>
      <c r="D18" s="363"/>
      <c r="F18" s="330"/>
      <c r="G18" s="330"/>
      <c r="H18" s="330">
        <v>1</v>
      </c>
      <c r="I18" s="330"/>
      <c r="J18" s="330"/>
      <c r="K18" s="330"/>
      <c r="L18" s="330"/>
      <c r="M18" s="330"/>
      <c r="N18" s="330"/>
      <c r="O18" s="330"/>
      <c r="P18" s="371">
        <f t="shared" si="0"/>
        <v>1</v>
      </c>
    </row>
    <row r="19" spans="1:19" ht="15.75" thickBot="1" x14ac:dyDescent="0.3">
      <c r="A19" s="316">
        <v>1000051</v>
      </c>
      <c r="B19" s="365" t="s">
        <v>43</v>
      </c>
      <c r="C19" s="361"/>
      <c r="D19" s="363"/>
      <c r="F19" s="330"/>
      <c r="G19" s="330"/>
      <c r="H19" s="330">
        <v>1</v>
      </c>
      <c r="I19" s="330"/>
      <c r="J19" s="330"/>
      <c r="K19" s="330"/>
      <c r="L19" s="330"/>
      <c r="M19" s="330"/>
      <c r="N19" s="330">
        <v>1</v>
      </c>
      <c r="O19" s="330"/>
      <c r="P19" s="371">
        <f t="shared" si="0"/>
        <v>2</v>
      </c>
    </row>
    <row r="20" spans="1:19" ht="15.75" thickBot="1" x14ac:dyDescent="0.3">
      <c r="A20" s="316">
        <v>1000054</v>
      </c>
      <c r="B20" s="314" t="s">
        <v>12</v>
      </c>
      <c r="C20" s="361"/>
      <c r="D20" s="363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26">
        <f t="shared" si="0"/>
        <v>0</v>
      </c>
    </row>
    <row r="21" spans="1:19" ht="15.75" thickBot="1" x14ac:dyDescent="0.3">
      <c r="A21" s="368">
        <v>1000025</v>
      </c>
      <c r="B21" s="369" t="s">
        <v>32</v>
      </c>
      <c r="C21" s="361"/>
      <c r="D21" s="363"/>
      <c r="F21" s="330"/>
      <c r="G21" s="330"/>
      <c r="H21" s="330"/>
      <c r="I21" s="330"/>
      <c r="J21" s="330"/>
      <c r="K21" s="330"/>
      <c r="L21" s="330"/>
      <c r="M21" s="330"/>
      <c r="N21" s="330"/>
      <c r="O21" s="330"/>
      <c r="P21" s="326">
        <f t="shared" si="0"/>
        <v>0</v>
      </c>
    </row>
    <row r="22" spans="1:19" ht="15.75" thickBot="1" x14ac:dyDescent="0.3">
      <c r="A22" s="368">
        <v>1000048</v>
      </c>
      <c r="B22" s="369" t="s">
        <v>45</v>
      </c>
      <c r="C22" s="361"/>
      <c r="D22" s="363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26">
        <f t="shared" si="0"/>
        <v>0</v>
      </c>
    </row>
    <row r="23" spans="1:19" s="15" customFormat="1" ht="15.95" customHeight="1" thickBot="1" x14ac:dyDescent="0.3">
      <c r="A23" s="368">
        <v>1000057</v>
      </c>
      <c r="B23" s="369" t="s">
        <v>70</v>
      </c>
      <c r="C23" s="361"/>
      <c r="D23" s="363"/>
      <c r="E23" s="308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26">
        <f t="shared" si="0"/>
        <v>0</v>
      </c>
    </row>
    <row r="24" spans="1:19" ht="15.75" thickBot="1" x14ac:dyDescent="0.3">
      <c r="A24" s="316">
        <v>1000067</v>
      </c>
      <c r="B24" s="314" t="s">
        <v>11</v>
      </c>
      <c r="C24" s="361"/>
      <c r="D24" s="363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26">
        <f t="shared" si="0"/>
        <v>0</v>
      </c>
    </row>
    <row r="25" spans="1:19" ht="15.75" thickBot="1" x14ac:dyDescent="0.3">
      <c r="A25" s="316">
        <v>1000073</v>
      </c>
      <c r="B25" s="314" t="s">
        <v>36</v>
      </c>
      <c r="C25" s="361"/>
      <c r="D25" s="363"/>
      <c r="F25" s="330"/>
      <c r="G25" s="330"/>
      <c r="H25" s="330">
        <v>1</v>
      </c>
      <c r="I25" s="330"/>
      <c r="J25" s="330"/>
      <c r="K25" s="330"/>
      <c r="L25" s="330"/>
      <c r="M25" s="330"/>
      <c r="N25" s="330"/>
      <c r="O25" s="330"/>
      <c r="P25" s="371">
        <f t="shared" si="0"/>
        <v>1</v>
      </c>
    </row>
    <row r="26" spans="1:19" ht="15.75" thickBot="1" x14ac:dyDescent="0.3">
      <c r="A26" s="316">
        <v>1000383</v>
      </c>
      <c r="B26" s="314" t="s">
        <v>231</v>
      </c>
      <c r="C26" s="361"/>
      <c r="D26" s="363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26">
        <f t="shared" si="0"/>
        <v>0</v>
      </c>
    </row>
    <row r="27" spans="1:19" ht="15.75" thickBot="1" x14ac:dyDescent="0.3">
      <c r="A27" s="316">
        <v>1000004</v>
      </c>
      <c r="B27" s="314" t="s">
        <v>10</v>
      </c>
      <c r="C27" s="361"/>
      <c r="D27" s="363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26">
        <f t="shared" si="0"/>
        <v>0</v>
      </c>
    </row>
    <row r="28" spans="1:19" ht="15.75" thickBot="1" x14ac:dyDescent="0.3">
      <c r="A28" s="316">
        <v>1000070</v>
      </c>
      <c r="B28" s="314" t="s">
        <v>13</v>
      </c>
      <c r="C28" s="361"/>
      <c r="D28" s="363"/>
      <c r="F28" s="330"/>
      <c r="G28" s="330"/>
      <c r="H28" s="330">
        <v>1</v>
      </c>
      <c r="I28" s="330"/>
      <c r="J28" s="330"/>
      <c r="K28" s="330"/>
      <c r="L28" s="330"/>
      <c r="M28" s="330"/>
      <c r="N28" s="330">
        <v>1</v>
      </c>
      <c r="O28" s="330"/>
      <c r="P28" s="371">
        <f t="shared" si="0"/>
        <v>2</v>
      </c>
    </row>
    <row r="29" spans="1:19" ht="15.75" thickBot="1" x14ac:dyDescent="0.3">
      <c r="A29" s="316">
        <v>1000076</v>
      </c>
      <c r="B29" s="314" t="s">
        <v>46</v>
      </c>
      <c r="C29" s="361"/>
      <c r="D29" s="363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26">
        <f t="shared" si="0"/>
        <v>0</v>
      </c>
    </row>
    <row r="30" spans="1:19" ht="15.75" thickBot="1" x14ac:dyDescent="0.3">
      <c r="A30" s="316">
        <v>1000034</v>
      </c>
      <c r="B30" s="314" t="s">
        <v>28</v>
      </c>
      <c r="C30" s="361"/>
      <c r="D30" s="363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26">
        <f t="shared" si="0"/>
        <v>0</v>
      </c>
      <c r="S30" s="629" t="s">
        <v>336</v>
      </c>
    </row>
    <row r="31" spans="1:19" ht="15.75" thickBot="1" x14ac:dyDescent="0.3">
      <c r="A31" s="316">
        <v>1000472</v>
      </c>
      <c r="B31" s="314" t="s">
        <v>222</v>
      </c>
      <c r="C31" s="361"/>
      <c r="D31" s="363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26">
        <f t="shared" si="0"/>
        <v>0</v>
      </c>
    </row>
    <row r="32" spans="1:19" ht="15.75" thickBot="1" x14ac:dyDescent="0.3">
      <c r="A32" s="316">
        <v>1000084</v>
      </c>
      <c r="B32" s="314" t="s">
        <v>194</v>
      </c>
      <c r="C32" s="361"/>
      <c r="D32" s="363"/>
      <c r="F32" s="330"/>
      <c r="G32" s="330"/>
      <c r="H32" s="330">
        <v>4</v>
      </c>
      <c r="I32" s="330"/>
      <c r="J32" s="330"/>
      <c r="K32" s="330"/>
      <c r="L32" s="330"/>
      <c r="M32" s="330"/>
      <c r="N32" s="330">
        <v>4</v>
      </c>
      <c r="O32" s="330"/>
      <c r="P32" s="371">
        <f t="shared" si="0"/>
        <v>8</v>
      </c>
    </row>
    <row r="33" spans="1:16" ht="15.75" thickBot="1" x14ac:dyDescent="0.3">
      <c r="A33" s="316">
        <v>1000082</v>
      </c>
      <c r="B33" s="314" t="s">
        <v>37</v>
      </c>
      <c r="C33" s="361"/>
      <c r="D33" s="363"/>
      <c r="F33" s="330"/>
      <c r="G33" s="330"/>
      <c r="H33" s="330">
        <v>16</v>
      </c>
      <c r="I33" s="330"/>
      <c r="J33" s="330"/>
      <c r="K33" s="330"/>
      <c r="L33" s="330"/>
      <c r="M33" s="330"/>
      <c r="N33" s="330">
        <v>16</v>
      </c>
      <c r="O33" s="330"/>
      <c r="P33" s="371">
        <f t="shared" si="0"/>
        <v>32</v>
      </c>
    </row>
    <row r="34" spans="1:16" ht="15.75" thickBot="1" x14ac:dyDescent="0.3">
      <c r="A34" s="316">
        <v>1000027</v>
      </c>
      <c r="B34" s="314" t="s">
        <v>33</v>
      </c>
      <c r="C34" s="361"/>
      <c r="D34" s="363"/>
      <c r="F34" s="330"/>
      <c r="G34" s="330"/>
      <c r="H34" s="330"/>
      <c r="I34" s="330"/>
      <c r="J34" s="330"/>
      <c r="K34" s="330"/>
      <c r="L34" s="330"/>
      <c r="M34" s="330"/>
      <c r="N34" s="330"/>
      <c r="O34" s="330"/>
      <c r="P34" s="326">
        <f t="shared" si="0"/>
        <v>0</v>
      </c>
    </row>
    <row r="35" spans="1:16" ht="15.75" thickBot="1" x14ac:dyDescent="0.3">
      <c r="A35" s="316">
        <v>1000472</v>
      </c>
      <c r="B35" s="314" t="s">
        <v>222</v>
      </c>
      <c r="C35" s="361"/>
      <c r="D35" s="363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26">
        <f t="shared" si="0"/>
        <v>0</v>
      </c>
    </row>
    <row r="36" spans="1:16" ht="15.75" thickBot="1" x14ac:dyDescent="0.3">
      <c r="A36" s="316">
        <v>1000031</v>
      </c>
      <c r="B36" s="314" t="s">
        <v>25</v>
      </c>
      <c r="C36" s="361"/>
      <c r="D36" s="363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26">
        <f t="shared" si="0"/>
        <v>0</v>
      </c>
    </row>
    <row r="37" spans="1:16" ht="15.75" thickBot="1" x14ac:dyDescent="0.3">
      <c r="A37" s="316">
        <v>10000015</v>
      </c>
      <c r="B37" s="314" t="s">
        <v>1</v>
      </c>
      <c r="C37" s="361"/>
      <c r="D37" s="363"/>
      <c r="F37" s="330"/>
      <c r="G37" s="330"/>
      <c r="H37" s="330">
        <v>5</v>
      </c>
      <c r="I37" s="330"/>
      <c r="J37" s="330"/>
      <c r="K37" s="330"/>
      <c r="L37" s="330"/>
      <c r="M37" s="330"/>
      <c r="N37" s="330"/>
      <c r="O37" s="330"/>
      <c r="P37" s="371">
        <f t="shared" si="0"/>
        <v>5</v>
      </c>
    </row>
    <row r="38" spans="1:16" ht="15.75" thickBot="1" x14ac:dyDescent="0.3">
      <c r="A38" s="316">
        <v>1000486</v>
      </c>
      <c r="B38" s="314" t="s">
        <v>263</v>
      </c>
      <c r="C38" s="361"/>
      <c r="D38" s="363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26">
        <f t="shared" si="0"/>
        <v>0</v>
      </c>
    </row>
    <row r="39" spans="1:16" ht="15.75" thickBot="1" x14ac:dyDescent="0.3">
      <c r="A39" s="316">
        <v>10248</v>
      </c>
      <c r="B39" s="314" t="s">
        <v>183</v>
      </c>
      <c r="C39" s="361"/>
      <c r="D39" s="363"/>
      <c r="F39" s="330"/>
      <c r="G39" s="330"/>
      <c r="H39" s="330">
        <v>6</v>
      </c>
      <c r="I39" s="330"/>
      <c r="J39" s="330"/>
      <c r="K39" s="330"/>
      <c r="L39" s="330"/>
      <c r="M39" s="330"/>
      <c r="N39" s="330">
        <v>6</v>
      </c>
      <c r="O39" s="330"/>
      <c r="P39" s="371">
        <f t="shared" si="0"/>
        <v>12</v>
      </c>
    </row>
    <row r="40" spans="1:16" ht="15.75" thickBot="1" x14ac:dyDescent="0.3">
      <c r="A40" s="316">
        <v>1000092</v>
      </c>
      <c r="B40" s="314" t="s">
        <v>51</v>
      </c>
      <c r="C40" s="361"/>
      <c r="D40" s="363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26">
        <f t="shared" si="0"/>
        <v>0</v>
      </c>
    </row>
    <row r="41" spans="1:16" ht="15.75" thickBot="1" x14ac:dyDescent="0.3">
      <c r="A41" s="316">
        <v>1000436</v>
      </c>
      <c r="B41" s="314" t="s">
        <v>276</v>
      </c>
      <c r="C41" s="361"/>
      <c r="D41" s="363"/>
      <c r="F41" s="330"/>
      <c r="G41" s="330"/>
      <c r="H41" s="330">
        <v>10</v>
      </c>
      <c r="I41" s="330"/>
      <c r="J41" s="330"/>
      <c r="K41" s="330"/>
      <c r="L41" s="330"/>
      <c r="M41" s="330"/>
      <c r="N41" s="330">
        <v>20</v>
      </c>
      <c r="O41" s="330"/>
      <c r="P41" s="371">
        <f t="shared" si="0"/>
        <v>30</v>
      </c>
    </row>
    <row r="42" spans="1:16" ht="15.75" thickBot="1" x14ac:dyDescent="0.3">
      <c r="A42" s="316">
        <v>1000550</v>
      </c>
      <c r="B42" s="314" t="s">
        <v>277</v>
      </c>
      <c r="C42" s="361"/>
      <c r="D42" s="363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26">
        <f t="shared" si="0"/>
        <v>0</v>
      </c>
    </row>
    <row r="43" spans="1:16" ht="15.75" thickBot="1" x14ac:dyDescent="0.3">
      <c r="A43" s="316">
        <v>1000551</v>
      </c>
      <c r="B43" s="314" t="s">
        <v>278</v>
      </c>
      <c r="C43" s="361"/>
      <c r="D43" s="363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26">
        <f t="shared" si="0"/>
        <v>0</v>
      </c>
    </row>
    <row r="44" spans="1:16" ht="15.75" thickBot="1" x14ac:dyDescent="0.3">
      <c r="A44" s="314">
        <v>1000100</v>
      </c>
      <c r="B44" s="314" t="s">
        <v>34</v>
      </c>
      <c r="C44" s="361"/>
      <c r="D44" s="363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26">
        <f t="shared" si="0"/>
        <v>0</v>
      </c>
    </row>
    <row r="45" spans="1:16" ht="15.75" thickBot="1" x14ac:dyDescent="0.3">
      <c r="A45" s="316">
        <v>1000552</v>
      </c>
      <c r="B45" s="314" t="s">
        <v>279</v>
      </c>
      <c r="C45" s="361"/>
      <c r="D45" s="363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26">
        <f t="shared" si="0"/>
        <v>0</v>
      </c>
    </row>
    <row r="46" spans="1:16" ht="15.75" thickBot="1" x14ac:dyDescent="0.3">
      <c r="A46" s="35">
        <v>1000045</v>
      </c>
      <c r="B46" s="314" t="s">
        <v>23</v>
      </c>
      <c r="C46" s="323"/>
      <c r="D46" s="367"/>
      <c r="F46" s="330"/>
      <c r="G46" s="330"/>
      <c r="H46" s="330"/>
      <c r="I46" s="330"/>
      <c r="J46" s="330"/>
      <c r="K46" s="330"/>
      <c r="L46" s="330"/>
      <c r="M46" s="330"/>
      <c r="N46" s="330">
        <v>1</v>
      </c>
      <c r="O46" s="330"/>
      <c r="P46" s="371">
        <f t="shared" si="0"/>
        <v>1</v>
      </c>
    </row>
  </sheetData>
  <mergeCells count="3">
    <mergeCell ref="A1:B2"/>
    <mergeCell ref="F1:J2"/>
    <mergeCell ref="D1:D2"/>
  </mergeCells>
  <pageMargins left="0.25" right="0.25" top="0.75" bottom="0.75" header="0.3" footer="0.3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30E9-CB80-4B42-9671-B6E0AA4778A4}">
  <sheetPr>
    <tabColor rgb="FFFF0000"/>
    <pageSetUpPr fitToPage="1"/>
  </sheetPr>
  <dimension ref="A1:T58"/>
  <sheetViews>
    <sheetView topLeftCell="A25" zoomScale="85" zoomScaleNormal="85" workbookViewId="0">
      <selection activeCell="T15" sqref="T15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" style="27" customWidth="1"/>
    <col min="4" max="4" width="8.125" style="27" bestFit="1" customWidth="1"/>
    <col min="5" max="5" width="1.125" style="27" customWidth="1"/>
    <col min="6" max="6" width="7.5" style="27" customWidth="1"/>
    <col min="7" max="7" width="6" style="27" customWidth="1"/>
    <col min="8" max="8" width="7.375" style="27" customWidth="1"/>
    <col min="9" max="9" width="5.875" style="27" customWidth="1"/>
    <col min="10" max="10" width="8.875" style="27" customWidth="1"/>
    <col min="11" max="11" width="6" style="27" customWidth="1"/>
    <col min="12" max="12" width="6.875" style="27" customWidth="1"/>
    <col min="13" max="13" width="6" style="27" customWidth="1"/>
    <col min="14" max="14" width="7.75" style="27" customWidth="1"/>
    <col min="15" max="15" width="5.625" style="27" customWidth="1"/>
    <col min="16" max="16" width="8.25" style="27" customWidth="1"/>
    <col min="17" max="16384" width="10.875" style="27"/>
  </cols>
  <sheetData>
    <row r="1" spans="1:20" ht="15" customHeight="1" x14ac:dyDescent="0.45">
      <c r="A1" s="686" t="s">
        <v>130</v>
      </c>
      <c r="B1" s="687"/>
      <c r="C1" s="18"/>
      <c r="D1" s="391" t="s">
        <v>309</v>
      </c>
      <c r="F1" s="737" t="s">
        <v>474</v>
      </c>
      <c r="G1" s="738"/>
      <c r="H1" s="738"/>
      <c r="I1" s="738"/>
      <c r="J1" s="739"/>
      <c r="K1" s="2"/>
      <c r="L1" s="747"/>
      <c r="M1" s="749"/>
    </row>
    <row r="2" spans="1:20" s="3" customFormat="1" ht="16.5" customHeight="1" thickBot="1" x14ac:dyDescent="0.5">
      <c r="A2" s="688"/>
      <c r="B2" s="689"/>
      <c r="C2" s="18"/>
      <c r="D2" s="18"/>
      <c r="F2" s="740"/>
      <c r="G2" s="741"/>
      <c r="H2" s="741"/>
      <c r="I2" s="741"/>
      <c r="J2" s="742"/>
      <c r="K2" s="2"/>
      <c r="L2" s="748"/>
      <c r="M2" s="750"/>
    </row>
    <row r="3" spans="1:20" s="3" customFormat="1" ht="28.5" customHeight="1" thickBot="1" x14ac:dyDescent="0.3">
      <c r="A3" s="5"/>
      <c r="B3" s="5" t="s">
        <v>307</v>
      </c>
      <c r="C3" s="18"/>
      <c r="D3" s="18"/>
    </row>
    <row r="4" spans="1:20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288</v>
      </c>
      <c r="H4" s="19" t="s">
        <v>310</v>
      </c>
      <c r="I4" s="20" t="s">
        <v>288</v>
      </c>
      <c r="J4" s="19" t="s">
        <v>311</v>
      </c>
      <c r="K4" s="20" t="s">
        <v>288</v>
      </c>
      <c r="L4" s="19" t="s">
        <v>312</v>
      </c>
      <c r="M4" s="20" t="s">
        <v>288</v>
      </c>
      <c r="N4" s="19" t="s">
        <v>313</v>
      </c>
      <c r="O4" s="20" t="s">
        <v>288</v>
      </c>
      <c r="P4" s="21" t="s">
        <v>98</v>
      </c>
    </row>
    <row r="5" spans="1:20" ht="19.5" thickBot="1" x14ac:dyDescent="0.35">
      <c r="A5" s="30">
        <v>1000006</v>
      </c>
      <c r="B5" s="11" t="s">
        <v>4</v>
      </c>
      <c r="C5" s="41"/>
      <c r="D5" s="48"/>
      <c r="F5" s="28">
        <v>50</v>
      </c>
      <c r="G5" s="28"/>
      <c r="H5" s="28"/>
      <c r="I5" s="28"/>
      <c r="J5" s="28">
        <v>100</v>
      </c>
      <c r="K5" s="28"/>
      <c r="L5" s="28"/>
      <c r="M5" s="28"/>
      <c r="N5" s="28">
        <v>50</v>
      </c>
      <c r="O5" s="28"/>
      <c r="P5" s="397">
        <f t="shared" ref="P5:P58" si="0">SUM(F5:O5)</f>
        <v>200</v>
      </c>
    </row>
    <row r="6" spans="1:20" ht="19.5" thickBot="1" x14ac:dyDescent="0.35">
      <c r="A6" s="35">
        <v>1000007</v>
      </c>
      <c r="B6" s="12" t="s">
        <v>5</v>
      </c>
      <c r="C6" s="41"/>
      <c r="D6" s="48"/>
      <c r="F6" s="28">
        <v>50</v>
      </c>
      <c r="G6" s="28"/>
      <c r="H6" s="28"/>
      <c r="I6" s="28"/>
      <c r="J6" s="28">
        <v>50</v>
      </c>
      <c r="K6" s="28"/>
      <c r="L6" s="28"/>
      <c r="M6" s="28"/>
      <c r="N6" s="28">
        <v>50</v>
      </c>
      <c r="O6" s="28"/>
      <c r="P6" s="397">
        <f t="shared" si="0"/>
        <v>150</v>
      </c>
    </row>
    <row r="7" spans="1:20" ht="19.5" thickBot="1" x14ac:dyDescent="0.35">
      <c r="A7" s="35">
        <v>1000008</v>
      </c>
      <c r="B7" s="12" t="s">
        <v>7</v>
      </c>
      <c r="C7" s="41"/>
      <c r="D7" s="48"/>
      <c r="F7" s="28">
        <v>50</v>
      </c>
      <c r="G7" s="28"/>
      <c r="H7" s="28"/>
      <c r="I7" s="28"/>
      <c r="J7" s="28">
        <v>50</v>
      </c>
      <c r="K7" s="28"/>
      <c r="L7" s="28"/>
      <c r="M7" s="28"/>
      <c r="N7" s="28">
        <v>50</v>
      </c>
      <c r="O7" s="28"/>
      <c r="P7" s="397">
        <f t="shared" si="0"/>
        <v>150</v>
      </c>
    </row>
    <row r="8" spans="1:20" ht="19.5" thickBot="1" x14ac:dyDescent="0.35">
      <c r="A8" s="35">
        <v>1000001</v>
      </c>
      <c r="B8" s="12" t="s">
        <v>8</v>
      </c>
      <c r="C8" s="41"/>
      <c r="D8" s="48"/>
      <c r="F8" s="28">
        <v>4</v>
      </c>
      <c r="G8" s="28"/>
      <c r="H8" s="28"/>
      <c r="I8" s="28"/>
      <c r="J8" s="28"/>
      <c r="K8" s="28"/>
      <c r="L8" s="28"/>
      <c r="M8" s="28"/>
      <c r="N8" s="28"/>
      <c r="O8" s="28"/>
      <c r="P8" s="397">
        <f t="shared" si="0"/>
        <v>4</v>
      </c>
    </row>
    <row r="9" spans="1:20" ht="19.5" thickBot="1" x14ac:dyDescent="0.35">
      <c r="A9" s="35">
        <v>1000002</v>
      </c>
      <c r="B9" s="12" t="s">
        <v>9</v>
      </c>
      <c r="C9" s="41"/>
      <c r="D9" s="48"/>
      <c r="F9" s="28"/>
      <c r="G9" s="28"/>
      <c r="H9" s="28"/>
      <c r="I9" s="28"/>
      <c r="J9" s="28"/>
      <c r="K9" s="28"/>
      <c r="L9" s="28"/>
      <c r="M9" s="28"/>
      <c r="N9" s="28"/>
      <c r="O9" s="28"/>
      <c r="P9" s="393">
        <f t="shared" si="0"/>
        <v>0</v>
      </c>
    </row>
    <row r="10" spans="1:20" ht="19.5" thickBot="1" x14ac:dyDescent="0.35">
      <c r="A10" s="35">
        <v>1000004</v>
      </c>
      <c r="B10" s="12" t="s">
        <v>10</v>
      </c>
      <c r="C10" s="41"/>
      <c r="D10" s="4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93">
        <f t="shared" si="0"/>
        <v>0</v>
      </c>
    </row>
    <row r="11" spans="1:20" ht="19.5" thickBot="1" x14ac:dyDescent="0.35">
      <c r="A11" s="35">
        <v>1000067</v>
      </c>
      <c r="B11" s="12" t="s">
        <v>11</v>
      </c>
      <c r="C11" s="41"/>
      <c r="D11" s="48"/>
      <c r="F11" s="28"/>
      <c r="G11" s="28"/>
      <c r="H11" s="28"/>
      <c r="I11" s="28"/>
      <c r="J11" s="28"/>
      <c r="K11" s="28"/>
      <c r="L11" s="28"/>
      <c r="M11" s="28"/>
      <c r="N11" s="28">
        <v>2</v>
      </c>
      <c r="O11" s="28"/>
      <c r="P11" s="397">
        <f t="shared" si="0"/>
        <v>2</v>
      </c>
    </row>
    <row r="12" spans="1:20" ht="19.5" thickBot="1" x14ac:dyDescent="0.35">
      <c r="A12" s="35">
        <v>1000054</v>
      </c>
      <c r="B12" s="12" t="s">
        <v>12</v>
      </c>
      <c r="C12" s="41"/>
      <c r="D12" s="48"/>
      <c r="F12" s="28">
        <v>20</v>
      </c>
      <c r="G12" s="28"/>
      <c r="H12" s="28"/>
      <c r="I12" s="28"/>
      <c r="J12" s="28">
        <v>10</v>
      </c>
      <c r="K12" s="28"/>
      <c r="L12" s="28"/>
      <c r="M12" s="28"/>
      <c r="N12" s="28">
        <v>10</v>
      </c>
      <c r="O12" s="28"/>
      <c r="P12" s="397">
        <f t="shared" si="0"/>
        <v>40</v>
      </c>
    </row>
    <row r="13" spans="1:20" ht="19.5" thickBot="1" x14ac:dyDescent="0.35">
      <c r="A13" s="35">
        <v>1000070</v>
      </c>
      <c r="B13" s="12" t="s">
        <v>13</v>
      </c>
      <c r="C13" s="41"/>
      <c r="D13" s="48"/>
      <c r="E13" s="394"/>
      <c r="F13" s="28">
        <v>3</v>
      </c>
      <c r="G13" s="28"/>
      <c r="H13" s="28"/>
      <c r="I13" s="28"/>
      <c r="J13" s="28"/>
      <c r="K13" s="28"/>
      <c r="L13" s="28"/>
      <c r="M13" s="28"/>
      <c r="N13" s="28">
        <v>2</v>
      </c>
      <c r="O13" s="28"/>
      <c r="P13" s="397">
        <f t="shared" si="0"/>
        <v>5</v>
      </c>
    </row>
    <row r="14" spans="1:20" ht="19.5" thickBot="1" x14ac:dyDescent="0.35">
      <c r="A14" s="35">
        <v>1000017</v>
      </c>
      <c r="B14" s="12" t="s">
        <v>14</v>
      </c>
      <c r="C14" s="41"/>
      <c r="D14" s="48"/>
      <c r="E14" s="394"/>
      <c r="F14" s="28">
        <v>20</v>
      </c>
      <c r="G14" s="28"/>
      <c r="H14" s="28"/>
      <c r="I14" s="28"/>
      <c r="J14" s="28">
        <v>10</v>
      </c>
      <c r="K14" s="28"/>
      <c r="L14" s="28"/>
      <c r="M14" s="28"/>
      <c r="N14" s="28">
        <v>10</v>
      </c>
      <c r="O14" s="28"/>
      <c r="P14" s="397">
        <f t="shared" si="0"/>
        <v>40</v>
      </c>
    </row>
    <row r="15" spans="1:20" ht="19.5" thickBot="1" x14ac:dyDescent="0.35">
      <c r="A15" s="35">
        <v>1000016</v>
      </c>
      <c r="B15" s="12" t="s">
        <v>15</v>
      </c>
      <c r="C15" s="41"/>
      <c r="D15" s="48"/>
      <c r="E15" s="394"/>
      <c r="F15" s="28"/>
      <c r="G15" s="28"/>
      <c r="H15" s="28"/>
      <c r="I15" s="28"/>
      <c r="J15" s="28"/>
      <c r="K15" s="28"/>
      <c r="L15" s="28"/>
      <c r="M15" s="28"/>
      <c r="N15" s="28">
        <v>10</v>
      </c>
      <c r="O15" s="28"/>
      <c r="P15" s="397">
        <f t="shared" si="0"/>
        <v>10</v>
      </c>
      <c r="T15" s="394"/>
    </row>
    <row r="16" spans="1:20" ht="19.5" thickBot="1" x14ac:dyDescent="0.35">
      <c r="A16" s="35">
        <v>1000049</v>
      </c>
      <c r="B16" s="12" t="s">
        <v>21</v>
      </c>
      <c r="C16" s="41"/>
      <c r="D16" s="48"/>
      <c r="E16" s="394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93">
        <f t="shared" si="0"/>
        <v>0</v>
      </c>
    </row>
    <row r="17" spans="1:16" ht="19.5" thickBot="1" x14ac:dyDescent="0.35">
      <c r="A17" s="35">
        <v>1000050</v>
      </c>
      <c r="B17" s="12" t="s">
        <v>22</v>
      </c>
      <c r="C17" s="41"/>
      <c r="D17" s="48"/>
      <c r="E17" s="394"/>
      <c r="F17" s="28"/>
      <c r="G17" s="28"/>
      <c r="H17" s="28"/>
      <c r="I17" s="28"/>
      <c r="J17" s="28"/>
      <c r="K17" s="28"/>
      <c r="L17" s="28"/>
      <c r="M17" s="28"/>
      <c r="N17" s="28">
        <v>3</v>
      </c>
      <c r="O17" s="28"/>
      <c r="P17" s="397">
        <f t="shared" si="0"/>
        <v>3</v>
      </c>
    </row>
    <row r="18" spans="1:16" ht="19.5" thickBot="1" x14ac:dyDescent="0.35">
      <c r="A18" s="35">
        <v>1000045</v>
      </c>
      <c r="B18" s="12" t="s">
        <v>23</v>
      </c>
      <c r="C18" s="41"/>
      <c r="D18" s="48"/>
      <c r="E18" s="39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93">
        <f t="shared" si="0"/>
        <v>0</v>
      </c>
    </row>
    <row r="19" spans="1:16" ht="19.5" thickBot="1" x14ac:dyDescent="0.35">
      <c r="A19" s="35">
        <v>1000030</v>
      </c>
      <c r="B19" s="12" t="s">
        <v>24</v>
      </c>
      <c r="C19" s="41"/>
      <c r="D19" s="48"/>
      <c r="E19" s="394"/>
      <c r="F19" s="28"/>
      <c r="G19" s="28"/>
      <c r="H19" s="28"/>
      <c r="I19" s="28"/>
      <c r="J19" s="28">
        <v>2</v>
      </c>
      <c r="K19" s="28"/>
      <c r="L19" s="28"/>
      <c r="M19" s="28"/>
      <c r="N19" s="28">
        <v>3</v>
      </c>
      <c r="O19" s="28"/>
      <c r="P19" s="397">
        <f t="shared" si="0"/>
        <v>5</v>
      </c>
    </row>
    <row r="20" spans="1:16" ht="19.5" thickBot="1" x14ac:dyDescent="0.35">
      <c r="A20" s="35">
        <v>1000033</v>
      </c>
      <c r="B20" s="12" t="s">
        <v>27</v>
      </c>
      <c r="C20" s="41"/>
      <c r="D20" s="48"/>
      <c r="E20" s="394"/>
      <c r="F20" s="28">
        <v>1</v>
      </c>
      <c r="G20" s="28"/>
      <c r="H20" s="28"/>
      <c r="I20" s="28"/>
      <c r="J20" s="28"/>
      <c r="K20" s="28"/>
      <c r="L20" s="28"/>
      <c r="M20" s="28"/>
      <c r="N20" s="28"/>
      <c r="O20" s="28"/>
      <c r="P20" s="397">
        <f t="shared" si="0"/>
        <v>1</v>
      </c>
    </row>
    <row r="21" spans="1:16" ht="19.5" thickBot="1" x14ac:dyDescent="0.35">
      <c r="A21" s="35">
        <v>1000029</v>
      </c>
      <c r="B21" s="12" t="s">
        <v>30</v>
      </c>
      <c r="C21" s="41"/>
      <c r="D21" s="48"/>
      <c r="E21" s="394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93">
        <f t="shared" si="0"/>
        <v>0</v>
      </c>
    </row>
    <row r="22" spans="1:16" ht="19.5" thickBot="1" x14ac:dyDescent="0.35">
      <c r="A22" s="35">
        <v>1000025</v>
      </c>
      <c r="B22" s="12" t="s">
        <v>32</v>
      </c>
      <c r="C22" s="41"/>
      <c r="D22" s="48"/>
      <c r="E22" s="394"/>
      <c r="F22" s="28"/>
      <c r="G22" s="28"/>
      <c r="H22" s="28"/>
      <c r="I22" s="28"/>
      <c r="J22" s="28"/>
      <c r="K22" s="28"/>
      <c r="L22" s="28"/>
      <c r="M22" s="28"/>
      <c r="N22" s="28">
        <v>10</v>
      </c>
      <c r="O22" s="28"/>
      <c r="P22" s="397">
        <f t="shared" si="0"/>
        <v>10</v>
      </c>
    </row>
    <row r="23" spans="1:16" ht="19.5" thickBot="1" x14ac:dyDescent="0.35">
      <c r="A23" s="35">
        <v>1000100</v>
      </c>
      <c r="B23" s="12" t="s">
        <v>34</v>
      </c>
      <c r="C23" s="41"/>
      <c r="D23" s="48"/>
      <c r="E23" s="394"/>
      <c r="F23" s="28">
        <v>3</v>
      </c>
      <c r="G23" s="28"/>
      <c r="H23" s="28"/>
      <c r="I23" s="28"/>
      <c r="J23" s="28"/>
      <c r="K23" s="28"/>
      <c r="L23" s="28"/>
      <c r="M23" s="28"/>
      <c r="N23" s="28"/>
      <c r="O23" s="28"/>
      <c r="P23" s="397">
        <f t="shared" si="0"/>
        <v>3</v>
      </c>
    </row>
    <row r="24" spans="1:16" ht="19.5" thickBot="1" x14ac:dyDescent="0.35">
      <c r="A24" s="35">
        <v>1000073</v>
      </c>
      <c r="B24" s="12" t="s">
        <v>36</v>
      </c>
      <c r="C24" s="41"/>
      <c r="D24" s="48"/>
      <c r="E24" s="394"/>
      <c r="F24" s="28"/>
      <c r="G24" s="28"/>
      <c r="H24" s="28"/>
      <c r="I24" s="28"/>
      <c r="J24" s="28"/>
      <c r="K24" s="28"/>
      <c r="L24" s="28"/>
      <c r="M24" s="28"/>
      <c r="N24" s="28">
        <v>2</v>
      </c>
      <c r="O24" s="28"/>
      <c r="P24" s="397">
        <f t="shared" si="0"/>
        <v>2</v>
      </c>
    </row>
    <row r="25" spans="1:16" ht="19.5" thickBot="1" x14ac:dyDescent="0.35">
      <c r="A25" s="35">
        <v>1000146</v>
      </c>
      <c r="B25" s="12" t="s">
        <v>39</v>
      </c>
      <c r="C25" s="41"/>
      <c r="D25" s="48"/>
      <c r="E25" s="394"/>
      <c r="F25" s="28">
        <v>40</v>
      </c>
      <c r="G25" s="28"/>
      <c r="H25" s="28"/>
      <c r="I25" s="28"/>
      <c r="J25" s="28"/>
      <c r="K25" s="28"/>
      <c r="L25" s="28"/>
      <c r="M25" s="28"/>
      <c r="N25" s="28"/>
      <c r="O25" s="28"/>
      <c r="P25" s="397">
        <f t="shared" si="0"/>
        <v>40</v>
      </c>
    </row>
    <row r="26" spans="1:16" ht="19.5" thickBot="1" x14ac:dyDescent="0.35">
      <c r="A26" s="35">
        <v>10248</v>
      </c>
      <c r="B26" s="12" t="s">
        <v>183</v>
      </c>
      <c r="C26" s="41"/>
      <c r="D26" s="48"/>
      <c r="E26" s="394"/>
      <c r="F26" s="28">
        <v>12</v>
      </c>
      <c r="G26" s="28"/>
      <c r="H26" s="28"/>
      <c r="I26" s="28"/>
      <c r="J26" s="28"/>
      <c r="K26" s="28"/>
      <c r="L26" s="28"/>
      <c r="M26" s="28"/>
      <c r="N26" s="28">
        <v>3</v>
      </c>
      <c r="O26" s="28"/>
      <c r="P26" s="397">
        <f t="shared" si="0"/>
        <v>15</v>
      </c>
    </row>
    <row r="27" spans="1:16" ht="19.5" thickBot="1" x14ac:dyDescent="0.35">
      <c r="A27" s="35">
        <v>1000090</v>
      </c>
      <c r="B27" s="12" t="s">
        <v>40</v>
      </c>
      <c r="C27" s="41"/>
      <c r="D27" s="48"/>
      <c r="E27" s="394"/>
      <c r="F27" s="28">
        <v>4</v>
      </c>
      <c r="G27" s="28"/>
      <c r="H27" s="28"/>
      <c r="I27" s="28"/>
      <c r="J27" s="28"/>
      <c r="K27" s="28"/>
      <c r="L27" s="28"/>
      <c r="M27" s="28"/>
      <c r="N27" s="28">
        <v>10</v>
      </c>
      <c r="O27" s="28"/>
      <c r="P27" s="397">
        <f t="shared" si="0"/>
        <v>14</v>
      </c>
    </row>
    <row r="28" spans="1:16" ht="19.5" thickBot="1" x14ac:dyDescent="0.35">
      <c r="A28" s="35">
        <v>1000052</v>
      </c>
      <c r="B28" s="12" t="s">
        <v>41</v>
      </c>
      <c r="C28" s="41"/>
      <c r="D28" s="48"/>
      <c r="E28" s="394"/>
      <c r="F28" s="28">
        <v>3</v>
      </c>
      <c r="G28" s="28"/>
      <c r="H28" s="28"/>
      <c r="I28" s="28"/>
      <c r="J28" s="28">
        <v>3</v>
      </c>
      <c r="K28" s="28"/>
      <c r="L28" s="28"/>
      <c r="M28" s="28"/>
      <c r="N28" s="28">
        <v>3</v>
      </c>
      <c r="O28" s="28"/>
      <c r="P28" s="397">
        <f t="shared" si="0"/>
        <v>9</v>
      </c>
    </row>
    <row r="29" spans="1:16" ht="19.5" thickBot="1" x14ac:dyDescent="0.35">
      <c r="A29" s="35">
        <v>1000089</v>
      </c>
      <c r="B29" s="12" t="s">
        <v>42</v>
      </c>
      <c r="C29" s="41"/>
      <c r="D29" s="48"/>
      <c r="F29" s="28"/>
      <c r="G29" s="28"/>
      <c r="H29" s="28"/>
      <c r="I29" s="28"/>
      <c r="J29" s="28">
        <v>3</v>
      </c>
      <c r="K29" s="28"/>
      <c r="L29" s="28"/>
      <c r="M29" s="28"/>
      <c r="N29" s="28">
        <v>3</v>
      </c>
      <c r="O29" s="28"/>
      <c r="P29" s="397">
        <f t="shared" si="0"/>
        <v>6</v>
      </c>
    </row>
    <row r="30" spans="1:16" ht="19.5" thickBot="1" x14ac:dyDescent="0.35">
      <c r="A30" s="35">
        <v>1000051</v>
      </c>
      <c r="B30" s="12" t="s">
        <v>43</v>
      </c>
      <c r="C30" s="41"/>
      <c r="D30" s="4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93">
        <f t="shared" si="0"/>
        <v>0</v>
      </c>
    </row>
    <row r="31" spans="1:16" ht="19.5" thickBot="1" x14ac:dyDescent="0.35">
      <c r="A31" s="35">
        <v>1000048</v>
      </c>
      <c r="B31" s="12" t="s">
        <v>45</v>
      </c>
      <c r="C31" s="41"/>
      <c r="D31" s="48"/>
      <c r="F31" s="28">
        <v>3</v>
      </c>
      <c r="G31" s="28"/>
      <c r="H31" s="28"/>
      <c r="I31" s="28"/>
      <c r="J31" s="28"/>
      <c r="K31" s="28"/>
      <c r="L31" s="28"/>
      <c r="M31" s="28"/>
      <c r="N31" s="28"/>
      <c r="O31" s="28"/>
      <c r="P31" s="397">
        <f t="shared" si="0"/>
        <v>3</v>
      </c>
    </row>
    <row r="32" spans="1:16" ht="19.5" thickBot="1" x14ac:dyDescent="0.35">
      <c r="A32" s="35">
        <v>1000076</v>
      </c>
      <c r="B32" s="12" t="s">
        <v>46</v>
      </c>
      <c r="C32" s="41"/>
      <c r="D32" s="4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93">
        <f t="shared" si="0"/>
        <v>0</v>
      </c>
    </row>
    <row r="33" spans="1:16" ht="19.5" thickBot="1" x14ac:dyDescent="0.35">
      <c r="A33" s="35">
        <v>10000102</v>
      </c>
      <c r="B33" s="12" t="s">
        <v>2</v>
      </c>
      <c r="C33" s="41"/>
      <c r="D33" s="4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93">
        <f t="shared" si="0"/>
        <v>0</v>
      </c>
    </row>
    <row r="34" spans="1:16" s="15" customFormat="1" ht="15.95" customHeight="1" thickBot="1" x14ac:dyDescent="0.35">
      <c r="A34" s="35">
        <v>10000015</v>
      </c>
      <c r="B34" s="12" t="s">
        <v>1</v>
      </c>
      <c r="C34" s="41"/>
      <c r="D34" s="48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93">
        <f t="shared" si="0"/>
        <v>0</v>
      </c>
    </row>
    <row r="35" spans="1:16" ht="19.5" thickBot="1" x14ac:dyDescent="0.35">
      <c r="A35" s="35">
        <v>1000142</v>
      </c>
      <c r="B35" s="12" t="s">
        <v>54</v>
      </c>
      <c r="C35" s="41"/>
      <c r="D35" s="4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93">
        <f t="shared" si="0"/>
        <v>0</v>
      </c>
    </row>
    <row r="36" spans="1:16" ht="19.5" thickBot="1" x14ac:dyDescent="0.35">
      <c r="A36" s="35">
        <v>1000084</v>
      </c>
      <c r="B36" s="12" t="s">
        <v>38</v>
      </c>
      <c r="C36" s="41"/>
      <c r="D36" s="48"/>
      <c r="F36" s="28">
        <v>4</v>
      </c>
      <c r="G36" s="28"/>
      <c r="H36" s="28"/>
      <c r="I36" s="28"/>
      <c r="J36" s="28">
        <v>4</v>
      </c>
      <c r="K36" s="28"/>
      <c r="L36" s="28"/>
      <c r="M36" s="28"/>
      <c r="N36" s="28"/>
      <c r="O36" s="28"/>
      <c r="P36" s="397">
        <f t="shared" si="0"/>
        <v>8</v>
      </c>
    </row>
    <row r="37" spans="1:16" ht="19.5" thickBot="1" x14ac:dyDescent="0.35">
      <c r="A37" s="35">
        <v>1000147</v>
      </c>
      <c r="B37" s="12" t="s">
        <v>52</v>
      </c>
      <c r="C37" s="41"/>
      <c r="D37" s="4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93">
        <f t="shared" si="0"/>
        <v>0</v>
      </c>
    </row>
    <row r="38" spans="1:16" ht="19.5" thickBot="1" x14ac:dyDescent="0.35">
      <c r="A38" s="35">
        <v>1000034</v>
      </c>
      <c r="B38" s="12" t="s">
        <v>28</v>
      </c>
      <c r="C38" s="41"/>
      <c r="D38" s="4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93">
        <f t="shared" si="0"/>
        <v>0</v>
      </c>
    </row>
    <row r="39" spans="1:16" ht="19.5" thickBot="1" x14ac:dyDescent="0.35">
      <c r="A39" s="35">
        <v>1000082</v>
      </c>
      <c r="B39" s="12" t="s">
        <v>224</v>
      </c>
      <c r="C39" s="41"/>
      <c r="D39" s="4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93">
        <f t="shared" si="0"/>
        <v>0</v>
      </c>
    </row>
    <row r="40" spans="1:16" ht="19.5" thickBot="1" x14ac:dyDescent="0.35">
      <c r="A40" s="35">
        <v>1000472</v>
      </c>
      <c r="B40" s="12" t="s">
        <v>222</v>
      </c>
      <c r="C40" s="41"/>
      <c r="D40" s="4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93">
        <f t="shared" si="0"/>
        <v>0</v>
      </c>
    </row>
    <row r="41" spans="1:16" ht="19.5" thickBot="1" x14ac:dyDescent="0.35">
      <c r="A41" s="35">
        <v>1000010</v>
      </c>
      <c r="B41" s="12" t="s">
        <v>17</v>
      </c>
      <c r="C41" s="41"/>
      <c r="D41" s="4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93">
        <f t="shared" si="0"/>
        <v>0</v>
      </c>
    </row>
    <row r="42" spans="1:16" ht="19.5" thickBot="1" x14ac:dyDescent="0.35">
      <c r="A42" s="35">
        <v>1000075</v>
      </c>
      <c r="B42" s="12" t="s">
        <v>47</v>
      </c>
      <c r="C42" s="41"/>
      <c r="D42" s="48"/>
      <c r="F42" s="28"/>
      <c r="G42" s="28"/>
      <c r="H42" s="28"/>
      <c r="I42" s="28"/>
      <c r="J42" s="28">
        <v>1</v>
      </c>
      <c r="K42" s="28"/>
      <c r="L42" s="28"/>
      <c r="M42" s="28"/>
      <c r="N42" s="28"/>
      <c r="O42" s="28"/>
      <c r="P42" s="397">
        <f t="shared" si="0"/>
        <v>1</v>
      </c>
    </row>
    <row r="43" spans="1:16" ht="19.5" thickBot="1" x14ac:dyDescent="0.35">
      <c r="A43" s="35">
        <v>1000036</v>
      </c>
      <c r="B43" s="12" t="s">
        <v>75</v>
      </c>
      <c r="C43" s="41"/>
      <c r="D43" s="4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93">
        <f t="shared" si="0"/>
        <v>0</v>
      </c>
    </row>
    <row r="44" spans="1:16" ht="19.5" thickBot="1" x14ac:dyDescent="0.35">
      <c r="A44" s="35">
        <v>1000440</v>
      </c>
      <c r="B44" s="12" t="s">
        <v>199</v>
      </c>
      <c r="C44" s="41"/>
      <c r="D44" s="4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93">
        <f t="shared" si="0"/>
        <v>0</v>
      </c>
    </row>
    <row r="45" spans="1:16" ht="19.5" thickBot="1" x14ac:dyDescent="0.35">
      <c r="A45" s="35">
        <v>1000383</v>
      </c>
      <c r="B45" s="12" t="s">
        <v>234</v>
      </c>
      <c r="C45" s="41"/>
      <c r="D45" s="4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93">
        <f t="shared" si="0"/>
        <v>0</v>
      </c>
    </row>
    <row r="46" spans="1:16" ht="19.5" thickBot="1" x14ac:dyDescent="0.35">
      <c r="A46" s="35">
        <v>1000486</v>
      </c>
      <c r="B46" s="12" t="s">
        <v>263</v>
      </c>
      <c r="C46" s="41"/>
      <c r="D46" s="4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93">
        <f t="shared" si="0"/>
        <v>0</v>
      </c>
    </row>
    <row r="47" spans="1:16" ht="19.5" thickBot="1" x14ac:dyDescent="0.35">
      <c r="A47" s="35">
        <v>1000062</v>
      </c>
      <c r="B47" s="12" t="s">
        <v>66</v>
      </c>
      <c r="C47" s="41"/>
      <c r="D47" s="4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93">
        <f t="shared" si="0"/>
        <v>0</v>
      </c>
    </row>
    <row r="48" spans="1:16" ht="19.5" thickBot="1" x14ac:dyDescent="0.35">
      <c r="A48" s="35">
        <v>1000107</v>
      </c>
      <c r="B48" s="12" t="s">
        <v>60</v>
      </c>
      <c r="C48" s="41"/>
      <c r="D48" s="4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93">
        <f t="shared" si="0"/>
        <v>0</v>
      </c>
    </row>
    <row r="49" spans="1:16" ht="19.5" thickBot="1" x14ac:dyDescent="0.35">
      <c r="A49" s="35">
        <v>1000436</v>
      </c>
      <c r="B49" s="12" t="s">
        <v>276</v>
      </c>
      <c r="C49" s="41"/>
      <c r="D49" s="4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93">
        <f t="shared" si="0"/>
        <v>0</v>
      </c>
    </row>
    <row r="50" spans="1:16" ht="19.5" thickBot="1" x14ac:dyDescent="0.35">
      <c r="A50" s="35">
        <v>1000550</v>
      </c>
      <c r="B50" s="12" t="s">
        <v>277</v>
      </c>
      <c r="C50" s="41"/>
      <c r="D50" s="48"/>
      <c r="F50" s="28">
        <v>24</v>
      </c>
      <c r="G50" s="28"/>
      <c r="H50" s="28"/>
      <c r="I50" s="28"/>
      <c r="J50" s="28">
        <v>16</v>
      </c>
      <c r="K50" s="28"/>
      <c r="L50" s="28"/>
      <c r="M50" s="28"/>
      <c r="N50" s="28"/>
      <c r="O50" s="28"/>
      <c r="P50" s="397">
        <f t="shared" si="0"/>
        <v>40</v>
      </c>
    </row>
    <row r="51" spans="1:16" ht="19.5" thickBot="1" x14ac:dyDescent="0.35">
      <c r="A51" s="35">
        <v>1000551</v>
      </c>
      <c r="B51" s="12" t="s">
        <v>278</v>
      </c>
      <c r="C51" s="41"/>
      <c r="D51" s="4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93">
        <f t="shared" si="0"/>
        <v>0</v>
      </c>
    </row>
    <row r="52" spans="1:16" ht="19.5" thickBot="1" x14ac:dyDescent="0.35">
      <c r="A52" s="35">
        <v>1000552</v>
      </c>
      <c r="B52" s="12" t="s">
        <v>279</v>
      </c>
      <c r="C52" s="41"/>
      <c r="D52" s="4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93">
        <f t="shared" si="0"/>
        <v>0</v>
      </c>
    </row>
    <row r="53" spans="1:16" ht="19.5" thickBot="1" x14ac:dyDescent="0.35">
      <c r="A53" s="243">
        <v>1000080</v>
      </c>
      <c r="B53" s="251" t="s">
        <v>275</v>
      </c>
      <c r="C53" s="215"/>
      <c r="D53" s="48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93">
        <f t="shared" si="0"/>
        <v>0</v>
      </c>
    </row>
    <row r="54" spans="1:16" ht="18" customHeight="1" thickBot="1" x14ac:dyDescent="0.35">
      <c r="A54" s="35">
        <v>1000092</v>
      </c>
      <c r="B54" s="12" t="s">
        <v>51</v>
      </c>
      <c r="C54" s="398"/>
      <c r="D54" s="48"/>
      <c r="E54" s="399"/>
      <c r="F54" s="28"/>
      <c r="G54" s="28"/>
      <c r="H54" s="28"/>
      <c r="I54" s="28"/>
      <c r="J54" s="28">
        <v>2</v>
      </c>
      <c r="K54" s="28"/>
      <c r="L54" s="28"/>
      <c r="M54" s="28"/>
      <c r="N54" s="28"/>
      <c r="O54" s="28"/>
      <c r="P54" s="397">
        <f t="shared" si="0"/>
        <v>2</v>
      </c>
    </row>
    <row r="55" spans="1:16" ht="19.5" thickBot="1" x14ac:dyDescent="0.35">
      <c r="A55" s="411"/>
      <c r="B55" s="524" t="s">
        <v>492</v>
      </c>
      <c r="D55" s="48"/>
      <c r="F55" s="28"/>
      <c r="G55" s="28"/>
      <c r="H55" s="28"/>
      <c r="I55" s="28"/>
      <c r="J55" s="28">
        <v>1</v>
      </c>
      <c r="K55" s="28"/>
      <c r="L55" s="28"/>
      <c r="M55" s="28"/>
      <c r="N55" s="28"/>
      <c r="O55" s="28"/>
      <c r="P55" s="397">
        <f t="shared" si="0"/>
        <v>1</v>
      </c>
    </row>
    <row r="56" spans="1:16" ht="19.5" thickBot="1" x14ac:dyDescent="0.35">
      <c r="A56" s="35">
        <v>1000214</v>
      </c>
      <c r="B56" s="12" t="s">
        <v>49</v>
      </c>
      <c r="D56" s="48"/>
      <c r="F56" s="28"/>
      <c r="G56" s="28"/>
      <c r="H56" s="28"/>
      <c r="I56" s="28"/>
      <c r="J56" s="28">
        <v>2</v>
      </c>
      <c r="K56" s="28"/>
      <c r="L56" s="28"/>
      <c r="M56" s="28"/>
      <c r="N56" s="28"/>
      <c r="O56" s="28"/>
      <c r="P56" s="397">
        <f t="shared" si="0"/>
        <v>2</v>
      </c>
    </row>
    <row r="57" spans="1:16" ht="19.5" thickBot="1" x14ac:dyDescent="0.35">
      <c r="A57" s="81"/>
      <c r="B57" s="12" t="s">
        <v>493</v>
      </c>
      <c r="D57" s="48"/>
      <c r="F57" s="28"/>
      <c r="G57" s="28"/>
      <c r="H57" s="28"/>
      <c r="I57" s="28"/>
      <c r="J57" s="28">
        <v>2</v>
      </c>
      <c r="K57" s="28"/>
      <c r="L57" s="28"/>
      <c r="M57" s="28"/>
      <c r="N57" s="28"/>
      <c r="O57" s="28"/>
      <c r="P57" s="397">
        <f t="shared" si="0"/>
        <v>2</v>
      </c>
    </row>
    <row r="58" spans="1:16" ht="18.75" x14ac:dyDescent="0.3">
      <c r="A58" s="35">
        <v>1000032</v>
      </c>
      <c r="B58" s="12" t="s">
        <v>26</v>
      </c>
      <c r="D58" s="4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93">
        <f t="shared" si="0"/>
        <v>0</v>
      </c>
    </row>
  </sheetData>
  <mergeCells count="4">
    <mergeCell ref="A1:B2"/>
    <mergeCell ref="F1:J2"/>
    <mergeCell ref="L1:L2"/>
    <mergeCell ref="M1:M2"/>
  </mergeCells>
  <pageMargins left="0.7" right="0.7" top="0.75" bottom="0.75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ED53-0404-4AC0-9194-B372D961D7EB}">
  <sheetPr>
    <tabColor rgb="FFFF0000"/>
    <pageSetUpPr fitToPage="1"/>
  </sheetPr>
  <dimension ref="A1:Q48"/>
  <sheetViews>
    <sheetView zoomScale="70" zoomScaleNormal="70" workbookViewId="0">
      <selection activeCell="R19" sqref="R19"/>
    </sheetView>
  </sheetViews>
  <sheetFormatPr baseColWidth="10" defaultColWidth="10.875" defaultRowHeight="15" x14ac:dyDescent="0.25"/>
  <cols>
    <col min="1" max="1" width="12.375" style="188" customWidth="1"/>
    <col min="2" max="2" width="29.125" style="188" customWidth="1"/>
    <col min="3" max="3" width="2.375" style="188" customWidth="1"/>
    <col min="4" max="4" width="8.25" style="188" customWidth="1"/>
    <col min="5" max="5" width="4.125" style="188" customWidth="1"/>
    <col min="6" max="6" width="8.375" style="188" customWidth="1"/>
    <col min="7" max="7" width="6.75" style="188" customWidth="1"/>
    <col min="8" max="8" width="7.25" style="188" customWidth="1"/>
    <col min="9" max="9" width="8.125" style="188" customWidth="1"/>
    <col min="10" max="10" width="7.875" style="188" customWidth="1"/>
    <col min="11" max="11" width="7" style="188" customWidth="1"/>
    <col min="12" max="12" width="7.875" style="188" customWidth="1"/>
    <col min="13" max="13" width="6.625" style="188" customWidth="1"/>
    <col min="14" max="14" width="7.125" style="188" customWidth="1"/>
    <col min="15" max="15" width="6.625" style="188" customWidth="1"/>
    <col min="16" max="16" width="9.375" style="188" customWidth="1"/>
    <col min="17" max="17" width="10.875" style="188"/>
    <col min="18" max="18" width="14.125" style="188" customWidth="1"/>
    <col min="19" max="16384" width="10.875" style="188"/>
  </cols>
  <sheetData>
    <row r="1" spans="1:16" ht="15" customHeight="1" x14ac:dyDescent="0.45">
      <c r="A1" s="686" t="s">
        <v>251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27" customHeight="1" thickBot="1" x14ac:dyDescent="0.5">
      <c r="A2" s="688"/>
      <c r="B2" s="689"/>
      <c r="C2" s="18"/>
      <c r="D2" s="401" t="s">
        <v>309</v>
      </c>
      <c r="F2" s="754"/>
      <c r="G2" s="755"/>
      <c r="H2" s="755"/>
      <c r="I2" s="755"/>
      <c r="J2" s="756"/>
      <c r="K2" s="2"/>
      <c r="L2"/>
      <c r="M2"/>
    </row>
    <row r="3" spans="1:16" s="3" customFormat="1" ht="28.5" customHeight="1" thickBot="1" x14ac:dyDescent="0.3">
      <c r="A3" s="400" t="s">
        <v>314</v>
      </c>
      <c r="B3" s="5"/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188"/>
      <c r="F4" s="19" t="s">
        <v>315</v>
      </c>
      <c r="G4" s="20" t="s">
        <v>316</v>
      </c>
      <c r="H4" s="19" t="s">
        <v>317</v>
      </c>
      <c r="I4" s="20" t="s">
        <v>316</v>
      </c>
      <c r="J4" s="19" t="s">
        <v>318</v>
      </c>
      <c r="K4" s="20" t="s">
        <v>316</v>
      </c>
      <c r="L4" s="19" t="s">
        <v>319</v>
      </c>
      <c r="M4" s="20" t="s">
        <v>316</v>
      </c>
      <c r="N4" s="19" t="s">
        <v>320</v>
      </c>
      <c r="O4" s="20" t="s">
        <v>316</v>
      </c>
      <c r="P4" s="21" t="s">
        <v>98</v>
      </c>
    </row>
    <row r="5" spans="1:16" ht="19.5" thickBot="1" x14ac:dyDescent="0.35">
      <c r="A5" s="406">
        <v>10211</v>
      </c>
      <c r="B5" s="105" t="s">
        <v>3</v>
      </c>
      <c r="C5" s="58"/>
      <c r="D5" s="402">
        <v>25</v>
      </c>
      <c r="E5" s="394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3">
        <f t="shared" ref="P5:P47" si="0">SUM(F5:O5)</f>
        <v>0</v>
      </c>
    </row>
    <row r="6" spans="1:16" ht="19.5" thickBot="1" x14ac:dyDescent="0.35">
      <c r="A6" s="171">
        <v>1000006</v>
      </c>
      <c r="B6" s="106" t="s">
        <v>4</v>
      </c>
      <c r="C6" s="58"/>
      <c r="D6" s="403">
        <v>140</v>
      </c>
      <c r="E6" s="394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3">
        <f t="shared" si="0"/>
        <v>0</v>
      </c>
    </row>
    <row r="7" spans="1:16" ht="19.5" thickBot="1" x14ac:dyDescent="0.35">
      <c r="A7" s="171">
        <v>1000007</v>
      </c>
      <c r="B7" s="106" t="s">
        <v>5</v>
      </c>
      <c r="C7" s="58"/>
      <c r="D7" s="403">
        <v>140</v>
      </c>
      <c r="E7" s="394"/>
      <c r="F7" s="392"/>
      <c r="G7" s="392"/>
      <c r="H7" s="392"/>
      <c r="I7" s="392"/>
      <c r="J7" s="392"/>
      <c r="K7" s="392"/>
      <c r="L7" s="392"/>
      <c r="M7" s="392"/>
      <c r="N7" s="392">
        <v>50</v>
      </c>
      <c r="O7" s="392"/>
      <c r="P7" s="397">
        <f t="shared" si="0"/>
        <v>50</v>
      </c>
    </row>
    <row r="8" spans="1:16" ht="19.5" thickBot="1" x14ac:dyDescent="0.35">
      <c r="A8" s="171">
        <v>1000008</v>
      </c>
      <c r="B8" s="106" t="s">
        <v>7</v>
      </c>
      <c r="C8" s="58"/>
      <c r="D8" s="403">
        <v>10</v>
      </c>
      <c r="E8" s="394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3">
        <f t="shared" si="0"/>
        <v>0</v>
      </c>
    </row>
    <row r="9" spans="1:16" ht="19.5" thickBot="1" x14ac:dyDescent="0.35">
      <c r="A9" s="171">
        <v>1000001</v>
      </c>
      <c r="B9" s="106" t="s">
        <v>8</v>
      </c>
      <c r="C9" s="58"/>
      <c r="D9" s="403">
        <v>5</v>
      </c>
      <c r="E9" s="394"/>
      <c r="F9" s="392"/>
      <c r="G9" s="392"/>
      <c r="H9" s="392"/>
      <c r="I9" s="392"/>
      <c r="J9" s="392"/>
      <c r="K9" s="392"/>
      <c r="L9" s="392"/>
      <c r="M9" s="392"/>
      <c r="N9" s="392">
        <v>1</v>
      </c>
      <c r="O9" s="392"/>
      <c r="P9" s="397">
        <f t="shared" si="0"/>
        <v>1</v>
      </c>
    </row>
    <row r="10" spans="1:16" ht="19.5" thickBot="1" x14ac:dyDescent="0.35">
      <c r="A10" s="171">
        <v>1000004</v>
      </c>
      <c r="B10" s="106" t="s">
        <v>10</v>
      </c>
      <c r="C10" s="58"/>
      <c r="D10" s="403">
        <v>2</v>
      </c>
      <c r="E10" s="394"/>
      <c r="F10" s="392"/>
      <c r="G10" s="392"/>
      <c r="H10" s="392"/>
      <c r="I10" s="392"/>
      <c r="J10" s="392"/>
      <c r="K10" s="392"/>
      <c r="L10" s="392"/>
      <c r="M10" s="392"/>
      <c r="N10" s="392">
        <v>1</v>
      </c>
      <c r="O10" s="392"/>
      <c r="P10" s="397">
        <f t="shared" si="0"/>
        <v>1</v>
      </c>
    </row>
    <row r="11" spans="1:16" ht="19.5" thickBot="1" x14ac:dyDescent="0.35">
      <c r="A11" s="171">
        <v>1000067</v>
      </c>
      <c r="B11" s="106" t="s">
        <v>11</v>
      </c>
      <c r="C11" s="58"/>
      <c r="D11" s="403">
        <v>0</v>
      </c>
      <c r="E11" s="394"/>
      <c r="F11" s="392"/>
      <c r="G11" s="392"/>
      <c r="H11" s="392"/>
      <c r="I11" s="392"/>
      <c r="J11" s="392"/>
      <c r="K11" s="392"/>
      <c r="L11" s="392"/>
      <c r="M11" s="392"/>
      <c r="N11" s="392"/>
      <c r="O11" s="392"/>
      <c r="P11" s="393">
        <f t="shared" si="0"/>
        <v>0</v>
      </c>
    </row>
    <row r="12" spans="1:16" ht="19.5" thickBot="1" x14ac:dyDescent="0.35">
      <c r="A12" s="171">
        <v>1000054</v>
      </c>
      <c r="B12" s="106" t="s">
        <v>12</v>
      </c>
      <c r="C12" s="58"/>
      <c r="D12" s="403">
        <v>20</v>
      </c>
      <c r="E12" s="394"/>
      <c r="F12" s="392"/>
      <c r="G12" s="392"/>
      <c r="H12" s="392"/>
      <c r="I12" s="392"/>
      <c r="J12" s="392"/>
      <c r="K12" s="392"/>
      <c r="L12" s="392"/>
      <c r="M12" s="392"/>
      <c r="N12" s="392">
        <v>5</v>
      </c>
      <c r="O12" s="392"/>
      <c r="P12" s="397">
        <f t="shared" si="0"/>
        <v>5</v>
      </c>
    </row>
    <row r="13" spans="1:16" ht="19.5" thickBot="1" x14ac:dyDescent="0.35">
      <c r="A13" s="171">
        <v>1000070</v>
      </c>
      <c r="B13" s="106" t="s">
        <v>13</v>
      </c>
      <c r="C13" s="58"/>
      <c r="D13" s="403">
        <v>0</v>
      </c>
      <c r="E13" s="394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3">
        <f t="shared" si="0"/>
        <v>0</v>
      </c>
    </row>
    <row r="14" spans="1:16" ht="19.5" thickBot="1" x14ac:dyDescent="0.35">
      <c r="A14" s="171">
        <v>1000017</v>
      </c>
      <c r="B14" s="106" t="s">
        <v>14</v>
      </c>
      <c r="C14" s="58"/>
      <c r="D14" s="403">
        <v>30</v>
      </c>
      <c r="E14" s="394"/>
      <c r="F14" s="392"/>
      <c r="G14" s="392"/>
      <c r="H14" s="392"/>
      <c r="I14" s="392"/>
      <c r="J14" s="392"/>
      <c r="K14" s="392"/>
      <c r="L14" s="392"/>
      <c r="M14" s="392"/>
      <c r="N14" s="392">
        <v>5</v>
      </c>
      <c r="O14" s="392"/>
      <c r="P14" s="397">
        <f>SUM(F14:O14)</f>
        <v>5</v>
      </c>
    </row>
    <row r="15" spans="1:16" ht="19.5" thickBot="1" x14ac:dyDescent="0.35">
      <c r="A15" s="171">
        <v>1000016</v>
      </c>
      <c r="B15" s="107" t="s">
        <v>15</v>
      </c>
      <c r="C15" s="58"/>
      <c r="D15" s="403">
        <v>1</v>
      </c>
      <c r="E15" s="394"/>
      <c r="F15" s="392"/>
      <c r="G15" s="392"/>
      <c r="H15" s="392"/>
      <c r="I15" s="392"/>
      <c r="J15" s="392"/>
      <c r="K15" s="392"/>
      <c r="L15" s="392"/>
      <c r="M15" s="392"/>
      <c r="N15" s="392">
        <v>5</v>
      </c>
      <c r="O15" s="392"/>
      <c r="P15" s="397">
        <f>SUM(F15:O15)</f>
        <v>5</v>
      </c>
    </row>
    <row r="16" spans="1:16" ht="19.5" thickBot="1" x14ac:dyDescent="0.35">
      <c r="A16" s="407">
        <v>1000009</v>
      </c>
      <c r="B16" s="408" t="s">
        <v>19</v>
      </c>
      <c r="C16" s="58"/>
      <c r="D16" s="403">
        <v>1</v>
      </c>
      <c r="E16" s="394"/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3">
        <f t="shared" si="0"/>
        <v>0</v>
      </c>
    </row>
    <row r="17" spans="1:16" ht="19.5" thickBot="1" x14ac:dyDescent="0.35">
      <c r="A17" s="171">
        <v>1000049</v>
      </c>
      <c r="B17" s="108" t="s">
        <v>21</v>
      </c>
      <c r="C17" s="58"/>
      <c r="D17" s="403">
        <v>1</v>
      </c>
      <c r="E17" s="394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3">
        <f t="shared" si="0"/>
        <v>0</v>
      </c>
    </row>
    <row r="18" spans="1:16" ht="19.5" thickBot="1" x14ac:dyDescent="0.35">
      <c r="A18" s="171">
        <v>1000050</v>
      </c>
      <c r="B18" s="106" t="s">
        <v>22</v>
      </c>
      <c r="C18" s="58"/>
      <c r="D18" s="403">
        <v>1</v>
      </c>
      <c r="E18" s="394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3">
        <f t="shared" si="0"/>
        <v>0</v>
      </c>
    </row>
    <row r="19" spans="1:16" ht="19.5" thickBot="1" x14ac:dyDescent="0.35">
      <c r="A19" s="171">
        <v>1000101</v>
      </c>
      <c r="B19" s="106" t="s">
        <v>35</v>
      </c>
      <c r="C19" s="58"/>
      <c r="D19" s="403">
        <v>0</v>
      </c>
      <c r="E19" s="394"/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3">
        <f t="shared" si="0"/>
        <v>0</v>
      </c>
    </row>
    <row r="20" spans="1:16" ht="19.5" thickBot="1" x14ac:dyDescent="0.35">
      <c r="A20" s="171">
        <v>1000146</v>
      </c>
      <c r="B20" s="106" t="s">
        <v>39</v>
      </c>
      <c r="C20" s="58"/>
      <c r="D20" s="403">
        <v>5</v>
      </c>
      <c r="E20" s="394"/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3">
        <f t="shared" si="0"/>
        <v>0</v>
      </c>
    </row>
    <row r="21" spans="1:16" ht="19.5" thickBot="1" x14ac:dyDescent="0.35">
      <c r="A21" s="409">
        <v>10248</v>
      </c>
      <c r="B21" s="410" t="s">
        <v>183</v>
      </c>
      <c r="C21" s="58"/>
      <c r="D21" s="403">
        <v>0</v>
      </c>
      <c r="E21" s="394"/>
      <c r="F21" s="392"/>
      <c r="G21" s="392"/>
      <c r="H21" s="392"/>
      <c r="I21" s="392"/>
      <c r="J21" s="392"/>
      <c r="K21" s="392"/>
      <c r="L21" s="392"/>
      <c r="M21" s="392"/>
      <c r="N21" s="392"/>
      <c r="O21" s="392"/>
      <c r="P21" s="393">
        <f t="shared" si="0"/>
        <v>0</v>
      </c>
    </row>
    <row r="22" spans="1:16" ht="19.5" thickBot="1" x14ac:dyDescent="0.35">
      <c r="A22" s="411">
        <v>1000052</v>
      </c>
      <c r="B22" s="108" t="s">
        <v>41</v>
      </c>
      <c r="C22" s="58"/>
      <c r="D22" s="403">
        <v>2</v>
      </c>
      <c r="E22" s="394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3">
        <f t="shared" si="0"/>
        <v>0</v>
      </c>
    </row>
    <row r="23" spans="1:16" ht="19.5" thickBot="1" x14ac:dyDescent="0.35">
      <c r="A23" s="171">
        <v>1000089</v>
      </c>
      <c r="B23" s="106" t="s">
        <v>42</v>
      </c>
      <c r="C23" s="58"/>
      <c r="D23" s="403">
        <v>2</v>
      </c>
      <c r="E23" s="394"/>
      <c r="F23" s="392"/>
      <c r="G23" s="392"/>
      <c r="H23" s="392"/>
      <c r="I23" s="392"/>
      <c r="J23" s="392"/>
      <c r="K23" s="392"/>
      <c r="L23" s="392"/>
      <c r="M23" s="392"/>
      <c r="N23" s="392"/>
      <c r="O23" s="392"/>
      <c r="P23" s="393">
        <f t="shared" si="0"/>
        <v>0</v>
      </c>
    </row>
    <row r="24" spans="1:16" ht="19.5" thickBot="1" x14ac:dyDescent="0.35">
      <c r="A24" s="171">
        <v>1000051</v>
      </c>
      <c r="B24" s="106" t="s">
        <v>43</v>
      </c>
      <c r="C24" s="58"/>
      <c r="D24" s="403">
        <v>1</v>
      </c>
      <c r="E24" s="394"/>
      <c r="F24" s="392"/>
      <c r="G24" s="392"/>
      <c r="H24" s="392"/>
      <c r="I24" s="392"/>
      <c r="J24" s="392"/>
      <c r="K24" s="392"/>
      <c r="L24" s="392"/>
      <c r="M24" s="392"/>
      <c r="N24" s="392"/>
      <c r="O24" s="392"/>
      <c r="P24" s="393">
        <f t="shared" si="0"/>
        <v>0</v>
      </c>
    </row>
    <row r="25" spans="1:16" ht="19.5" thickBot="1" x14ac:dyDescent="0.35">
      <c r="A25" s="171">
        <v>1000048</v>
      </c>
      <c r="B25" s="106" t="s">
        <v>45</v>
      </c>
      <c r="C25" s="58"/>
      <c r="D25" s="403">
        <v>0</v>
      </c>
      <c r="E25" s="394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3">
        <f t="shared" si="0"/>
        <v>0</v>
      </c>
    </row>
    <row r="26" spans="1:16" ht="19.5" thickBot="1" x14ac:dyDescent="0.35">
      <c r="A26" s="171">
        <v>1000075</v>
      </c>
      <c r="B26" s="106" t="s">
        <v>47</v>
      </c>
      <c r="C26" s="58"/>
      <c r="D26" s="403">
        <v>0</v>
      </c>
      <c r="E26" s="394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3">
        <f t="shared" si="0"/>
        <v>0</v>
      </c>
    </row>
    <row r="27" spans="1:16" ht="19.5" thickBot="1" x14ac:dyDescent="0.35">
      <c r="A27" s="171">
        <v>1000154</v>
      </c>
      <c r="B27" s="106" t="s">
        <v>85</v>
      </c>
      <c r="C27" s="58"/>
      <c r="D27" s="403">
        <v>0</v>
      </c>
      <c r="E27" s="404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393">
        <f t="shared" si="0"/>
        <v>0</v>
      </c>
    </row>
    <row r="28" spans="1:16" ht="19.5" thickBot="1" x14ac:dyDescent="0.35">
      <c r="A28" s="411">
        <v>1000031</v>
      </c>
      <c r="B28" s="108" t="s">
        <v>25</v>
      </c>
      <c r="C28" s="58"/>
      <c r="D28" s="403">
        <v>2</v>
      </c>
      <c r="E28" s="394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3">
        <f t="shared" si="0"/>
        <v>0</v>
      </c>
    </row>
    <row r="29" spans="1:16" ht="19.5" thickBot="1" x14ac:dyDescent="0.35">
      <c r="A29" s="411">
        <v>1000011</v>
      </c>
      <c r="B29" s="108" t="s">
        <v>18</v>
      </c>
      <c r="C29" s="58"/>
      <c r="D29" s="403"/>
      <c r="E29" s="394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3">
        <f t="shared" si="0"/>
        <v>0</v>
      </c>
    </row>
    <row r="30" spans="1:16" ht="19.5" thickBot="1" x14ac:dyDescent="0.35">
      <c r="A30" s="411">
        <v>1000082</v>
      </c>
      <c r="B30" s="108" t="s">
        <v>37</v>
      </c>
      <c r="C30" s="58"/>
      <c r="D30" s="403"/>
      <c r="E30" s="394"/>
      <c r="F30" s="392"/>
      <c r="G30" s="392"/>
      <c r="H30" s="392"/>
      <c r="I30" s="392"/>
      <c r="J30" s="392"/>
      <c r="K30" s="392"/>
      <c r="L30" s="392"/>
      <c r="M30" s="392"/>
      <c r="N30" s="392">
        <v>32</v>
      </c>
      <c r="O30" s="392"/>
      <c r="P30" s="397">
        <f t="shared" si="0"/>
        <v>32</v>
      </c>
    </row>
    <row r="31" spans="1:16" s="15" customFormat="1" ht="15.95" customHeight="1" thickBot="1" x14ac:dyDescent="0.35">
      <c r="A31" s="411">
        <v>1000084</v>
      </c>
      <c r="B31" s="108" t="s">
        <v>38</v>
      </c>
      <c r="C31" s="58"/>
      <c r="D31" s="403"/>
      <c r="E31" s="394"/>
      <c r="F31" s="392"/>
      <c r="G31" s="392"/>
      <c r="H31" s="392"/>
      <c r="I31" s="392"/>
      <c r="J31" s="392"/>
      <c r="K31" s="392"/>
      <c r="L31" s="392"/>
      <c r="M31" s="392"/>
      <c r="N31" s="392">
        <v>8</v>
      </c>
      <c r="O31" s="392"/>
      <c r="P31" s="397">
        <f t="shared" si="0"/>
        <v>8</v>
      </c>
    </row>
    <row r="32" spans="1:16" ht="19.5" thickBot="1" x14ac:dyDescent="0.35">
      <c r="A32" s="411">
        <v>10000102</v>
      </c>
      <c r="B32" s="108" t="s">
        <v>2</v>
      </c>
      <c r="C32" s="58"/>
      <c r="D32" s="403"/>
      <c r="E32" s="394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3">
        <f t="shared" si="0"/>
        <v>0</v>
      </c>
    </row>
    <row r="33" spans="1:17" ht="19.5" thickBot="1" x14ac:dyDescent="0.35">
      <c r="A33" s="411">
        <v>1000033</v>
      </c>
      <c r="B33" s="108" t="s">
        <v>27</v>
      </c>
      <c r="C33" s="58"/>
      <c r="D33" s="403"/>
      <c r="E33" s="394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3">
        <f t="shared" si="0"/>
        <v>0</v>
      </c>
    </row>
    <row r="34" spans="1:17" ht="19.5" thickBot="1" x14ac:dyDescent="0.35">
      <c r="A34" s="411">
        <v>1000383</v>
      </c>
      <c r="B34" s="108" t="s">
        <v>264</v>
      </c>
      <c r="C34" s="58"/>
      <c r="D34" s="403"/>
      <c r="E34" s="394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3">
        <f t="shared" si="0"/>
        <v>0</v>
      </c>
    </row>
    <row r="35" spans="1:17" ht="19.5" thickBot="1" x14ac:dyDescent="0.35">
      <c r="A35" s="411">
        <v>1000090</v>
      </c>
      <c r="B35" s="108" t="s">
        <v>40</v>
      </c>
      <c r="C35" s="58"/>
      <c r="D35" s="403"/>
      <c r="E35" s="394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3">
        <f t="shared" si="0"/>
        <v>0</v>
      </c>
    </row>
    <row r="36" spans="1:17" ht="19.5" thickBot="1" x14ac:dyDescent="0.35">
      <c r="A36" s="411">
        <v>1000025</v>
      </c>
      <c r="B36" s="108" t="s">
        <v>32</v>
      </c>
      <c r="C36" s="58"/>
      <c r="D36" s="403"/>
      <c r="E36" s="394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3">
        <f t="shared" si="0"/>
        <v>0</v>
      </c>
    </row>
    <row r="37" spans="1:17" ht="19.5" thickBot="1" x14ac:dyDescent="0.35">
      <c r="A37" s="411">
        <v>1000214</v>
      </c>
      <c r="B37" s="108" t="s">
        <v>49</v>
      </c>
      <c r="C37" s="58"/>
      <c r="D37" s="403"/>
      <c r="E37" s="394"/>
      <c r="F37" s="392"/>
      <c r="G37" s="392"/>
      <c r="H37" s="392"/>
      <c r="I37" s="392"/>
      <c r="J37" s="392"/>
      <c r="K37" s="392"/>
      <c r="L37" s="392"/>
      <c r="M37" s="392"/>
      <c r="N37" s="392"/>
      <c r="O37" s="392"/>
      <c r="P37" s="393">
        <f t="shared" si="0"/>
        <v>0</v>
      </c>
    </row>
    <row r="38" spans="1:17" ht="19.5" thickBot="1" x14ac:dyDescent="0.35">
      <c r="A38" s="411">
        <v>1000045</v>
      </c>
      <c r="B38" s="108" t="s">
        <v>23</v>
      </c>
      <c r="C38" s="58"/>
      <c r="D38" s="403"/>
      <c r="E38" s="394"/>
      <c r="F38" s="392"/>
      <c r="G38" s="392"/>
      <c r="H38" s="392"/>
      <c r="I38" s="392"/>
      <c r="J38" s="392"/>
      <c r="K38" s="392"/>
      <c r="L38" s="392"/>
      <c r="M38" s="392"/>
      <c r="N38" s="392"/>
      <c r="O38" s="392"/>
      <c r="P38" s="393">
        <f t="shared" si="0"/>
        <v>0</v>
      </c>
    </row>
    <row r="39" spans="1:17" ht="19.5" thickBot="1" x14ac:dyDescent="0.35">
      <c r="A39" s="411">
        <v>1000154</v>
      </c>
      <c r="B39" s="108" t="s">
        <v>85</v>
      </c>
      <c r="C39" s="58"/>
      <c r="D39" s="403"/>
      <c r="E39" s="394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3">
        <f t="shared" si="0"/>
        <v>0</v>
      </c>
    </row>
    <row r="40" spans="1:17" ht="19.5" thickBot="1" x14ac:dyDescent="0.35">
      <c r="A40" s="411">
        <v>1000073</v>
      </c>
      <c r="B40" s="108" t="s">
        <v>36</v>
      </c>
      <c r="C40" s="58"/>
      <c r="D40" s="403"/>
      <c r="E40" s="394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3">
        <f t="shared" si="0"/>
        <v>0</v>
      </c>
    </row>
    <row r="41" spans="1:17" ht="19.5" thickBot="1" x14ac:dyDescent="0.35">
      <c r="A41" s="411">
        <v>1000011</v>
      </c>
      <c r="B41" s="108" t="s">
        <v>18</v>
      </c>
      <c r="C41" s="58"/>
      <c r="D41" s="403"/>
      <c r="E41" s="394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3">
        <f t="shared" si="0"/>
        <v>0</v>
      </c>
    </row>
    <row r="42" spans="1:17" ht="19.5" thickBot="1" x14ac:dyDescent="0.35">
      <c r="A42" s="411">
        <v>1000080</v>
      </c>
      <c r="B42" s="108" t="s">
        <v>275</v>
      </c>
      <c r="C42" s="58"/>
      <c r="D42" s="403"/>
      <c r="E42" s="394"/>
      <c r="F42" s="392"/>
      <c r="G42" s="392"/>
      <c r="H42" s="392"/>
      <c r="I42" s="392"/>
      <c r="J42" s="392"/>
      <c r="K42" s="392"/>
      <c r="L42" s="392"/>
      <c r="M42" s="392"/>
      <c r="N42" s="392"/>
      <c r="O42" s="392"/>
      <c r="P42" s="393">
        <f t="shared" si="0"/>
        <v>0</v>
      </c>
    </row>
    <row r="43" spans="1:17" ht="19.5" thickBot="1" x14ac:dyDescent="0.35">
      <c r="A43" s="411">
        <v>1000436</v>
      </c>
      <c r="B43" s="108" t="s">
        <v>276</v>
      </c>
      <c r="C43" s="58"/>
      <c r="D43" s="403"/>
      <c r="E43" s="394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3">
        <f t="shared" si="0"/>
        <v>0</v>
      </c>
    </row>
    <row r="44" spans="1:17" ht="19.5" thickBot="1" x14ac:dyDescent="0.35">
      <c r="A44" s="411">
        <v>1000550</v>
      </c>
      <c r="B44" s="108" t="s">
        <v>277</v>
      </c>
      <c r="C44" s="58"/>
      <c r="D44" s="403"/>
      <c r="E44" s="394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3">
        <f t="shared" si="0"/>
        <v>0</v>
      </c>
    </row>
    <row r="45" spans="1:17" ht="19.5" thickBot="1" x14ac:dyDescent="0.35">
      <c r="A45" s="412">
        <v>1000552</v>
      </c>
      <c r="B45" s="413" t="s">
        <v>279</v>
      </c>
      <c r="C45" s="331"/>
      <c r="D45" s="396"/>
      <c r="E45" s="405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3">
        <f t="shared" si="0"/>
        <v>0</v>
      </c>
    </row>
    <row r="46" spans="1:17" ht="19.5" thickBot="1" x14ac:dyDescent="0.35">
      <c r="A46" s="35">
        <v>1000002</v>
      </c>
      <c r="B46" s="12" t="s">
        <v>9</v>
      </c>
      <c r="D46" s="396"/>
      <c r="E46" s="394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3">
        <f t="shared" si="0"/>
        <v>0</v>
      </c>
      <c r="Q46" s="523" t="s">
        <v>336</v>
      </c>
    </row>
    <row r="47" spans="1:17" ht="19.5" thickBot="1" x14ac:dyDescent="0.35">
      <c r="A47" s="35">
        <v>10000015</v>
      </c>
      <c r="B47" s="12" t="s">
        <v>1</v>
      </c>
      <c r="D47" s="396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3">
        <f t="shared" si="0"/>
        <v>0</v>
      </c>
    </row>
    <row r="48" spans="1:17" ht="19.5" thickBot="1" x14ac:dyDescent="0.35">
      <c r="A48" s="35"/>
      <c r="B48" s="12" t="s">
        <v>453</v>
      </c>
      <c r="D48" s="396"/>
      <c r="F48" s="392"/>
      <c r="G48" s="392"/>
      <c r="H48" s="392"/>
      <c r="I48" s="392"/>
      <c r="J48" s="392"/>
      <c r="K48" s="392"/>
      <c r="L48" s="392"/>
      <c r="M48" s="392"/>
      <c r="N48" s="392">
        <v>2</v>
      </c>
      <c r="O48" s="392"/>
      <c r="P48" s="397">
        <f t="shared" ref="P48" si="1">SUM(F48:O48)</f>
        <v>2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AED3-3B43-4A48-AD82-87B9EFCF96B4}">
  <sheetPr>
    <tabColor rgb="FFFF0000"/>
    <pageSetUpPr fitToPage="1"/>
  </sheetPr>
  <dimension ref="A1:Q54"/>
  <sheetViews>
    <sheetView zoomScale="85" zoomScaleNormal="85" workbookViewId="0">
      <selection activeCell="S15" sqref="S15"/>
    </sheetView>
  </sheetViews>
  <sheetFormatPr baseColWidth="10" defaultColWidth="10.875" defaultRowHeight="15" x14ac:dyDescent="0.25"/>
  <cols>
    <col min="1" max="1" width="7.875" style="27" bestFit="1" customWidth="1"/>
    <col min="2" max="2" width="40.1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8.375" style="27" customWidth="1"/>
    <col min="7" max="7" width="5.875" style="27" customWidth="1"/>
    <col min="8" max="8" width="7.375" style="27" customWidth="1"/>
    <col min="9" max="9" width="6" style="27" customWidth="1"/>
    <col min="10" max="10" width="7.625" style="27" customWidth="1"/>
    <col min="11" max="11" width="6.375" style="27" customWidth="1"/>
    <col min="12" max="12" width="8" style="27" customWidth="1"/>
    <col min="13" max="13" width="6.875" style="27" customWidth="1"/>
    <col min="14" max="14" width="7.5" style="27" customWidth="1"/>
    <col min="15" max="15" width="6.75" style="27" customWidth="1"/>
    <col min="16" max="16" width="8.5" style="27" customWidth="1"/>
    <col min="17" max="16384" width="10.875" style="27"/>
  </cols>
  <sheetData>
    <row r="1" spans="1:16" ht="17.25" customHeight="1" x14ac:dyDescent="0.45">
      <c r="A1" s="686" t="s">
        <v>159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14" t="s">
        <v>305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323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288</v>
      </c>
      <c r="H4" s="19" t="s">
        <v>310</v>
      </c>
      <c r="I4" s="20" t="s">
        <v>288</v>
      </c>
      <c r="J4" s="19" t="s">
        <v>311</v>
      </c>
      <c r="K4" s="20" t="s">
        <v>288</v>
      </c>
      <c r="L4" s="19" t="s">
        <v>312</v>
      </c>
      <c r="M4" s="20" t="s">
        <v>288</v>
      </c>
      <c r="N4" s="19" t="s">
        <v>313</v>
      </c>
      <c r="O4" s="20" t="s">
        <v>288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>
        <v>5</v>
      </c>
      <c r="I5" s="28"/>
      <c r="J5" s="28">
        <v>5</v>
      </c>
      <c r="K5" s="28"/>
      <c r="L5" s="28"/>
      <c r="M5" s="28"/>
      <c r="N5" s="28"/>
      <c r="O5" s="28"/>
      <c r="P5" s="418">
        <f t="shared" ref="P5:P54" si="0">SUM(F5:O5)</f>
        <v>10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60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>
        <v>50</v>
      </c>
      <c r="O7" s="28"/>
      <c r="P7" s="418">
        <f t="shared" si="0"/>
        <v>250</v>
      </c>
    </row>
    <row r="8" spans="1:16" ht="15.75" thickBot="1" x14ac:dyDescent="0.3">
      <c r="A8" s="35">
        <v>1000007</v>
      </c>
      <c r="B8" s="12" t="s">
        <v>5</v>
      </c>
      <c r="C8" s="41"/>
      <c r="D8" s="47">
        <v>60</v>
      </c>
      <c r="F8" s="28">
        <v>50</v>
      </c>
      <c r="G8" s="28"/>
      <c r="H8" s="28">
        <v>50</v>
      </c>
      <c r="I8" s="28"/>
      <c r="J8" s="28">
        <v>50</v>
      </c>
      <c r="K8" s="28"/>
      <c r="L8" s="28">
        <v>50</v>
      </c>
      <c r="M8" s="28"/>
      <c r="N8" s="28">
        <v>50</v>
      </c>
      <c r="O8" s="28"/>
      <c r="P8" s="418">
        <f t="shared" si="0"/>
        <v>250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3</v>
      </c>
      <c r="F9" s="28">
        <v>1</v>
      </c>
      <c r="G9" s="28"/>
      <c r="H9" s="28"/>
      <c r="I9" s="28"/>
      <c r="J9" s="28">
        <v>2</v>
      </c>
      <c r="K9" s="28"/>
      <c r="L9" s="28">
        <v>2</v>
      </c>
      <c r="M9" s="28"/>
      <c r="N9" s="28">
        <v>2</v>
      </c>
      <c r="O9" s="28"/>
      <c r="P9" s="418">
        <f t="shared" si="0"/>
        <v>7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>
        <v>1</v>
      </c>
      <c r="O10" s="28"/>
      <c r="P10" s="418">
        <f t="shared" si="0"/>
        <v>1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2</v>
      </c>
      <c r="F11" s="28">
        <v>2</v>
      </c>
      <c r="G11" s="28"/>
      <c r="H11" s="28">
        <v>2</v>
      </c>
      <c r="I11" s="28"/>
      <c r="J11" s="28">
        <v>2</v>
      </c>
      <c r="K11" s="28"/>
      <c r="L11" s="28">
        <v>2</v>
      </c>
      <c r="M11" s="28"/>
      <c r="N11" s="28">
        <v>2</v>
      </c>
      <c r="O11" s="28"/>
      <c r="P11" s="418">
        <f t="shared" si="0"/>
        <v>10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15</v>
      </c>
      <c r="F13" s="28">
        <v>10</v>
      </c>
      <c r="G13" s="28"/>
      <c r="H13" s="28">
        <v>10</v>
      </c>
      <c r="I13" s="28"/>
      <c r="J13" s="28">
        <v>10</v>
      </c>
      <c r="K13" s="28"/>
      <c r="L13" s="28">
        <v>5</v>
      </c>
      <c r="M13" s="28"/>
      <c r="N13" s="28">
        <v>5</v>
      </c>
      <c r="O13" s="28"/>
      <c r="P13" s="418">
        <f t="shared" si="0"/>
        <v>40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15</v>
      </c>
      <c r="F14" s="28">
        <v>10</v>
      </c>
      <c r="G14" s="28"/>
      <c r="H14" s="28">
        <v>5</v>
      </c>
      <c r="I14" s="28"/>
      <c r="J14" s="28">
        <v>5</v>
      </c>
      <c r="K14" s="28"/>
      <c r="L14" s="28">
        <v>10</v>
      </c>
      <c r="M14" s="28"/>
      <c r="N14" s="28">
        <v>5</v>
      </c>
      <c r="O14" s="28"/>
      <c r="P14" s="418">
        <f t="shared" si="0"/>
        <v>35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10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2" t="s">
        <v>21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7" ht="15.75" thickBot="1" x14ac:dyDescent="0.3">
      <c r="A17" s="35">
        <v>1000050</v>
      </c>
      <c r="B17" s="12" t="s">
        <v>22</v>
      </c>
      <c r="C17" s="41"/>
      <c r="D17" s="47">
        <v>1</v>
      </c>
      <c r="F17" s="28"/>
      <c r="G17" s="28"/>
      <c r="H17" s="28">
        <v>2</v>
      </c>
      <c r="I17" s="28"/>
      <c r="J17" s="28">
        <v>2</v>
      </c>
      <c r="K17" s="28"/>
      <c r="L17" s="28">
        <v>2</v>
      </c>
      <c r="M17" s="28"/>
      <c r="N17" s="28"/>
      <c r="O17" s="28"/>
      <c r="P17" s="418">
        <f t="shared" si="0"/>
        <v>6</v>
      </c>
      <c r="Q17" s="523" t="s">
        <v>336</v>
      </c>
    </row>
    <row r="18" spans="1:17" ht="15.75" thickBot="1" x14ac:dyDescent="0.3">
      <c r="A18" s="35">
        <v>1000031</v>
      </c>
      <c r="B18" s="12" t="s">
        <v>25</v>
      </c>
      <c r="C18" s="41"/>
      <c r="D18" s="47">
        <v>2</v>
      </c>
      <c r="F18" s="28"/>
      <c r="G18" s="28"/>
      <c r="H18" s="28">
        <v>2</v>
      </c>
      <c r="I18" s="28"/>
      <c r="J18" s="28">
        <v>2</v>
      </c>
      <c r="K18" s="28"/>
      <c r="L18" s="28">
        <v>2</v>
      </c>
      <c r="M18" s="28"/>
      <c r="N18" s="28">
        <v>2</v>
      </c>
      <c r="O18" s="28"/>
      <c r="P18" s="418">
        <f t="shared" si="0"/>
        <v>8</v>
      </c>
    </row>
    <row r="19" spans="1:17" ht="15.75" thickBot="1" x14ac:dyDescent="0.3">
      <c r="A19" s="35">
        <v>1000026</v>
      </c>
      <c r="B19" s="12" t="s">
        <v>31</v>
      </c>
      <c r="C19" s="41"/>
      <c r="D19" s="47">
        <v>1</v>
      </c>
      <c r="F19" s="28"/>
      <c r="G19" s="28"/>
      <c r="H19" s="28">
        <v>1</v>
      </c>
      <c r="I19" s="28"/>
      <c r="J19" s="28">
        <v>1</v>
      </c>
      <c r="K19" s="28"/>
      <c r="L19" s="28"/>
      <c r="M19" s="28"/>
      <c r="N19" s="28"/>
      <c r="O19" s="28"/>
      <c r="P19" s="418">
        <f t="shared" si="0"/>
        <v>2</v>
      </c>
    </row>
    <row r="20" spans="1:17" ht="15.75" thickBot="1" x14ac:dyDescent="0.3">
      <c r="A20" s="35">
        <v>1000025</v>
      </c>
      <c r="B20" s="12" t="s">
        <v>32</v>
      </c>
      <c r="C20" s="41"/>
      <c r="D20" s="47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7" ht="15.75" thickBot="1" x14ac:dyDescent="0.3">
      <c r="A21" s="35">
        <v>1000027</v>
      </c>
      <c r="B21" s="12" t="s">
        <v>33</v>
      </c>
      <c r="C21" s="41"/>
      <c r="D21" s="47">
        <v>4</v>
      </c>
      <c r="F21" s="28"/>
      <c r="G21" s="28"/>
      <c r="H21" s="28"/>
      <c r="I21" s="28"/>
      <c r="J21" s="28">
        <v>3</v>
      </c>
      <c r="K21" s="28"/>
      <c r="L21" s="28">
        <v>3</v>
      </c>
      <c r="M21" s="28"/>
      <c r="N21" s="28"/>
      <c r="O21" s="28"/>
      <c r="P21" s="418">
        <f t="shared" si="0"/>
        <v>6</v>
      </c>
    </row>
    <row r="22" spans="1:17" ht="15.75" thickBot="1" x14ac:dyDescent="0.3">
      <c r="A22" s="35">
        <v>1000383</v>
      </c>
      <c r="B22" s="12" t="s">
        <v>264</v>
      </c>
      <c r="C22" s="41" t="s">
        <v>264</v>
      </c>
      <c r="D22" s="47">
        <v>50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7" ht="15.75" thickBot="1" x14ac:dyDescent="0.3">
      <c r="A23" s="35">
        <v>1000084</v>
      </c>
      <c r="B23" s="12" t="s">
        <v>38</v>
      </c>
      <c r="C23" s="41"/>
      <c r="D23" s="47">
        <v>6</v>
      </c>
      <c r="F23" s="28">
        <v>4</v>
      </c>
      <c r="G23" s="28"/>
      <c r="H23" s="28"/>
      <c r="I23" s="28"/>
      <c r="J23" s="28">
        <v>4</v>
      </c>
      <c r="K23" s="28"/>
      <c r="L23" s="28">
        <v>4</v>
      </c>
      <c r="M23" s="28"/>
      <c r="N23" s="28">
        <v>4</v>
      </c>
      <c r="O23" s="28"/>
      <c r="P23" s="418">
        <f t="shared" si="0"/>
        <v>16</v>
      </c>
    </row>
    <row r="24" spans="1:17" ht="15.75" thickBot="1" x14ac:dyDescent="0.3">
      <c r="A24" s="35">
        <v>1000146</v>
      </c>
      <c r="B24" s="12" t="s">
        <v>39</v>
      </c>
      <c r="C24" s="41"/>
      <c r="D24" s="47">
        <v>10</v>
      </c>
      <c r="F24" s="28">
        <v>10</v>
      </c>
      <c r="G24" s="28"/>
      <c r="H24" s="28">
        <v>10</v>
      </c>
      <c r="I24" s="28"/>
      <c r="J24" s="28">
        <v>10</v>
      </c>
      <c r="K24" s="28"/>
      <c r="L24" s="28">
        <v>10</v>
      </c>
      <c r="M24" s="28"/>
      <c r="N24" s="28">
        <v>10</v>
      </c>
      <c r="O24" s="28"/>
      <c r="P24" s="418">
        <f t="shared" si="0"/>
        <v>50</v>
      </c>
    </row>
    <row r="25" spans="1:17" ht="15.75" thickBot="1" x14ac:dyDescent="0.3">
      <c r="A25" s="35">
        <v>10248</v>
      </c>
      <c r="B25" s="12" t="s">
        <v>183</v>
      </c>
      <c r="C25" s="41"/>
      <c r="D25" s="47">
        <v>0</v>
      </c>
      <c r="F25" s="28">
        <v>6</v>
      </c>
      <c r="G25" s="28"/>
      <c r="H25" s="28">
        <v>6</v>
      </c>
      <c r="I25" s="28"/>
      <c r="J25" s="28">
        <v>6</v>
      </c>
      <c r="K25" s="28"/>
      <c r="L25" s="28">
        <v>6</v>
      </c>
      <c r="M25" s="28"/>
      <c r="N25" s="28">
        <v>6</v>
      </c>
      <c r="O25" s="28"/>
      <c r="P25" s="418">
        <f t="shared" si="0"/>
        <v>30</v>
      </c>
    </row>
    <row r="26" spans="1:17" ht="15.75" thickBot="1" x14ac:dyDescent="0.3">
      <c r="A26" s="35">
        <v>1000052</v>
      </c>
      <c r="B26" s="12" t="s">
        <v>41</v>
      </c>
      <c r="C26" s="41"/>
      <c r="D26" s="47">
        <v>2</v>
      </c>
      <c r="F26" s="28">
        <v>2</v>
      </c>
      <c r="G26" s="28"/>
      <c r="H26" s="28">
        <v>3</v>
      </c>
      <c r="I26" s="28"/>
      <c r="J26" s="28">
        <v>2</v>
      </c>
      <c r="K26" s="28"/>
      <c r="L26" s="28">
        <v>2</v>
      </c>
      <c r="M26" s="28"/>
      <c r="N26" s="28">
        <v>2</v>
      </c>
      <c r="O26" s="28"/>
      <c r="P26" s="418">
        <f t="shared" si="0"/>
        <v>11</v>
      </c>
    </row>
    <row r="27" spans="1:17" ht="15.75" thickBot="1" x14ac:dyDescent="0.3">
      <c r="A27" s="35">
        <v>1000089</v>
      </c>
      <c r="B27" s="12" t="s">
        <v>42</v>
      </c>
      <c r="C27" s="41"/>
      <c r="D27" s="47">
        <v>2</v>
      </c>
      <c r="F27" s="28">
        <v>2</v>
      </c>
      <c r="G27" s="28"/>
      <c r="H27" s="28">
        <v>3</v>
      </c>
      <c r="I27" s="28"/>
      <c r="J27" s="28">
        <v>2</v>
      </c>
      <c r="K27" s="28"/>
      <c r="L27" s="28">
        <v>2</v>
      </c>
      <c r="M27" s="28"/>
      <c r="N27" s="28">
        <v>2</v>
      </c>
      <c r="O27" s="28"/>
      <c r="P27" s="418">
        <f t="shared" si="0"/>
        <v>11</v>
      </c>
    </row>
    <row r="28" spans="1:17" ht="15.75" thickBot="1" x14ac:dyDescent="0.3">
      <c r="A28" s="35">
        <v>1000048</v>
      </c>
      <c r="B28" s="12" t="s">
        <v>45</v>
      </c>
      <c r="C28" s="41"/>
      <c r="D28" s="47">
        <v>0</v>
      </c>
      <c r="F28" s="28"/>
      <c r="G28" s="28"/>
      <c r="H28" s="28"/>
      <c r="I28" s="28"/>
      <c r="J28" s="28"/>
      <c r="K28" s="28"/>
      <c r="L28" s="28">
        <v>1</v>
      </c>
      <c r="M28" s="28"/>
      <c r="N28" s="28"/>
      <c r="O28" s="28"/>
      <c r="P28" s="418">
        <f t="shared" si="0"/>
        <v>1</v>
      </c>
    </row>
    <row r="29" spans="1:17" ht="15.75" thickBot="1" x14ac:dyDescent="0.3">
      <c r="A29" s="35">
        <v>1000142</v>
      </c>
      <c r="B29" s="12" t="s">
        <v>54</v>
      </c>
      <c r="C29" s="41"/>
      <c r="D29" s="47">
        <v>1</v>
      </c>
      <c r="F29" s="28">
        <v>1</v>
      </c>
      <c r="G29" s="28"/>
      <c r="H29" s="28"/>
      <c r="I29" s="28"/>
      <c r="J29" s="28"/>
      <c r="K29" s="28"/>
      <c r="L29" s="28"/>
      <c r="M29" s="28"/>
      <c r="N29" s="28"/>
      <c r="O29" s="28"/>
      <c r="P29" s="418">
        <f t="shared" si="0"/>
        <v>1</v>
      </c>
    </row>
    <row r="30" spans="1:17" ht="15.75" thickBot="1" x14ac:dyDescent="0.3">
      <c r="A30" s="35">
        <v>1000028</v>
      </c>
      <c r="B30" s="12" t="s">
        <v>68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7" ht="15.75" thickBot="1" x14ac:dyDescent="0.3">
      <c r="A31" s="35">
        <v>1000032</v>
      </c>
      <c r="B31" s="12" t="s">
        <v>26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7" s="15" customFormat="1" ht="15.95" customHeight="1" thickBot="1" x14ac:dyDescent="0.3">
      <c r="A32" s="35">
        <v>1000051</v>
      </c>
      <c r="B32" s="12" t="s">
        <v>43</v>
      </c>
      <c r="C32" s="41"/>
      <c r="D32" s="4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1000041</v>
      </c>
      <c r="B33" s="12" t="s">
        <v>16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1000100</v>
      </c>
      <c r="B34" s="12" t="s">
        <v>34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1000087</v>
      </c>
      <c r="B35" s="12" t="s">
        <v>197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1000070</v>
      </c>
      <c r="B36" s="12" t="s">
        <v>13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10244</v>
      </c>
      <c r="B37" s="12" t="s">
        <v>174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1000028</v>
      </c>
      <c r="B38" s="12" t="s">
        <v>68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>
        <v>1</v>
      </c>
      <c r="O38" s="28"/>
      <c r="P38" s="418">
        <f t="shared" si="0"/>
        <v>1</v>
      </c>
    </row>
    <row r="39" spans="1:16" ht="15.75" thickBot="1" x14ac:dyDescent="0.3">
      <c r="A39" s="35">
        <v>1000073</v>
      </c>
      <c r="B39" s="12" t="s">
        <v>36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1000034</v>
      </c>
      <c r="B40" s="12" t="s">
        <v>28</v>
      </c>
      <c r="C40" s="41"/>
      <c r="D40" s="47"/>
      <c r="F40" s="28">
        <v>2</v>
      </c>
      <c r="G40" s="28"/>
      <c r="H40" s="28"/>
      <c r="I40" s="28"/>
      <c r="J40" s="28"/>
      <c r="K40" s="28"/>
      <c r="L40" s="28"/>
      <c r="M40" s="28"/>
      <c r="N40" s="28"/>
      <c r="O40" s="28"/>
      <c r="P40" s="418">
        <f t="shared" si="0"/>
        <v>2</v>
      </c>
    </row>
    <row r="41" spans="1:16" ht="15.75" thickBot="1" x14ac:dyDescent="0.3">
      <c r="A41" s="35">
        <v>1000076</v>
      </c>
      <c r="B41" s="12" t="s">
        <v>46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1000090</v>
      </c>
      <c r="B42" s="12" t="s">
        <v>40</v>
      </c>
      <c r="C42" s="41"/>
      <c r="D42" s="47"/>
      <c r="F42" s="28">
        <v>2</v>
      </c>
      <c r="G42" s="28"/>
      <c r="H42" s="28">
        <v>2</v>
      </c>
      <c r="I42" s="28"/>
      <c r="J42" s="28">
        <v>2</v>
      </c>
      <c r="K42" s="28"/>
      <c r="L42" s="28">
        <v>2</v>
      </c>
      <c r="M42" s="28"/>
      <c r="N42" s="28">
        <v>2</v>
      </c>
      <c r="O42" s="28"/>
      <c r="P42" s="418">
        <f t="shared" si="0"/>
        <v>10</v>
      </c>
    </row>
    <row r="43" spans="1:16" ht="15.75" thickBot="1" x14ac:dyDescent="0.3">
      <c r="A43" s="35">
        <v>1000472</v>
      </c>
      <c r="B43" s="12" t="s">
        <v>222</v>
      </c>
      <c r="C43" s="41"/>
      <c r="D43" s="47"/>
      <c r="F43" s="28"/>
      <c r="G43" s="28"/>
      <c r="H43" s="28"/>
      <c r="I43" s="28"/>
      <c r="J43" s="28"/>
      <c r="K43" s="28"/>
      <c r="L43" s="28">
        <v>1</v>
      </c>
      <c r="M43" s="28"/>
      <c r="N43" s="28"/>
      <c r="O43" s="28"/>
      <c r="P43" s="418">
        <f t="shared" si="0"/>
        <v>1</v>
      </c>
    </row>
    <row r="44" spans="1:16" ht="15.75" thickBot="1" x14ac:dyDescent="0.3">
      <c r="A44" s="35">
        <v>1000092</v>
      </c>
      <c r="B44" s="12" t="s">
        <v>51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1000029</v>
      </c>
      <c r="B45" s="12" t="s">
        <v>30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1000057</v>
      </c>
      <c r="B46" s="12" t="s">
        <v>70</v>
      </c>
      <c r="C46" s="41"/>
      <c r="D46" s="47"/>
      <c r="F46" s="28"/>
      <c r="G46" s="28"/>
      <c r="H46" s="28">
        <v>24</v>
      </c>
      <c r="I46" s="28"/>
      <c r="J46" s="28">
        <v>24</v>
      </c>
      <c r="K46" s="28"/>
      <c r="L46" s="28">
        <v>24</v>
      </c>
      <c r="M46" s="28"/>
      <c r="N46" s="28">
        <v>24</v>
      </c>
      <c r="O46" s="28"/>
      <c r="P46" s="418">
        <f t="shared" si="0"/>
        <v>96</v>
      </c>
    </row>
    <row r="47" spans="1:16" ht="15.75" thickBot="1" x14ac:dyDescent="0.3">
      <c r="A47" s="35">
        <v>1000080</v>
      </c>
      <c r="B47" s="12" t="s">
        <v>275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1000436</v>
      </c>
      <c r="B48" s="12" t="s">
        <v>276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1000550</v>
      </c>
      <c r="B49" s="12" t="s">
        <v>277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1000551</v>
      </c>
      <c r="B50" s="12" t="s">
        <v>278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243">
        <v>1000552</v>
      </c>
      <c r="B51" s="251" t="s">
        <v>279</v>
      </c>
      <c r="C51" s="215"/>
      <c r="D51" s="38"/>
      <c r="E51" s="215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6.5" thickBot="1" x14ac:dyDescent="0.3">
      <c r="A52" s="411"/>
      <c r="B52" s="108" t="s">
        <v>466</v>
      </c>
      <c r="C52" s="316"/>
      <c r="D52" s="316"/>
      <c r="E52" s="31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1000010</v>
      </c>
      <c r="B53" s="12" t="s">
        <v>17</v>
      </c>
      <c r="C53" s="316"/>
      <c r="D53" s="316"/>
      <c r="E53" s="31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x14ac:dyDescent="0.25">
      <c r="A54" s="44">
        <v>1000075</v>
      </c>
      <c r="B54" s="13" t="s">
        <v>47</v>
      </c>
      <c r="C54" s="316"/>
      <c r="D54" s="316"/>
      <c r="E54" s="31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B641-785E-40A3-8370-67AEB3BE3172}">
  <sheetPr>
    <tabColor rgb="FFFF0000"/>
    <pageSetUpPr fitToPage="1"/>
  </sheetPr>
  <dimension ref="A1:S57"/>
  <sheetViews>
    <sheetView zoomScale="70" zoomScaleNormal="70" workbookViewId="0">
      <selection activeCell="S52" sqref="S52"/>
    </sheetView>
  </sheetViews>
  <sheetFormatPr baseColWidth="10" defaultRowHeight="15.75" x14ac:dyDescent="0.25"/>
  <cols>
    <col min="1" max="1" width="9.75" bestFit="1" customWidth="1"/>
    <col min="2" max="2" width="36" bestFit="1" customWidth="1"/>
    <col min="3" max="3" width="0.875" customWidth="1"/>
    <col min="4" max="4" width="8.5" bestFit="1" customWidth="1"/>
    <col min="5" max="5" width="3.5" customWidth="1"/>
    <col min="6" max="6" width="9.125" bestFit="1" customWidth="1"/>
    <col min="7" max="7" width="7.375" customWidth="1"/>
    <col min="8" max="8" width="9.125" bestFit="1" customWidth="1"/>
    <col min="9" max="9" width="7.625" customWidth="1"/>
    <col min="10" max="10" width="9.125" bestFit="1" customWidth="1"/>
    <col min="11" max="11" width="7" customWidth="1"/>
    <col min="12" max="12" width="9.75" bestFit="1" customWidth="1"/>
    <col min="13" max="13" width="7" customWidth="1"/>
    <col min="14" max="14" width="9.125" bestFit="1" customWidth="1"/>
    <col min="15" max="15" width="6.75" customWidth="1"/>
    <col min="17" max="17" width="7" customWidth="1"/>
    <col min="19" max="19" width="15.625" customWidth="1"/>
  </cols>
  <sheetData>
    <row r="1" spans="1:19" ht="17.25" customHeight="1" x14ac:dyDescent="0.45">
      <c r="A1" s="686" t="s">
        <v>185</v>
      </c>
      <c r="B1" s="687"/>
      <c r="C1" s="18"/>
      <c r="D1" s="18"/>
      <c r="E1" s="27"/>
      <c r="F1" s="751" t="s">
        <v>474</v>
      </c>
      <c r="G1" s="752"/>
      <c r="H1" s="752"/>
      <c r="I1" s="752"/>
      <c r="J1" s="753"/>
      <c r="K1" s="2"/>
      <c r="N1" s="27"/>
      <c r="O1" s="27"/>
      <c r="P1" s="27"/>
    </row>
    <row r="2" spans="1:19" ht="21.75" customHeight="1" thickBot="1" x14ac:dyDescent="0.5">
      <c r="A2" s="732"/>
      <c r="B2" s="733"/>
      <c r="C2" s="18"/>
      <c r="D2" s="416" t="s">
        <v>305</v>
      </c>
      <c r="E2" s="27"/>
      <c r="F2" s="761"/>
      <c r="G2" s="762"/>
      <c r="H2" s="762"/>
      <c r="I2" s="762"/>
      <c r="J2" s="763"/>
      <c r="K2" s="2"/>
      <c r="N2" s="27"/>
      <c r="O2" s="27"/>
      <c r="P2" s="27"/>
    </row>
    <row r="3" spans="1:19" ht="19.5" customHeight="1" thickBot="1" x14ac:dyDescent="0.5">
      <c r="A3" s="688"/>
      <c r="B3" s="689"/>
      <c r="C3" s="18"/>
      <c r="D3" s="18"/>
      <c r="E3" s="3"/>
      <c r="F3" s="754"/>
      <c r="G3" s="755"/>
      <c r="H3" s="755"/>
      <c r="I3" s="755"/>
      <c r="J3" s="756"/>
      <c r="K3" s="2"/>
      <c r="N3" s="3"/>
      <c r="O3" s="3"/>
      <c r="P3" s="3"/>
      <c r="R3" s="757" t="s">
        <v>170</v>
      </c>
      <c r="S3" s="759" t="s">
        <v>172</v>
      </c>
    </row>
    <row r="4" spans="1:19" ht="22.5" customHeight="1" thickBot="1" x14ac:dyDescent="0.3">
      <c r="A4" s="5"/>
      <c r="B4" s="5" t="s">
        <v>324</v>
      </c>
      <c r="C4" s="18"/>
      <c r="D4" s="1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758"/>
      <c r="S4" s="760"/>
    </row>
    <row r="5" spans="1:19" ht="16.5" thickBot="1" x14ac:dyDescent="0.3">
      <c r="A5" s="6" t="s">
        <v>0</v>
      </c>
      <c r="B5" s="6" t="s">
        <v>105</v>
      </c>
      <c r="C5" s="4"/>
      <c r="D5" s="21" t="s">
        <v>106</v>
      </c>
      <c r="E5" s="27"/>
      <c r="F5" s="19" t="s">
        <v>308</v>
      </c>
      <c r="G5" s="20" t="s">
        <v>325</v>
      </c>
      <c r="H5" s="19" t="s">
        <v>310</v>
      </c>
      <c r="I5" s="20" t="s">
        <v>325</v>
      </c>
      <c r="J5" s="19" t="s">
        <v>311</v>
      </c>
      <c r="K5" s="20" t="s">
        <v>325</v>
      </c>
      <c r="L5" s="19" t="s">
        <v>312</v>
      </c>
      <c r="M5" s="20" t="s">
        <v>325</v>
      </c>
      <c r="N5" s="19" t="s">
        <v>313</v>
      </c>
      <c r="O5" s="20" t="s">
        <v>325</v>
      </c>
      <c r="P5" s="21" t="s">
        <v>98</v>
      </c>
    </row>
    <row r="6" spans="1:19" ht="16.5" thickBot="1" x14ac:dyDescent="0.3">
      <c r="A6" s="30">
        <v>10000015</v>
      </c>
      <c r="B6" s="11" t="s">
        <v>1</v>
      </c>
      <c r="C6" s="41"/>
      <c r="D6" s="48">
        <v>1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ref="P6:P57" si="0">SUM(F6:O6)</f>
        <v>0</v>
      </c>
    </row>
    <row r="7" spans="1:19" ht="16.5" thickBot="1" x14ac:dyDescent="0.3">
      <c r="A7" s="35">
        <v>10000102</v>
      </c>
      <c r="B7" s="12" t="s">
        <v>2</v>
      </c>
      <c r="C7" s="41"/>
      <c r="D7" s="47">
        <v>0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9" ht="16.5" thickBot="1" x14ac:dyDescent="0.3">
      <c r="A8" s="35">
        <v>1000006</v>
      </c>
      <c r="B8" s="12" t="s">
        <v>4</v>
      </c>
      <c r="C8" s="41"/>
      <c r="D8" s="47">
        <v>230</v>
      </c>
      <c r="E8" s="27"/>
      <c r="F8" s="28"/>
      <c r="G8" s="28"/>
      <c r="H8" s="28">
        <v>100</v>
      </c>
      <c r="I8" s="28"/>
      <c r="J8" s="28"/>
      <c r="K8" s="28"/>
      <c r="L8" s="28"/>
      <c r="M8" s="28"/>
      <c r="N8" s="28">
        <v>10</v>
      </c>
      <c r="O8" s="28"/>
      <c r="P8" s="418">
        <f t="shared" si="0"/>
        <v>110</v>
      </c>
    </row>
    <row r="9" spans="1:19" ht="16.5" thickBot="1" x14ac:dyDescent="0.3">
      <c r="A9" s="35">
        <v>1000007</v>
      </c>
      <c r="B9" s="12" t="s">
        <v>5</v>
      </c>
      <c r="C9" s="41"/>
      <c r="D9" s="47">
        <v>230</v>
      </c>
      <c r="E9" s="27"/>
      <c r="F9" s="28"/>
      <c r="G9" s="28"/>
      <c r="H9" s="28">
        <v>50</v>
      </c>
      <c r="I9" s="28"/>
      <c r="J9" s="28"/>
      <c r="K9" s="28"/>
      <c r="L9" s="28"/>
      <c r="M9" s="28"/>
      <c r="N9" s="28">
        <v>50</v>
      </c>
      <c r="O9" s="28"/>
      <c r="P9" s="418">
        <f t="shared" si="0"/>
        <v>100</v>
      </c>
    </row>
    <row r="10" spans="1:19" ht="16.5" thickBot="1" x14ac:dyDescent="0.3">
      <c r="A10" s="35">
        <v>1000008</v>
      </c>
      <c r="B10" s="12" t="s">
        <v>7</v>
      </c>
      <c r="C10" s="41"/>
      <c r="D10" s="47">
        <v>1</v>
      </c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9" ht="16.5" thickBot="1" x14ac:dyDescent="0.3">
      <c r="A11" s="35">
        <v>1000001</v>
      </c>
      <c r="B11" s="12" t="s">
        <v>8</v>
      </c>
      <c r="C11" s="41"/>
      <c r="D11" s="47">
        <v>4</v>
      </c>
      <c r="E11" s="27"/>
      <c r="F11" s="28"/>
      <c r="G11" s="28"/>
      <c r="H11" s="28">
        <v>3</v>
      </c>
      <c r="I11" s="28"/>
      <c r="J11" s="28"/>
      <c r="K11" s="28"/>
      <c r="L11" s="28"/>
      <c r="M11" s="28"/>
      <c r="N11" s="28">
        <v>3</v>
      </c>
      <c r="O11" s="28"/>
      <c r="P11" s="418">
        <f t="shared" si="0"/>
        <v>6</v>
      </c>
    </row>
    <row r="12" spans="1:19" ht="16.5" thickBot="1" x14ac:dyDescent="0.3">
      <c r="A12" s="35">
        <v>1000002</v>
      </c>
      <c r="B12" s="12" t="s">
        <v>9</v>
      </c>
      <c r="C12" s="41"/>
      <c r="D12" s="47">
        <v>2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9" ht="16.5" thickBot="1" x14ac:dyDescent="0.3">
      <c r="A13" s="35">
        <v>1000067</v>
      </c>
      <c r="B13" s="12" t="s">
        <v>11</v>
      </c>
      <c r="C13" s="41"/>
      <c r="D13" s="47">
        <v>1</v>
      </c>
      <c r="E13" s="27"/>
      <c r="F13" s="28"/>
      <c r="G13" s="28"/>
      <c r="H13" s="28"/>
      <c r="I13" s="28"/>
      <c r="J13" s="28"/>
      <c r="K13" s="28"/>
      <c r="L13" s="28"/>
      <c r="M13" s="28"/>
      <c r="N13" s="28">
        <v>1</v>
      </c>
      <c r="O13" s="28"/>
      <c r="P13" s="418">
        <f t="shared" si="0"/>
        <v>1</v>
      </c>
    </row>
    <row r="14" spans="1:19" ht="16.5" thickBot="1" x14ac:dyDescent="0.3">
      <c r="A14" s="35">
        <v>1000054</v>
      </c>
      <c r="B14" s="12" t="s">
        <v>12</v>
      </c>
      <c r="C14" s="41"/>
      <c r="D14" s="47">
        <v>85</v>
      </c>
      <c r="E14" s="27"/>
      <c r="F14" s="28"/>
      <c r="G14" s="28"/>
      <c r="H14" s="28">
        <v>5</v>
      </c>
      <c r="I14" s="28"/>
      <c r="J14" s="28"/>
      <c r="K14" s="28"/>
      <c r="L14" s="28"/>
      <c r="M14" s="28"/>
      <c r="N14" s="28">
        <v>5</v>
      </c>
      <c r="O14" s="28"/>
      <c r="P14" s="418">
        <f t="shared" si="0"/>
        <v>10</v>
      </c>
    </row>
    <row r="15" spans="1:19" ht="16.5" thickBot="1" x14ac:dyDescent="0.3">
      <c r="A15" s="35">
        <v>1000017</v>
      </c>
      <c r="B15" s="12" t="s">
        <v>14</v>
      </c>
      <c r="C15" s="41"/>
      <c r="D15" s="47">
        <v>80</v>
      </c>
      <c r="E15" s="27"/>
      <c r="F15" s="28"/>
      <c r="G15" s="28"/>
      <c r="H15" s="28">
        <v>5</v>
      </c>
      <c r="I15" s="28"/>
      <c r="J15" s="28"/>
      <c r="K15" s="28"/>
      <c r="L15" s="28"/>
      <c r="M15" s="28"/>
      <c r="N15" s="28">
        <v>5</v>
      </c>
      <c r="O15" s="28"/>
      <c r="P15" s="418">
        <f t="shared" si="0"/>
        <v>10</v>
      </c>
    </row>
    <row r="16" spans="1:19" ht="16.5" thickBot="1" x14ac:dyDescent="0.3">
      <c r="A16" s="35">
        <v>1000016</v>
      </c>
      <c r="B16" s="12" t="s">
        <v>15</v>
      </c>
      <c r="C16" s="41"/>
      <c r="D16" s="47">
        <v>10</v>
      </c>
      <c r="E16" s="27"/>
      <c r="F16" s="28"/>
      <c r="G16" s="28"/>
      <c r="H16" s="28"/>
      <c r="I16" s="28"/>
      <c r="J16" s="28"/>
      <c r="K16" s="28"/>
      <c r="L16" s="28"/>
      <c r="M16" s="28"/>
      <c r="N16" s="28">
        <v>5</v>
      </c>
      <c r="O16" s="28"/>
      <c r="P16" s="418">
        <f t="shared" si="0"/>
        <v>5</v>
      </c>
    </row>
    <row r="17" spans="1:16" ht="16.5" thickBot="1" x14ac:dyDescent="0.3">
      <c r="A17" s="35">
        <v>1000041</v>
      </c>
      <c r="B17" s="13" t="s">
        <v>16</v>
      </c>
      <c r="C17" s="41"/>
      <c r="D17" s="47">
        <v>5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6.5" thickBot="1" x14ac:dyDescent="0.3">
      <c r="A18" s="35">
        <v>1000050</v>
      </c>
      <c r="B18" s="12" t="s">
        <v>22</v>
      </c>
      <c r="C18" s="41"/>
      <c r="D18" s="47">
        <v>1</v>
      </c>
      <c r="E18" s="27"/>
      <c r="F18" s="28"/>
      <c r="G18" s="28"/>
      <c r="H18" s="28">
        <v>3</v>
      </c>
      <c r="I18" s="28"/>
      <c r="J18" s="28"/>
      <c r="K18" s="28"/>
      <c r="L18" s="28"/>
      <c r="M18" s="28"/>
      <c r="N18" s="28"/>
      <c r="O18" s="28"/>
      <c r="P18" s="418">
        <f t="shared" si="0"/>
        <v>3</v>
      </c>
    </row>
    <row r="19" spans="1:16" ht="16.5" thickBot="1" x14ac:dyDescent="0.3">
      <c r="A19" s="35">
        <v>1000045</v>
      </c>
      <c r="B19" s="14" t="s">
        <v>23</v>
      </c>
      <c r="C19" s="41"/>
      <c r="D19" s="47">
        <v>0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6.5" thickBot="1" x14ac:dyDescent="0.3">
      <c r="A20" s="66">
        <v>1000030</v>
      </c>
      <c r="B20" s="65" t="s">
        <v>24</v>
      </c>
      <c r="C20" s="41"/>
      <c r="D20" s="47">
        <v>1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6.5" thickBot="1" x14ac:dyDescent="0.3">
      <c r="A21" s="35">
        <v>1000033</v>
      </c>
      <c r="B21" s="12" t="s">
        <v>27</v>
      </c>
      <c r="C21" s="41"/>
      <c r="D21" s="47">
        <v>1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6.5" thickBot="1" x14ac:dyDescent="0.3">
      <c r="A22" s="35">
        <v>1000034</v>
      </c>
      <c r="B22" s="12" t="s">
        <v>28</v>
      </c>
      <c r="C22" s="41"/>
      <c r="D22" s="47">
        <v>1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6.5" thickBot="1" x14ac:dyDescent="0.3">
      <c r="A23" s="35">
        <v>1000026</v>
      </c>
      <c r="B23" s="12" t="s">
        <v>31</v>
      </c>
      <c r="C23" s="41"/>
      <c r="D23" s="47">
        <v>2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6.5" thickBot="1" x14ac:dyDescent="0.3">
      <c r="A24" s="35">
        <v>1000027</v>
      </c>
      <c r="B24" s="12" t="s">
        <v>33</v>
      </c>
      <c r="C24" s="41"/>
      <c r="D24" s="47">
        <v>3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6.5" thickBot="1" x14ac:dyDescent="0.3">
      <c r="A25" s="35">
        <v>1000100</v>
      </c>
      <c r="B25" s="12" t="s">
        <v>34</v>
      </c>
      <c r="C25" s="41"/>
      <c r="D25" s="47">
        <v>0</v>
      </c>
      <c r="E25" s="15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6.5" thickBot="1" x14ac:dyDescent="0.3">
      <c r="A26" s="44">
        <v>1000101</v>
      </c>
      <c r="B26" s="13" t="s">
        <v>35</v>
      </c>
      <c r="C26" s="41"/>
      <c r="D26" s="47">
        <v>0</v>
      </c>
      <c r="E26" s="27"/>
      <c r="F26" s="28"/>
      <c r="G26" s="28"/>
      <c r="H26" s="28">
        <v>1</v>
      </c>
      <c r="I26" s="28"/>
      <c r="J26" s="28"/>
      <c r="K26" s="28"/>
      <c r="L26" s="28"/>
      <c r="M26" s="28"/>
      <c r="N26" s="28"/>
      <c r="O26" s="28"/>
      <c r="P26" s="418">
        <f t="shared" si="0"/>
        <v>1</v>
      </c>
    </row>
    <row r="27" spans="1:16" ht="16.5" thickBot="1" x14ac:dyDescent="0.3">
      <c r="A27" s="44">
        <v>1000073</v>
      </c>
      <c r="B27" s="13" t="s">
        <v>36</v>
      </c>
      <c r="C27" s="41"/>
      <c r="D27" s="47">
        <v>0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6.5" thickBot="1" x14ac:dyDescent="0.3">
      <c r="A28" s="44">
        <v>1000052</v>
      </c>
      <c r="B28" s="13" t="s">
        <v>41</v>
      </c>
      <c r="C28" s="41"/>
      <c r="D28" s="47">
        <v>2</v>
      </c>
      <c r="E28" s="27"/>
      <c r="F28" s="28"/>
      <c r="G28" s="28"/>
      <c r="H28" s="28">
        <v>2</v>
      </c>
      <c r="I28" s="28"/>
      <c r="J28" s="28"/>
      <c r="K28" s="28"/>
      <c r="L28" s="28"/>
      <c r="M28" s="28"/>
      <c r="N28" s="28">
        <v>1</v>
      </c>
      <c r="O28" s="28"/>
      <c r="P28" s="418">
        <f t="shared" si="0"/>
        <v>3</v>
      </c>
    </row>
    <row r="29" spans="1:16" ht="16.5" thickBot="1" x14ac:dyDescent="0.3">
      <c r="A29" s="44">
        <v>1000089</v>
      </c>
      <c r="B29" s="13" t="s">
        <v>42</v>
      </c>
      <c r="C29" s="41"/>
      <c r="D29" s="47">
        <v>2</v>
      </c>
      <c r="E29" s="27"/>
      <c r="F29" s="28"/>
      <c r="G29" s="28"/>
      <c r="H29" s="28"/>
      <c r="I29" s="28"/>
      <c r="J29" s="28"/>
      <c r="K29" s="28"/>
      <c r="L29" s="28"/>
      <c r="M29" s="28"/>
      <c r="N29" s="28">
        <v>2</v>
      </c>
      <c r="O29" s="28"/>
      <c r="P29" s="418">
        <f t="shared" si="0"/>
        <v>2</v>
      </c>
    </row>
    <row r="30" spans="1:16" ht="16.5" thickBot="1" x14ac:dyDescent="0.3">
      <c r="A30" s="44">
        <v>1000051</v>
      </c>
      <c r="B30" s="13" t="s">
        <v>43</v>
      </c>
      <c r="C30" s="41"/>
      <c r="D30" s="47">
        <v>2</v>
      </c>
      <c r="E30" s="27"/>
      <c r="F30" s="28"/>
      <c r="G30" s="28"/>
      <c r="H30" s="28"/>
      <c r="I30" s="28"/>
      <c r="J30" s="28"/>
      <c r="K30" s="28"/>
      <c r="L30" s="28"/>
      <c r="M30" s="28"/>
      <c r="N30" s="28">
        <v>2</v>
      </c>
      <c r="O30" s="28"/>
      <c r="P30" s="418">
        <f t="shared" si="0"/>
        <v>2</v>
      </c>
    </row>
    <row r="31" spans="1:16" ht="16.5" thickBot="1" x14ac:dyDescent="0.3">
      <c r="A31" s="44">
        <v>1000048</v>
      </c>
      <c r="B31" s="13" t="s">
        <v>45</v>
      </c>
      <c r="C31" s="41"/>
      <c r="D31" s="47">
        <v>0</v>
      </c>
      <c r="E31" s="27"/>
      <c r="F31" s="28"/>
      <c r="G31" s="28"/>
      <c r="H31" s="28">
        <v>1</v>
      </c>
      <c r="I31" s="28"/>
      <c r="J31" s="28"/>
      <c r="K31" s="28"/>
      <c r="L31" s="28"/>
      <c r="M31" s="28"/>
      <c r="N31" s="28"/>
      <c r="O31" s="28"/>
      <c r="P31" s="418">
        <f t="shared" si="0"/>
        <v>1</v>
      </c>
    </row>
    <row r="32" spans="1:16" ht="16.5" thickBot="1" x14ac:dyDescent="0.3">
      <c r="A32" s="44">
        <v>1000076</v>
      </c>
      <c r="B32" s="13" t="s">
        <v>46</v>
      </c>
      <c r="C32" s="41"/>
      <c r="D32" s="47">
        <v>0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6.5" thickBot="1" x14ac:dyDescent="0.3">
      <c r="A33" s="44">
        <v>1000147</v>
      </c>
      <c r="B33" s="13" t="s">
        <v>52</v>
      </c>
      <c r="C33" s="41"/>
      <c r="D33" s="47">
        <v>0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6.5" thickBot="1" x14ac:dyDescent="0.3">
      <c r="A34" s="44">
        <v>1000142</v>
      </c>
      <c r="B34" s="13" t="s">
        <v>54</v>
      </c>
      <c r="C34" s="41"/>
      <c r="D34" s="47">
        <v>1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6.5" thickBot="1" x14ac:dyDescent="0.3">
      <c r="A35" s="44">
        <v>1000075</v>
      </c>
      <c r="B35" s="13" t="s">
        <v>47</v>
      </c>
      <c r="C35" s="41"/>
      <c r="D35" s="4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6.5" thickBot="1" x14ac:dyDescent="0.3">
      <c r="A36" s="44">
        <v>1000025</v>
      </c>
      <c r="B36" s="13" t="s">
        <v>32</v>
      </c>
      <c r="C36" s="41"/>
      <c r="D36" s="47"/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6.5" thickBot="1" x14ac:dyDescent="0.3">
      <c r="A37" s="44">
        <v>1000010</v>
      </c>
      <c r="B37" s="13" t="s">
        <v>17</v>
      </c>
      <c r="C37" s="41"/>
      <c r="D37" s="4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6.5" thickBot="1" x14ac:dyDescent="0.3">
      <c r="A38" s="44">
        <v>1000092</v>
      </c>
      <c r="B38" s="13" t="s">
        <v>51</v>
      </c>
      <c r="C38" s="41"/>
      <c r="D38" s="47"/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6.5" thickBot="1" x14ac:dyDescent="0.3">
      <c r="A39" s="44">
        <v>1000084</v>
      </c>
      <c r="B39" s="13" t="s">
        <v>38</v>
      </c>
      <c r="C39" s="41"/>
      <c r="D39" s="47"/>
      <c r="E39" s="27"/>
      <c r="F39" s="28"/>
      <c r="G39" s="28"/>
      <c r="H39" s="28">
        <v>12</v>
      </c>
      <c r="I39" s="28"/>
      <c r="J39" s="28"/>
      <c r="K39" s="28"/>
      <c r="L39" s="28"/>
      <c r="M39" s="28"/>
      <c r="N39" s="28">
        <v>12</v>
      </c>
      <c r="O39" s="28"/>
      <c r="P39" s="418">
        <f t="shared" si="0"/>
        <v>24</v>
      </c>
    </row>
    <row r="40" spans="1:16" ht="16.5" thickBot="1" x14ac:dyDescent="0.3">
      <c r="A40" s="44">
        <v>1000090</v>
      </c>
      <c r="B40" s="13" t="s">
        <v>40</v>
      </c>
      <c r="C40" s="41"/>
      <c r="D40" s="47"/>
      <c r="E40" s="27"/>
      <c r="F40" s="28"/>
      <c r="G40" s="28"/>
      <c r="H40" s="28">
        <v>5</v>
      </c>
      <c r="I40" s="28"/>
      <c r="J40" s="28"/>
      <c r="K40" s="28"/>
      <c r="L40" s="28"/>
      <c r="M40" s="28"/>
      <c r="N40" s="28">
        <v>6</v>
      </c>
      <c r="O40" s="28"/>
      <c r="P40" s="418">
        <f t="shared" si="0"/>
        <v>11</v>
      </c>
    </row>
    <row r="41" spans="1:16" ht="16.5" thickBot="1" x14ac:dyDescent="0.3">
      <c r="A41" s="44">
        <v>1000004</v>
      </c>
      <c r="B41" s="13" t="s">
        <v>10</v>
      </c>
      <c r="C41" s="41"/>
      <c r="D41" s="47"/>
      <c r="E41" s="27"/>
      <c r="F41" s="28"/>
      <c r="G41" s="28"/>
      <c r="H41" s="28">
        <v>3</v>
      </c>
      <c r="I41" s="28"/>
      <c r="J41" s="28"/>
      <c r="K41" s="28"/>
      <c r="L41" s="28"/>
      <c r="M41" s="28"/>
      <c r="N41" s="28">
        <v>3</v>
      </c>
      <c r="O41" s="28"/>
      <c r="P41" s="418">
        <f t="shared" si="0"/>
        <v>6</v>
      </c>
    </row>
    <row r="42" spans="1:16" ht="16.5" thickBot="1" x14ac:dyDescent="0.3">
      <c r="A42" s="44">
        <v>1000070</v>
      </c>
      <c r="B42" s="13" t="s">
        <v>13</v>
      </c>
      <c r="C42" s="41"/>
      <c r="D42" s="47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6.5" thickBot="1" x14ac:dyDescent="0.3">
      <c r="A43" s="44">
        <v>1000082</v>
      </c>
      <c r="B43" s="13" t="s">
        <v>37</v>
      </c>
      <c r="C43" s="41"/>
      <c r="D43" s="47"/>
      <c r="E43" s="27"/>
      <c r="F43" s="28"/>
      <c r="G43" s="28"/>
      <c r="H43" s="28">
        <v>16</v>
      </c>
      <c r="I43" s="28"/>
      <c r="J43" s="28"/>
      <c r="K43" s="28"/>
      <c r="L43" s="28"/>
      <c r="M43" s="28"/>
      <c r="N43" s="28">
        <v>16</v>
      </c>
      <c r="O43" s="28"/>
      <c r="P43" s="418">
        <f t="shared" si="0"/>
        <v>32</v>
      </c>
    </row>
    <row r="44" spans="1:16" ht="16.5" thickBot="1" x14ac:dyDescent="0.3">
      <c r="A44" s="44">
        <v>1000439</v>
      </c>
      <c r="B44" s="13" t="s">
        <v>193</v>
      </c>
      <c r="C44" s="41"/>
      <c r="D44" s="4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6.5" thickBot="1" x14ac:dyDescent="0.3">
      <c r="A45" s="44">
        <v>1000049</v>
      </c>
      <c r="B45" s="13" t="s">
        <v>21</v>
      </c>
      <c r="C45" s="41"/>
      <c r="D45" s="47"/>
      <c r="E45" s="27"/>
      <c r="F45" s="28"/>
      <c r="G45" s="28"/>
      <c r="H45" s="28">
        <v>3</v>
      </c>
      <c r="I45" s="28"/>
      <c r="J45" s="28"/>
      <c r="K45" s="28"/>
      <c r="L45" s="28"/>
      <c r="M45" s="28"/>
      <c r="N45" s="28"/>
      <c r="O45" s="28"/>
      <c r="P45" s="418">
        <f t="shared" si="0"/>
        <v>3</v>
      </c>
    </row>
    <row r="46" spans="1:16" ht="16.5" thickBot="1" x14ac:dyDescent="0.3">
      <c r="A46" s="44">
        <v>10211</v>
      </c>
      <c r="B46" s="13" t="s">
        <v>3</v>
      </c>
      <c r="C46" s="41"/>
      <c r="D46" s="47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6.5" thickBot="1" x14ac:dyDescent="0.3">
      <c r="A47" s="44">
        <v>1000472</v>
      </c>
      <c r="B47" s="13" t="s">
        <v>222</v>
      </c>
      <c r="C47" s="41"/>
      <c r="D47" s="47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6.5" thickBot="1" x14ac:dyDescent="0.3">
      <c r="A48" s="44">
        <v>1000117</v>
      </c>
      <c r="B48" s="13" t="s">
        <v>80</v>
      </c>
      <c r="C48" s="41"/>
      <c r="D48" s="47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6.5" thickBot="1" x14ac:dyDescent="0.3">
      <c r="A49" s="44">
        <v>10248</v>
      </c>
      <c r="B49" s="13" t="s">
        <v>183</v>
      </c>
      <c r="C49" s="41"/>
      <c r="D49" s="47"/>
      <c r="E49" s="27"/>
      <c r="F49" s="28"/>
      <c r="G49" s="28"/>
      <c r="H49" s="28">
        <v>9</v>
      </c>
      <c r="I49" s="28"/>
      <c r="J49" s="28"/>
      <c r="K49" s="28"/>
      <c r="L49" s="28"/>
      <c r="M49" s="28"/>
      <c r="N49" s="28">
        <v>9</v>
      </c>
      <c r="O49" s="28"/>
      <c r="P49" s="418">
        <f t="shared" si="0"/>
        <v>18</v>
      </c>
    </row>
    <row r="50" spans="1:16" ht="16.5" thickBot="1" x14ac:dyDescent="0.3">
      <c r="A50" s="44">
        <v>1000085</v>
      </c>
      <c r="B50" s="13" t="s">
        <v>50</v>
      </c>
      <c r="C50" s="41"/>
      <c r="D50" s="47"/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6.5" thickBot="1" x14ac:dyDescent="0.3">
      <c r="A51" s="44">
        <v>1000486</v>
      </c>
      <c r="B51" s="13" t="s">
        <v>263</v>
      </c>
      <c r="C51" s="41"/>
      <c r="D51" s="47"/>
      <c r="E51" s="27"/>
      <c r="F51" s="28"/>
      <c r="G51" s="28"/>
      <c r="H51" s="28">
        <v>10</v>
      </c>
      <c r="I51" s="28"/>
      <c r="J51" s="28"/>
      <c r="K51" s="28"/>
      <c r="L51" s="28"/>
      <c r="M51" s="28"/>
      <c r="N51" s="28"/>
      <c r="O51" s="28"/>
      <c r="P51" s="418">
        <f t="shared" si="0"/>
        <v>10</v>
      </c>
    </row>
    <row r="52" spans="1:16" ht="16.5" thickBot="1" x14ac:dyDescent="0.3">
      <c r="A52" s="44">
        <v>1000080</v>
      </c>
      <c r="B52" s="13" t="s">
        <v>275</v>
      </c>
      <c r="C52" s="41"/>
      <c r="D52" s="47"/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6.5" thickBot="1" x14ac:dyDescent="0.3">
      <c r="A53" s="44">
        <v>1000436</v>
      </c>
      <c r="B53" s="13" t="s">
        <v>276</v>
      </c>
      <c r="C53" s="41"/>
      <c r="D53" s="4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6.5" thickBot="1" x14ac:dyDescent="0.3">
      <c r="A54" s="44">
        <v>1000550</v>
      </c>
      <c r="B54" s="13" t="s">
        <v>277</v>
      </c>
      <c r="C54" s="41"/>
      <c r="D54" s="47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6.5" thickBot="1" x14ac:dyDescent="0.3">
      <c r="A55" s="44">
        <v>1000551</v>
      </c>
      <c r="B55" s="13" t="s">
        <v>278</v>
      </c>
      <c r="C55" s="41"/>
      <c r="D55" s="47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6.5" thickBot="1" x14ac:dyDescent="0.3">
      <c r="A56" s="207">
        <v>1000552</v>
      </c>
      <c r="B56" s="251" t="s">
        <v>279</v>
      </c>
      <c r="D56" s="38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6.5" thickBot="1" x14ac:dyDescent="0.3">
      <c r="A57" s="35">
        <v>1000029</v>
      </c>
      <c r="B57" s="12" t="s">
        <v>30</v>
      </c>
      <c r="D57" s="3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</sheetData>
  <mergeCells count="4">
    <mergeCell ref="R3:R4"/>
    <mergeCell ref="S3:S4"/>
    <mergeCell ref="A1:B3"/>
    <mergeCell ref="F1:J3"/>
  </mergeCells>
  <phoneticPr fontId="108" type="noConversion"/>
  <pageMargins left="0.7" right="0.7" top="0.75" bottom="0.75" header="0.3" footer="0.3"/>
  <pageSetup paperSize="9" scale="5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9F0F-C76F-4920-8DBF-B043CF80ADBB}">
  <sheetPr>
    <tabColor rgb="FFFF0000"/>
    <pageSetUpPr fitToPage="1"/>
  </sheetPr>
  <dimension ref="A1:Q54"/>
  <sheetViews>
    <sheetView topLeftCell="A11" zoomScale="85" zoomScaleNormal="85" workbookViewId="0">
      <selection activeCell="S35" sqref="S35:S37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1.875" style="27" customWidth="1"/>
    <col min="6" max="6" width="9.125" style="27" bestFit="1" customWidth="1"/>
    <col min="7" max="7" width="6" style="27" customWidth="1"/>
    <col min="8" max="8" width="6.875" style="27" customWidth="1"/>
    <col min="9" max="9" width="6.375" style="27" customWidth="1"/>
    <col min="10" max="10" width="7.125" style="27" customWidth="1"/>
    <col min="11" max="11" width="6.125" style="27" customWidth="1"/>
    <col min="12" max="12" width="8.375" style="27" customWidth="1"/>
    <col min="13" max="13" width="6.25" style="27" customWidth="1"/>
    <col min="14" max="14" width="6.625" style="27" customWidth="1"/>
    <col min="15" max="15" width="7" style="27" customWidth="1"/>
    <col min="16" max="16" width="10" style="27" customWidth="1"/>
    <col min="17" max="16384" width="10.875" style="27"/>
  </cols>
  <sheetData>
    <row r="1" spans="1:16" ht="15" customHeight="1" x14ac:dyDescent="0.45">
      <c r="A1" s="686" t="s">
        <v>123</v>
      </c>
      <c r="B1" s="687"/>
      <c r="C1" s="18"/>
      <c r="F1" s="737" t="s">
        <v>474</v>
      </c>
      <c r="G1" s="738"/>
      <c r="H1" s="738"/>
      <c r="I1" s="738"/>
      <c r="J1" s="739"/>
      <c r="K1" s="2"/>
    </row>
    <row r="2" spans="1:16" s="3" customFormat="1" ht="16.5" customHeight="1" thickBot="1" x14ac:dyDescent="0.5">
      <c r="A2" s="688"/>
      <c r="B2" s="689"/>
      <c r="C2" s="18"/>
      <c r="D2" s="417" t="s">
        <v>305</v>
      </c>
      <c r="F2" s="740"/>
      <c r="G2" s="741"/>
      <c r="H2" s="741"/>
      <c r="I2" s="741"/>
      <c r="J2" s="742"/>
      <c r="K2" s="2"/>
    </row>
    <row r="3" spans="1:16" s="3" customFormat="1" ht="23.25" customHeight="1" thickBot="1" x14ac:dyDescent="0.3">
      <c r="A3" s="5"/>
      <c r="B3" s="5" t="s">
        <v>326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3</v>
      </c>
      <c r="F5" s="28"/>
      <c r="G5" s="28"/>
      <c r="H5" s="28"/>
      <c r="I5" s="28"/>
      <c r="J5" s="28">
        <v>5</v>
      </c>
      <c r="K5" s="28"/>
      <c r="L5" s="28">
        <v>5</v>
      </c>
      <c r="M5" s="28"/>
      <c r="N5" s="28"/>
      <c r="O5" s="28"/>
      <c r="P5" s="418">
        <f t="shared" ref="P5:P54" si="0">SUM(F5:O5)</f>
        <v>10</v>
      </c>
    </row>
    <row r="6" spans="1:16" ht="15.75" thickBot="1" x14ac:dyDescent="0.3">
      <c r="A6" s="35">
        <v>1000006</v>
      </c>
      <c r="B6" s="12" t="s">
        <v>4</v>
      </c>
      <c r="C6" s="41"/>
      <c r="D6" s="47">
        <v>200</v>
      </c>
      <c r="F6" s="28">
        <v>50</v>
      </c>
      <c r="G6" s="28"/>
      <c r="H6" s="28">
        <v>50</v>
      </c>
      <c r="I6" s="28"/>
      <c r="J6" s="28">
        <v>50</v>
      </c>
      <c r="K6" s="28"/>
      <c r="L6" s="28">
        <v>100</v>
      </c>
      <c r="M6" s="28"/>
      <c r="N6" s="28">
        <v>50</v>
      </c>
      <c r="O6" s="28"/>
      <c r="P6" s="418">
        <f t="shared" si="0"/>
        <v>300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200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100</v>
      </c>
      <c r="M7" s="28"/>
      <c r="N7" s="28">
        <v>50</v>
      </c>
      <c r="O7" s="28"/>
      <c r="P7" s="418">
        <f t="shared" si="0"/>
        <v>300</v>
      </c>
    </row>
    <row r="8" spans="1:16" ht="15.75" thickBot="1" x14ac:dyDescent="0.3">
      <c r="A8" s="35">
        <v>1000001</v>
      </c>
      <c r="B8" s="12" t="s">
        <v>8</v>
      </c>
      <c r="C8" s="41"/>
      <c r="D8" s="47">
        <v>4</v>
      </c>
      <c r="F8" s="28"/>
      <c r="G8" s="28"/>
      <c r="H8" s="28">
        <v>3</v>
      </c>
      <c r="I8" s="28"/>
      <c r="J8" s="28"/>
      <c r="K8" s="28"/>
      <c r="L8" s="28">
        <v>3</v>
      </c>
      <c r="M8" s="28"/>
      <c r="N8" s="28"/>
      <c r="O8" s="28"/>
      <c r="P8" s="418">
        <f t="shared" si="0"/>
        <v>6</v>
      </c>
    </row>
    <row r="9" spans="1:16" ht="15.75" thickBot="1" x14ac:dyDescent="0.3">
      <c r="A9" s="35">
        <v>1000002</v>
      </c>
      <c r="B9" s="12" t="s">
        <v>9</v>
      </c>
      <c r="C9" s="41"/>
      <c r="D9" s="47">
        <v>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2</v>
      </c>
      <c r="F10" s="28"/>
      <c r="G10" s="28"/>
      <c r="H10" s="28">
        <v>3</v>
      </c>
      <c r="I10" s="28"/>
      <c r="J10" s="28"/>
      <c r="K10" s="28"/>
      <c r="L10" s="28">
        <v>3</v>
      </c>
      <c r="M10" s="28"/>
      <c r="N10" s="28"/>
      <c r="O10" s="28"/>
      <c r="P10" s="418">
        <f t="shared" si="0"/>
        <v>6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40</v>
      </c>
      <c r="F11" s="28">
        <v>10</v>
      </c>
      <c r="G11" s="28"/>
      <c r="H11" s="28"/>
      <c r="I11" s="28"/>
      <c r="J11" s="28">
        <v>10</v>
      </c>
      <c r="K11" s="28"/>
      <c r="L11" s="28">
        <v>10</v>
      </c>
      <c r="M11" s="28"/>
      <c r="N11" s="28"/>
      <c r="O11" s="28"/>
      <c r="P11" s="418">
        <f t="shared" si="0"/>
        <v>30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40</v>
      </c>
      <c r="F13" s="28">
        <v>10</v>
      </c>
      <c r="G13" s="28"/>
      <c r="H13" s="28"/>
      <c r="I13" s="28"/>
      <c r="J13" s="28">
        <v>10</v>
      </c>
      <c r="K13" s="28"/>
      <c r="L13" s="28">
        <v>10</v>
      </c>
      <c r="M13" s="28"/>
      <c r="N13" s="28"/>
      <c r="O13" s="28"/>
      <c r="P13" s="418">
        <f t="shared" si="0"/>
        <v>30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F14" s="28"/>
      <c r="G14" s="28"/>
      <c r="H14" s="28"/>
      <c r="I14" s="28"/>
      <c r="J14" s="28">
        <v>5</v>
      </c>
      <c r="K14" s="28"/>
      <c r="L14" s="28">
        <v>5</v>
      </c>
      <c r="M14" s="28"/>
      <c r="N14" s="28"/>
      <c r="O14" s="28"/>
      <c r="P14" s="418">
        <f t="shared" si="0"/>
        <v>10</v>
      </c>
    </row>
    <row r="15" spans="1:16" ht="15.75" thickBot="1" x14ac:dyDescent="0.3">
      <c r="A15" s="35">
        <v>1000050</v>
      </c>
      <c r="B15" s="12" t="s">
        <v>22</v>
      </c>
      <c r="C15" s="41"/>
      <c r="D15" s="47">
        <v>1</v>
      </c>
      <c r="F15" s="28"/>
      <c r="G15" s="28"/>
      <c r="H15" s="28"/>
      <c r="I15" s="28"/>
      <c r="J15" s="28">
        <v>2</v>
      </c>
      <c r="K15" s="28"/>
      <c r="L15" s="28"/>
      <c r="M15" s="28"/>
      <c r="N15" s="28">
        <v>2</v>
      </c>
      <c r="O15" s="28"/>
      <c r="P15" s="418">
        <f t="shared" si="0"/>
        <v>4</v>
      </c>
    </row>
    <row r="16" spans="1:16" ht="15.75" thickBot="1" x14ac:dyDescent="0.3">
      <c r="A16" s="35">
        <v>1000049</v>
      </c>
      <c r="B16" s="12" t="s">
        <v>21</v>
      </c>
      <c r="C16" s="41"/>
      <c r="D16" s="47">
        <v>1</v>
      </c>
      <c r="F16" s="28"/>
      <c r="G16" s="28"/>
      <c r="H16" s="28"/>
      <c r="I16" s="28"/>
      <c r="J16" s="28">
        <v>2</v>
      </c>
      <c r="K16" s="28"/>
      <c r="L16" s="28"/>
      <c r="M16" s="28"/>
      <c r="N16" s="28">
        <v>2</v>
      </c>
      <c r="O16" s="28"/>
      <c r="P16" s="418">
        <f t="shared" si="0"/>
        <v>4</v>
      </c>
    </row>
    <row r="17" spans="1:17" ht="15.75" thickBot="1" x14ac:dyDescent="0.3">
      <c r="A17" s="35">
        <v>1000045</v>
      </c>
      <c r="B17" s="12" t="s">
        <v>23</v>
      </c>
      <c r="C17" s="41"/>
      <c r="D17" s="47">
        <v>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7" ht="15.75" thickBot="1" x14ac:dyDescent="0.3">
      <c r="A18" s="35">
        <v>1000025</v>
      </c>
      <c r="B18" s="12" t="s">
        <v>32</v>
      </c>
      <c r="C18" s="41"/>
      <c r="D18" s="47">
        <v>4</v>
      </c>
      <c r="F18" s="28"/>
      <c r="G18" s="28"/>
      <c r="H18" s="28">
        <v>5</v>
      </c>
      <c r="I18" s="28"/>
      <c r="J18" s="28"/>
      <c r="K18" s="28"/>
      <c r="L18" s="28"/>
      <c r="M18" s="28"/>
      <c r="N18" s="28"/>
      <c r="O18" s="28"/>
      <c r="P18" s="418">
        <f t="shared" si="0"/>
        <v>5</v>
      </c>
    </row>
    <row r="19" spans="1:17" ht="15.75" thickBot="1" x14ac:dyDescent="0.3">
      <c r="A19" s="35">
        <v>1000027</v>
      </c>
      <c r="B19" s="12" t="s">
        <v>33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7" ht="15.75" thickBot="1" x14ac:dyDescent="0.3">
      <c r="A20" s="35">
        <v>1000084</v>
      </c>
      <c r="B20" s="12" t="s">
        <v>38</v>
      </c>
      <c r="C20" s="41"/>
      <c r="D20" s="47">
        <v>30</v>
      </c>
      <c r="F20" s="28">
        <v>8</v>
      </c>
      <c r="G20" s="28"/>
      <c r="H20" s="28">
        <v>8</v>
      </c>
      <c r="I20" s="28"/>
      <c r="J20" s="28">
        <v>8</v>
      </c>
      <c r="K20" s="28"/>
      <c r="L20" s="28">
        <v>12</v>
      </c>
      <c r="M20" s="28"/>
      <c r="N20" s="28">
        <v>8</v>
      </c>
      <c r="O20" s="28"/>
      <c r="P20" s="418">
        <f t="shared" si="0"/>
        <v>44</v>
      </c>
    </row>
    <row r="21" spans="1:17" ht="15.75" thickBot="1" x14ac:dyDescent="0.3">
      <c r="A21" s="35">
        <v>10248</v>
      </c>
      <c r="B21" s="12" t="s">
        <v>183</v>
      </c>
      <c r="C21" s="41"/>
      <c r="D21" s="47">
        <v>0</v>
      </c>
      <c r="F21" s="28">
        <v>3</v>
      </c>
      <c r="G21" s="28"/>
      <c r="H21" s="28"/>
      <c r="I21" s="28"/>
      <c r="J21" s="28"/>
      <c r="K21" s="28"/>
      <c r="L21" s="28">
        <v>3</v>
      </c>
      <c r="M21" s="28"/>
      <c r="N21" s="28">
        <v>6</v>
      </c>
      <c r="O21" s="28"/>
      <c r="P21" s="418">
        <f t="shared" si="0"/>
        <v>12</v>
      </c>
    </row>
    <row r="22" spans="1:17" ht="15.75" thickBot="1" x14ac:dyDescent="0.3">
      <c r="A22" s="35">
        <v>1000090</v>
      </c>
      <c r="B22" s="12" t="s">
        <v>40</v>
      </c>
      <c r="C22" s="41"/>
      <c r="D22" s="47">
        <v>2</v>
      </c>
      <c r="F22" s="28">
        <v>2</v>
      </c>
      <c r="G22" s="28"/>
      <c r="H22" s="28"/>
      <c r="I22" s="28"/>
      <c r="J22" s="28"/>
      <c r="K22" s="28"/>
      <c r="L22" s="28"/>
      <c r="M22" s="28"/>
      <c r="N22" s="28">
        <v>2</v>
      </c>
      <c r="O22" s="28"/>
      <c r="P22" s="418">
        <f t="shared" si="0"/>
        <v>4</v>
      </c>
    </row>
    <row r="23" spans="1:17" ht="15.75" thickBot="1" x14ac:dyDescent="0.3">
      <c r="A23" s="35">
        <v>1000052</v>
      </c>
      <c r="B23" s="12" t="s">
        <v>41</v>
      </c>
      <c r="C23" s="41"/>
      <c r="D23" s="47">
        <v>2</v>
      </c>
      <c r="F23" s="28"/>
      <c r="G23" s="28"/>
      <c r="H23" s="28">
        <v>2</v>
      </c>
      <c r="I23" s="28"/>
      <c r="J23" s="28"/>
      <c r="K23" s="28"/>
      <c r="L23" s="28"/>
      <c r="M23" s="28"/>
      <c r="N23" s="28">
        <v>2</v>
      </c>
      <c r="O23" s="28"/>
      <c r="P23" s="418">
        <f t="shared" si="0"/>
        <v>4</v>
      </c>
    </row>
    <row r="24" spans="1:17" ht="15.75" thickBot="1" x14ac:dyDescent="0.3">
      <c r="A24" s="35">
        <v>1000089</v>
      </c>
      <c r="B24" s="12" t="s">
        <v>42</v>
      </c>
      <c r="C24" s="41"/>
      <c r="D24" s="47">
        <v>2</v>
      </c>
      <c r="F24" s="28"/>
      <c r="G24" s="28"/>
      <c r="H24" s="28">
        <v>2</v>
      </c>
      <c r="I24" s="28"/>
      <c r="J24" s="28"/>
      <c r="K24" s="28"/>
      <c r="L24" s="28"/>
      <c r="M24" s="28"/>
      <c r="N24" s="28">
        <v>2</v>
      </c>
      <c r="O24" s="28"/>
      <c r="P24" s="418">
        <f t="shared" si="0"/>
        <v>4</v>
      </c>
    </row>
    <row r="25" spans="1:17" ht="15.75" thickBot="1" x14ac:dyDescent="0.3">
      <c r="A25" s="35">
        <v>1000051</v>
      </c>
      <c r="B25" s="12" t="s">
        <v>43</v>
      </c>
      <c r="C25" s="41"/>
      <c r="D25" s="47">
        <v>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7" ht="15.75" thickBot="1" x14ac:dyDescent="0.3">
      <c r="A26" s="35">
        <v>1000076</v>
      </c>
      <c r="B26" s="12" t="s">
        <v>46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7" ht="15.75" thickBot="1" x14ac:dyDescent="0.3">
      <c r="A27" s="35">
        <v>1000075</v>
      </c>
      <c r="B27" s="12" t="s">
        <v>47</v>
      </c>
      <c r="C27" s="41"/>
      <c r="D27" s="47">
        <v>0</v>
      </c>
      <c r="F27" s="28"/>
      <c r="G27" s="28"/>
      <c r="H27" s="28"/>
      <c r="I27" s="28"/>
      <c r="J27" s="28"/>
      <c r="K27" s="28"/>
      <c r="L27" s="28">
        <v>2</v>
      </c>
      <c r="M27" s="28"/>
      <c r="N27" s="28"/>
      <c r="O27" s="28"/>
      <c r="P27" s="30">
        <f t="shared" si="0"/>
        <v>2</v>
      </c>
    </row>
    <row r="28" spans="1:17" ht="15.75" thickBot="1" x14ac:dyDescent="0.3">
      <c r="A28" s="35">
        <v>1000063</v>
      </c>
      <c r="B28" s="12" t="s">
        <v>65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7" ht="15.75" thickBot="1" x14ac:dyDescent="0.3">
      <c r="A29" s="35">
        <v>1000033</v>
      </c>
      <c r="B29" s="12" t="s">
        <v>27</v>
      </c>
      <c r="C29" s="41"/>
      <c r="D29" s="47"/>
      <c r="F29" s="28"/>
      <c r="G29" s="28"/>
      <c r="H29" s="28">
        <v>2</v>
      </c>
      <c r="I29" s="28"/>
      <c r="J29" s="28"/>
      <c r="K29" s="28"/>
      <c r="L29" s="28"/>
      <c r="M29" s="28"/>
      <c r="N29" s="28"/>
      <c r="O29" s="28"/>
      <c r="P29" s="418">
        <f t="shared" si="0"/>
        <v>2</v>
      </c>
      <c r="Q29" s="15"/>
    </row>
    <row r="30" spans="1:17" s="15" customFormat="1" ht="15.95" customHeight="1" thickBot="1" x14ac:dyDescent="0.3">
      <c r="A30" s="35">
        <v>1000101</v>
      </c>
      <c r="B30" s="12" t="s">
        <v>35</v>
      </c>
      <c r="C30" s="41"/>
      <c r="D30" s="4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  <c r="Q30" s="27"/>
    </row>
    <row r="31" spans="1:17" ht="15.75" thickBot="1" x14ac:dyDescent="0.3">
      <c r="A31" s="35">
        <v>1000147</v>
      </c>
      <c r="B31" s="12" t="s">
        <v>52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7" ht="15.75" thickBot="1" x14ac:dyDescent="0.3">
      <c r="A32" s="35">
        <v>1000142</v>
      </c>
      <c r="B32" s="12" t="s">
        <v>54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1000048</v>
      </c>
      <c r="B33" s="12" t="s">
        <v>45</v>
      </c>
      <c r="C33" s="41"/>
      <c r="D33" s="47"/>
      <c r="F33" s="28"/>
      <c r="G33" s="28"/>
      <c r="H33" s="28"/>
      <c r="I33" s="28"/>
      <c r="J33" s="28"/>
      <c r="K33" s="28"/>
      <c r="L33" s="28">
        <v>1</v>
      </c>
      <c r="M33" s="28"/>
      <c r="N33" s="28"/>
      <c r="O33" s="28"/>
      <c r="P33" s="418">
        <f t="shared" si="0"/>
        <v>1</v>
      </c>
    </row>
    <row r="34" spans="1:16" ht="15.75" thickBot="1" x14ac:dyDescent="0.3">
      <c r="A34" s="35">
        <v>1000214</v>
      </c>
      <c r="B34" s="12" t="s">
        <v>49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1000034</v>
      </c>
      <c r="B35" s="12" t="s">
        <v>28</v>
      </c>
      <c r="C35" s="41"/>
      <c r="D35" s="47"/>
      <c r="F35" s="28">
        <v>2</v>
      </c>
      <c r="G35" s="28"/>
      <c r="H35" s="28"/>
      <c r="I35" s="28"/>
      <c r="J35" s="28"/>
      <c r="K35" s="28"/>
      <c r="L35" s="28">
        <v>2</v>
      </c>
      <c r="M35" s="28"/>
      <c r="N35" s="28"/>
      <c r="O35" s="28"/>
      <c r="P35" s="418">
        <f t="shared" si="0"/>
        <v>4</v>
      </c>
    </row>
    <row r="36" spans="1:16" ht="15.75" thickBot="1" x14ac:dyDescent="0.3">
      <c r="A36" s="35">
        <v>1000067</v>
      </c>
      <c r="B36" s="12" t="s">
        <v>11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1000092</v>
      </c>
      <c r="B37" s="12" t="s">
        <v>51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1000073</v>
      </c>
      <c r="B38" s="12" t="s">
        <v>36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10000102</v>
      </c>
      <c r="B39" s="12" t="s">
        <v>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1000449</v>
      </c>
      <c r="B40" s="12" t="s">
        <v>202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1000100</v>
      </c>
      <c r="B41" s="12" t="s">
        <v>34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1000029</v>
      </c>
      <c r="B42" s="12" t="s">
        <v>30</v>
      </c>
      <c r="C42" s="41"/>
      <c r="D42" s="47"/>
      <c r="F42" s="28">
        <v>1</v>
      </c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1</v>
      </c>
    </row>
    <row r="43" spans="1:16" ht="15.75" thickBot="1" x14ac:dyDescent="0.3">
      <c r="A43" s="35">
        <v>10244</v>
      </c>
      <c r="B43" s="12" t="s">
        <v>174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1000045</v>
      </c>
      <c r="B44" s="12" t="s">
        <v>23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418">
        <f t="shared" si="0"/>
        <v>0</v>
      </c>
    </row>
    <row r="45" spans="1:16" ht="15.75" thickBot="1" x14ac:dyDescent="0.3">
      <c r="A45" s="35">
        <v>1000146</v>
      </c>
      <c r="B45" s="12" t="s">
        <v>39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1000041</v>
      </c>
      <c r="B46" s="12" t="s">
        <v>16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>
        <v>5</v>
      </c>
      <c r="O46" s="28"/>
      <c r="P46" s="418">
        <f t="shared" si="0"/>
        <v>5</v>
      </c>
    </row>
    <row r="47" spans="1:16" ht="15.75" thickBot="1" x14ac:dyDescent="0.3">
      <c r="A47" s="35">
        <v>1000205</v>
      </c>
      <c r="B47" s="12" t="s">
        <v>82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1000383</v>
      </c>
      <c r="B48" s="12" t="s">
        <v>234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418">
        <f t="shared" si="0"/>
        <v>0</v>
      </c>
    </row>
    <row r="49" spans="1:16" ht="15.75" thickBot="1" x14ac:dyDescent="0.3">
      <c r="A49" s="35">
        <v>1000080</v>
      </c>
      <c r="B49" s="12" t="s">
        <v>275</v>
      </c>
      <c r="C49" s="41"/>
      <c r="D49" s="47"/>
      <c r="F49" s="28">
        <v>48</v>
      </c>
      <c r="G49" s="28"/>
      <c r="H49" s="28"/>
      <c r="I49" s="28"/>
      <c r="J49" s="28">
        <v>48</v>
      </c>
      <c r="K49" s="28"/>
      <c r="L49" s="28">
        <v>48</v>
      </c>
      <c r="M49" s="28"/>
      <c r="N49" s="28"/>
      <c r="O49" s="28"/>
      <c r="P49" s="30">
        <f t="shared" si="0"/>
        <v>144</v>
      </c>
    </row>
    <row r="50" spans="1:16" ht="15.75" thickBot="1" x14ac:dyDescent="0.3">
      <c r="A50" s="35">
        <v>1000436</v>
      </c>
      <c r="B50" s="12" t="s">
        <v>276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1000550</v>
      </c>
      <c r="B51" s="12" t="s">
        <v>277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1000551</v>
      </c>
      <c r="B52" s="12" t="s">
        <v>278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243">
        <v>1000552</v>
      </c>
      <c r="B53" s="251" t="s">
        <v>279</v>
      </c>
      <c r="C53" s="215"/>
      <c r="D53" s="38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243"/>
      <c r="B54" s="251" t="s">
        <v>494</v>
      </c>
      <c r="D54" s="38"/>
      <c r="F54" s="28"/>
      <c r="G54" s="28"/>
      <c r="H54" s="28">
        <v>1</v>
      </c>
      <c r="I54" s="28"/>
      <c r="J54" s="28"/>
      <c r="K54" s="28"/>
      <c r="L54" s="28"/>
      <c r="M54" s="28"/>
      <c r="N54" s="28"/>
      <c r="O54" s="28"/>
      <c r="P54" s="30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DEAE-A968-4F30-8737-36B0C24D007C}">
  <sheetPr>
    <tabColor rgb="FFFF0000"/>
    <pageSetUpPr fitToPage="1"/>
  </sheetPr>
  <dimension ref="A1:Q49"/>
  <sheetViews>
    <sheetView topLeftCell="A19" zoomScale="85" zoomScaleNormal="85" workbookViewId="0">
      <selection activeCell="R38" sqref="R38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125" style="27" customWidth="1"/>
    <col min="4" max="4" width="8.375" style="27" bestFit="1" customWidth="1"/>
    <col min="5" max="5" width="1.375" style="27" customWidth="1"/>
    <col min="6" max="6" width="7.75" style="27" customWidth="1"/>
    <col min="7" max="7" width="6.125" style="27" customWidth="1"/>
    <col min="8" max="8" width="7.375" style="27" customWidth="1"/>
    <col min="9" max="9" width="6.25" style="27" customWidth="1"/>
    <col min="10" max="10" width="7.375" style="27" customWidth="1"/>
    <col min="11" max="11" width="6.375" style="27" customWidth="1"/>
    <col min="12" max="12" width="8.125" style="27" customWidth="1"/>
    <col min="13" max="13" width="6.25" style="27" customWidth="1"/>
    <col min="14" max="14" width="8.125" style="27" customWidth="1"/>
    <col min="15" max="15" width="7.25" style="27" customWidth="1"/>
    <col min="16" max="16384" width="10.875" style="27"/>
  </cols>
  <sheetData>
    <row r="1" spans="1:17" ht="15" customHeight="1" x14ac:dyDescent="0.45">
      <c r="A1" s="686" t="s">
        <v>134</v>
      </c>
      <c r="B1" s="687"/>
      <c r="C1" s="18"/>
      <c r="D1" s="18"/>
      <c r="F1" s="737" t="s">
        <v>474</v>
      </c>
      <c r="G1" s="738"/>
      <c r="H1" s="738"/>
      <c r="I1" s="738"/>
      <c r="J1" s="739"/>
      <c r="K1" s="2"/>
    </row>
    <row r="2" spans="1:17" s="3" customFormat="1" ht="16.5" customHeight="1" thickBot="1" x14ac:dyDescent="0.5">
      <c r="A2" s="688"/>
      <c r="B2" s="689"/>
      <c r="C2" s="18"/>
      <c r="D2" s="417" t="s">
        <v>305</v>
      </c>
      <c r="F2" s="740"/>
      <c r="G2" s="741"/>
      <c r="H2" s="741"/>
      <c r="I2" s="741"/>
      <c r="J2" s="742"/>
      <c r="K2" s="2"/>
    </row>
    <row r="3" spans="1:17" s="3" customFormat="1" ht="21.75" customHeight="1" thickBot="1" x14ac:dyDescent="0.3">
      <c r="A3" s="5"/>
      <c r="B3" s="5" t="s">
        <v>328</v>
      </c>
      <c r="C3" s="18"/>
      <c r="D3" s="18"/>
      <c r="P3" s="379" t="s">
        <v>170</v>
      </c>
      <c r="Q3" s="380" t="s">
        <v>171</v>
      </c>
    </row>
    <row r="4" spans="1:17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7" ht="15.75" thickBot="1" x14ac:dyDescent="0.3">
      <c r="A5" s="30">
        <v>10000015</v>
      </c>
      <c r="B5" s="23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49" si="0">SUM(F5:O5)</f>
        <v>0</v>
      </c>
    </row>
    <row r="6" spans="1:17" ht="15.75" thickBot="1" x14ac:dyDescent="0.3">
      <c r="A6" s="35">
        <v>10000102</v>
      </c>
      <c r="B6" s="2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7" ht="15.75" thickBot="1" x14ac:dyDescent="0.3">
      <c r="A7" s="35">
        <v>1000006</v>
      </c>
      <c r="B7" s="22" t="s">
        <v>4</v>
      </c>
      <c r="C7" s="41"/>
      <c r="D7" s="47">
        <v>100</v>
      </c>
      <c r="F7" s="28">
        <v>100</v>
      </c>
      <c r="G7" s="28"/>
      <c r="H7" s="28">
        <v>100</v>
      </c>
      <c r="I7" s="28"/>
      <c r="J7" s="28">
        <v>100</v>
      </c>
      <c r="K7" s="28"/>
      <c r="L7" s="28">
        <v>100</v>
      </c>
      <c r="M7" s="28"/>
      <c r="N7" s="28">
        <v>100</v>
      </c>
      <c r="O7" s="28"/>
      <c r="P7" s="418">
        <f t="shared" si="0"/>
        <v>500</v>
      </c>
    </row>
    <row r="8" spans="1:17" ht="15.75" thickBot="1" x14ac:dyDescent="0.3">
      <c r="A8" s="35">
        <v>1000007</v>
      </c>
      <c r="B8" s="22" t="s">
        <v>5</v>
      </c>
      <c r="C8" s="41"/>
      <c r="D8" s="47">
        <v>40</v>
      </c>
      <c r="F8" s="28">
        <v>50</v>
      </c>
      <c r="G8" s="28"/>
      <c r="H8" s="28">
        <v>50</v>
      </c>
      <c r="I8" s="28"/>
      <c r="J8" s="28">
        <v>50</v>
      </c>
      <c r="K8" s="28"/>
      <c r="L8" s="28">
        <v>50</v>
      </c>
      <c r="M8" s="28"/>
      <c r="N8" s="28">
        <v>50</v>
      </c>
      <c r="O8" s="28"/>
      <c r="P8" s="418">
        <f t="shared" si="0"/>
        <v>250</v>
      </c>
    </row>
    <row r="9" spans="1:17" ht="15.75" thickBot="1" x14ac:dyDescent="0.3">
      <c r="A9" s="35">
        <v>1000008</v>
      </c>
      <c r="B9" s="22" t="s">
        <v>7</v>
      </c>
      <c r="C9" s="41"/>
      <c r="D9" s="47">
        <v>30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418">
        <f t="shared" si="0"/>
        <v>0</v>
      </c>
    </row>
    <row r="10" spans="1:17" ht="15.75" thickBot="1" x14ac:dyDescent="0.3">
      <c r="A10" s="35">
        <v>1000001</v>
      </c>
      <c r="B10" s="22" t="s">
        <v>8</v>
      </c>
      <c r="C10" s="41"/>
      <c r="D10" s="47">
        <v>2</v>
      </c>
      <c r="F10" s="28">
        <v>3</v>
      </c>
      <c r="G10" s="28"/>
      <c r="H10" s="28">
        <v>3</v>
      </c>
      <c r="I10" s="28"/>
      <c r="J10" s="28">
        <v>2</v>
      </c>
      <c r="K10" s="28"/>
      <c r="L10" s="28">
        <v>3</v>
      </c>
      <c r="M10" s="28"/>
      <c r="N10" s="28">
        <v>2</v>
      </c>
      <c r="O10" s="28"/>
      <c r="P10" s="418">
        <f t="shared" si="0"/>
        <v>13</v>
      </c>
    </row>
    <row r="11" spans="1:17" ht="15.75" thickBot="1" x14ac:dyDescent="0.3">
      <c r="A11" s="35">
        <v>1000002</v>
      </c>
      <c r="B11" s="22" t="s">
        <v>9</v>
      </c>
      <c r="C11" s="41"/>
      <c r="D11" s="47">
        <v>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418">
        <f t="shared" si="0"/>
        <v>0</v>
      </c>
    </row>
    <row r="12" spans="1:17" ht="15.75" thickBot="1" x14ac:dyDescent="0.3">
      <c r="A12" s="35">
        <v>1000004</v>
      </c>
      <c r="B12" s="22" t="s">
        <v>10</v>
      </c>
      <c r="C12" s="41"/>
      <c r="D12" s="47">
        <v>0</v>
      </c>
      <c r="F12" s="28">
        <v>3</v>
      </c>
      <c r="G12" s="28"/>
      <c r="H12" s="28">
        <v>3</v>
      </c>
      <c r="I12" s="28"/>
      <c r="J12" s="28">
        <v>2</v>
      </c>
      <c r="K12" s="28"/>
      <c r="L12" s="28">
        <v>3</v>
      </c>
      <c r="M12" s="28"/>
      <c r="N12" s="28">
        <v>2</v>
      </c>
      <c r="O12" s="28"/>
      <c r="P12" s="418">
        <f t="shared" si="0"/>
        <v>13</v>
      </c>
    </row>
    <row r="13" spans="1:17" ht="15.75" thickBot="1" x14ac:dyDescent="0.3">
      <c r="A13" s="35">
        <v>1000067</v>
      </c>
      <c r="B13" s="22" t="s">
        <v>11</v>
      </c>
      <c r="C13" s="41"/>
      <c r="D13" s="47">
        <v>0</v>
      </c>
      <c r="F13" s="28">
        <v>1</v>
      </c>
      <c r="G13" s="28"/>
      <c r="H13" s="28">
        <v>1</v>
      </c>
      <c r="I13" s="28"/>
      <c r="J13" s="28"/>
      <c r="K13" s="28"/>
      <c r="L13" s="28">
        <v>1</v>
      </c>
      <c r="M13" s="28"/>
      <c r="N13" s="28">
        <v>1</v>
      </c>
      <c r="O13" s="28"/>
      <c r="P13" s="418">
        <f t="shared" si="0"/>
        <v>4</v>
      </c>
    </row>
    <row r="14" spans="1:17" ht="15.75" thickBot="1" x14ac:dyDescent="0.3">
      <c r="A14" s="35">
        <v>1000054</v>
      </c>
      <c r="B14" s="22" t="s">
        <v>12</v>
      </c>
      <c r="C14" s="41"/>
      <c r="D14" s="47">
        <v>10</v>
      </c>
      <c r="F14" s="28">
        <v>10</v>
      </c>
      <c r="G14" s="28"/>
      <c r="H14" s="28">
        <v>10</v>
      </c>
      <c r="I14" s="28"/>
      <c r="J14" s="28">
        <v>10</v>
      </c>
      <c r="K14" s="28"/>
      <c r="L14" s="28">
        <v>10</v>
      </c>
      <c r="M14" s="28"/>
      <c r="N14" s="28">
        <v>10</v>
      </c>
      <c r="O14" s="28"/>
      <c r="P14" s="418">
        <f t="shared" si="0"/>
        <v>50</v>
      </c>
    </row>
    <row r="15" spans="1:17" ht="15.75" thickBot="1" x14ac:dyDescent="0.3">
      <c r="A15" s="35">
        <v>1000070</v>
      </c>
      <c r="B15" s="22" t="s">
        <v>13</v>
      </c>
      <c r="C15" s="41"/>
      <c r="D15" s="47">
        <v>0</v>
      </c>
      <c r="F15" s="28">
        <v>1</v>
      </c>
      <c r="G15" s="28"/>
      <c r="H15" s="28">
        <v>1</v>
      </c>
      <c r="I15" s="28"/>
      <c r="J15" s="28">
        <v>1</v>
      </c>
      <c r="K15" s="28"/>
      <c r="L15" s="28">
        <v>1</v>
      </c>
      <c r="M15" s="28"/>
      <c r="N15" s="28">
        <v>1</v>
      </c>
      <c r="O15" s="28"/>
      <c r="P15" s="418">
        <f t="shared" si="0"/>
        <v>5</v>
      </c>
    </row>
    <row r="16" spans="1:17" ht="15.75" thickBot="1" x14ac:dyDescent="0.3">
      <c r="A16" s="35">
        <v>1000017</v>
      </c>
      <c r="B16" s="22" t="s">
        <v>14</v>
      </c>
      <c r="C16" s="41"/>
      <c r="D16" s="47">
        <v>35</v>
      </c>
      <c r="F16" s="28">
        <v>10</v>
      </c>
      <c r="G16" s="28"/>
      <c r="H16" s="28">
        <v>10</v>
      </c>
      <c r="I16" s="28"/>
      <c r="J16" s="28">
        <v>10</v>
      </c>
      <c r="K16" s="28"/>
      <c r="L16" s="28">
        <v>10</v>
      </c>
      <c r="M16" s="28"/>
      <c r="N16" s="28">
        <v>10</v>
      </c>
      <c r="O16" s="28"/>
      <c r="P16" s="418">
        <f t="shared" si="0"/>
        <v>50</v>
      </c>
    </row>
    <row r="17" spans="1:16" ht="15.75" thickBot="1" x14ac:dyDescent="0.3">
      <c r="A17" s="35">
        <v>1000016</v>
      </c>
      <c r="B17" s="22" t="s">
        <v>15</v>
      </c>
      <c r="C17" s="41"/>
      <c r="D17" s="47">
        <v>2</v>
      </c>
      <c r="F17" s="28"/>
      <c r="G17" s="28"/>
      <c r="H17" s="28">
        <v>5</v>
      </c>
      <c r="I17" s="28"/>
      <c r="J17" s="28"/>
      <c r="K17" s="28"/>
      <c r="L17" s="28">
        <v>5</v>
      </c>
      <c r="M17" s="28"/>
      <c r="N17" s="28">
        <v>5</v>
      </c>
      <c r="O17" s="28"/>
      <c r="P17" s="30">
        <f t="shared" si="0"/>
        <v>15</v>
      </c>
    </row>
    <row r="18" spans="1:16" ht="15.75" thickBot="1" x14ac:dyDescent="0.3">
      <c r="A18" s="35">
        <v>1000025</v>
      </c>
      <c r="B18" s="22" t="s">
        <v>32</v>
      </c>
      <c r="C18" s="41"/>
      <c r="D18" s="47">
        <v>1</v>
      </c>
      <c r="F18" s="28"/>
      <c r="G18" s="28"/>
      <c r="H18" s="28"/>
      <c r="I18" s="28"/>
      <c r="J18" s="28"/>
      <c r="K18" s="28"/>
      <c r="L18" s="28">
        <v>5</v>
      </c>
      <c r="M18" s="28"/>
      <c r="N18" s="28">
        <v>5</v>
      </c>
      <c r="O18" s="28"/>
      <c r="P18" s="418">
        <f t="shared" si="0"/>
        <v>10</v>
      </c>
    </row>
    <row r="19" spans="1:16" ht="15.75" thickBot="1" x14ac:dyDescent="0.3">
      <c r="A19" s="35">
        <v>1000101</v>
      </c>
      <c r="B19" s="22" t="s">
        <v>35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>
        <v>2</v>
      </c>
      <c r="O19" s="28"/>
      <c r="P19" s="30">
        <f t="shared" si="0"/>
        <v>2</v>
      </c>
    </row>
    <row r="20" spans="1:16" ht="15.75" thickBot="1" x14ac:dyDescent="0.3">
      <c r="A20" s="35">
        <v>1000146</v>
      </c>
      <c r="B20" s="22" t="s">
        <v>39</v>
      </c>
      <c r="C20" s="41"/>
      <c r="D20" s="47">
        <v>5</v>
      </c>
      <c r="F20" s="28"/>
      <c r="G20" s="28"/>
      <c r="H20" s="28">
        <v>10</v>
      </c>
      <c r="I20" s="28"/>
      <c r="J20" s="28">
        <v>10</v>
      </c>
      <c r="K20" s="28"/>
      <c r="L20" s="28"/>
      <c r="M20" s="28"/>
      <c r="N20" s="28">
        <v>10</v>
      </c>
      <c r="O20" s="28"/>
      <c r="P20" s="418">
        <f t="shared" si="0"/>
        <v>30</v>
      </c>
    </row>
    <row r="21" spans="1:16" ht="15.75" thickBot="1" x14ac:dyDescent="0.3">
      <c r="A21" s="35">
        <v>1000090</v>
      </c>
      <c r="B21" s="22" t="s">
        <v>40</v>
      </c>
      <c r="C21" s="41"/>
      <c r="D21" s="47">
        <v>1</v>
      </c>
      <c r="F21" s="28">
        <v>3</v>
      </c>
      <c r="G21" s="28"/>
      <c r="H21" s="28">
        <v>3</v>
      </c>
      <c r="I21" s="28"/>
      <c r="J21" s="28">
        <v>3</v>
      </c>
      <c r="K21" s="28"/>
      <c r="L21" s="28">
        <v>3</v>
      </c>
      <c r="M21" s="28"/>
      <c r="N21" s="28">
        <v>2</v>
      </c>
      <c r="O21" s="28"/>
      <c r="P21" s="418">
        <f t="shared" si="0"/>
        <v>14</v>
      </c>
    </row>
    <row r="22" spans="1:16" ht="15.75" thickBot="1" x14ac:dyDescent="0.3">
      <c r="A22" s="35">
        <v>1000052</v>
      </c>
      <c r="B22" s="22" t="s">
        <v>41</v>
      </c>
      <c r="C22" s="41"/>
      <c r="D22" s="47">
        <v>1</v>
      </c>
      <c r="F22" s="28">
        <v>2</v>
      </c>
      <c r="G22" s="28"/>
      <c r="H22" s="28"/>
      <c r="I22" s="28"/>
      <c r="J22" s="28">
        <v>2</v>
      </c>
      <c r="K22" s="28"/>
      <c r="L22" s="28">
        <v>2</v>
      </c>
      <c r="M22" s="28"/>
      <c r="N22" s="28">
        <v>2</v>
      </c>
      <c r="O22" s="28"/>
      <c r="P22" s="418">
        <f t="shared" si="0"/>
        <v>8</v>
      </c>
    </row>
    <row r="23" spans="1:16" ht="15.75" thickBot="1" x14ac:dyDescent="0.3">
      <c r="A23" s="35">
        <v>1000089</v>
      </c>
      <c r="B23" s="22" t="s">
        <v>42</v>
      </c>
      <c r="C23" s="41"/>
      <c r="D23" s="47">
        <v>1</v>
      </c>
      <c r="F23" s="28">
        <v>2</v>
      </c>
      <c r="G23" s="28"/>
      <c r="H23" s="28">
        <v>2</v>
      </c>
      <c r="I23" s="28"/>
      <c r="J23" s="28">
        <v>1</v>
      </c>
      <c r="K23" s="28"/>
      <c r="L23" s="28">
        <v>2</v>
      </c>
      <c r="M23" s="28"/>
      <c r="N23" s="28">
        <v>2</v>
      </c>
      <c r="O23" s="28"/>
      <c r="P23" s="418">
        <f t="shared" si="0"/>
        <v>9</v>
      </c>
    </row>
    <row r="24" spans="1:16" ht="15.75" thickBot="1" x14ac:dyDescent="0.3">
      <c r="A24" s="35">
        <v>1000051</v>
      </c>
      <c r="B24" s="22" t="s">
        <v>43</v>
      </c>
      <c r="C24" s="41"/>
      <c r="D24" s="47">
        <v>0</v>
      </c>
      <c r="F24" s="28">
        <v>2</v>
      </c>
      <c r="G24" s="28"/>
      <c r="H24" s="28">
        <v>2</v>
      </c>
      <c r="I24" s="28"/>
      <c r="J24" s="28"/>
      <c r="K24" s="28"/>
      <c r="L24" s="28"/>
      <c r="M24" s="28"/>
      <c r="N24" s="28"/>
      <c r="O24" s="28"/>
      <c r="P24" s="30">
        <f t="shared" si="0"/>
        <v>4</v>
      </c>
    </row>
    <row r="25" spans="1:16" ht="15.75" thickBot="1" x14ac:dyDescent="0.3">
      <c r="A25" s="35">
        <v>1000042</v>
      </c>
      <c r="B25" s="22" t="s">
        <v>44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1000048</v>
      </c>
      <c r="B26" s="22" t="s">
        <v>45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>
        <v>2</v>
      </c>
      <c r="O26" s="28"/>
      <c r="P26" s="418">
        <f t="shared" si="0"/>
        <v>2</v>
      </c>
    </row>
    <row r="27" spans="1:16" ht="15.75" thickBot="1" x14ac:dyDescent="0.3">
      <c r="A27" s="35">
        <v>1000214</v>
      </c>
      <c r="B27" s="22" t="s">
        <v>49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1000142</v>
      </c>
      <c r="B28" s="22" t="s">
        <v>54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418">
        <f t="shared" si="0"/>
        <v>0</v>
      </c>
    </row>
    <row r="29" spans="1:16" ht="15.75" thickBot="1" x14ac:dyDescent="0.3">
      <c r="A29" s="35">
        <v>1000057</v>
      </c>
      <c r="B29" s="22" t="s">
        <v>70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1000073</v>
      </c>
      <c r="B30" s="22" t="s">
        <v>36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418">
        <f t="shared" si="0"/>
        <v>0</v>
      </c>
    </row>
    <row r="31" spans="1:16" ht="15.75" thickBot="1" x14ac:dyDescent="0.3">
      <c r="A31" s="35">
        <v>1000030</v>
      </c>
      <c r="B31" s="22" t="s">
        <v>24</v>
      </c>
      <c r="C31" s="41"/>
      <c r="D31" s="47">
        <v>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1000031</v>
      </c>
      <c r="B32" s="22" t="s">
        <v>25</v>
      </c>
      <c r="C32" s="41"/>
      <c r="D32" s="47">
        <v>3</v>
      </c>
      <c r="F32" s="28"/>
      <c r="G32" s="28"/>
      <c r="H32" s="28"/>
      <c r="I32" s="28"/>
      <c r="J32" s="28">
        <v>2</v>
      </c>
      <c r="K32" s="28"/>
      <c r="L32" s="28"/>
      <c r="M32" s="28"/>
      <c r="N32" s="28"/>
      <c r="O32" s="28"/>
      <c r="P32" s="30">
        <f t="shared" si="0"/>
        <v>2</v>
      </c>
    </row>
    <row r="33" spans="1:16" ht="15.75" thickBot="1" x14ac:dyDescent="0.3">
      <c r="A33" s="35">
        <v>1000084</v>
      </c>
      <c r="B33" s="22" t="s">
        <v>38</v>
      </c>
      <c r="C33" s="41"/>
      <c r="D33" s="47"/>
      <c r="F33" s="28">
        <v>4</v>
      </c>
      <c r="G33" s="28"/>
      <c r="H33" s="28">
        <v>4</v>
      </c>
      <c r="I33" s="28"/>
      <c r="J33" s="28">
        <v>4</v>
      </c>
      <c r="K33" s="28"/>
      <c r="L33" s="28">
        <v>8</v>
      </c>
      <c r="M33" s="28"/>
      <c r="N33" s="28">
        <v>4</v>
      </c>
      <c r="O33" s="28"/>
      <c r="P33" s="418">
        <f t="shared" si="0"/>
        <v>24</v>
      </c>
    </row>
    <row r="34" spans="1:16" ht="15.75" thickBot="1" x14ac:dyDescent="0.3">
      <c r="A34" s="35">
        <v>1000045</v>
      </c>
      <c r="B34" s="22" t="s">
        <v>23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1000033</v>
      </c>
      <c r="B35" s="22" t="s">
        <v>27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1000050</v>
      </c>
      <c r="B36" s="22" t="s">
        <v>22</v>
      </c>
      <c r="C36" s="41"/>
      <c r="D36" s="47"/>
      <c r="F36" s="28">
        <v>1</v>
      </c>
      <c r="G36" s="28"/>
      <c r="H36" s="28">
        <v>1</v>
      </c>
      <c r="I36" s="28"/>
      <c r="J36" s="28">
        <v>1</v>
      </c>
      <c r="K36" s="28"/>
      <c r="L36" s="28">
        <v>1</v>
      </c>
      <c r="M36" s="28"/>
      <c r="N36" s="28">
        <v>1</v>
      </c>
      <c r="O36" s="28"/>
      <c r="P36" s="418">
        <f t="shared" si="0"/>
        <v>5</v>
      </c>
    </row>
    <row r="37" spans="1:16" ht="15.75" thickBot="1" x14ac:dyDescent="0.3">
      <c r="A37" s="35">
        <v>1000472</v>
      </c>
      <c r="B37" s="22" t="s">
        <v>222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10248</v>
      </c>
      <c r="B38" s="22" t="s">
        <v>183</v>
      </c>
      <c r="C38" s="41"/>
      <c r="D38" s="47"/>
      <c r="F38" s="28">
        <v>3</v>
      </c>
      <c r="G38" s="28"/>
      <c r="H38" s="28">
        <v>3</v>
      </c>
      <c r="I38" s="28"/>
      <c r="J38" s="28">
        <v>3</v>
      </c>
      <c r="K38" s="28"/>
      <c r="L38" s="28">
        <v>3</v>
      </c>
      <c r="M38" s="28"/>
      <c r="N38" s="28">
        <v>3</v>
      </c>
      <c r="O38" s="28"/>
      <c r="P38" s="418">
        <f t="shared" si="0"/>
        <v>15</v>
      </c>
    </row>
    <row r="39" spans="1:16" ht="15.75" thickBot="1" x14ac:dyDescent="0.3">
      <c r="A39" s="35">
        <v>1000100</v>
      </c>
      <c r="B39" s="22" t="s">
        <v>34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1000383</v>
      </c>
      <c r="B40" s="22" t="s">
        <v>264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1000486</v>
      </c>
      <c r="B41" s="22" t="s">
        <v>263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1000105</v>
      </c>
      <c r="B42" s="22" t="s">
        <v>58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1000080</v>
      </c>
      <c r="B43" s="22" t="s">
        <v>275</v>
      </c>
      <c r="C43" s="41"/>
      <c r="D43" s="47"/>
      <c r="F43" s="28">
        <v>48</v>
      </c>
      <c r="G43" s="28"/>
      <c r="H43" s="28">
        <v>48</v>
      </c>
      <c r="I43" s="28"/>
      <c r="J43" s="28">
        <v>48</v>
      </c>
      <c r="K43" s="28"/>
      <c r="L43" s="28">
        <v>48</v>
      </c>
      <c r="M43" s="28"/>
      <c r="N43" s="28">
        <v>48</v>
      </c>
      <c r="O43" s="28"/>
      <c r="P43" s="418">
        <f t="shared" si="0"/>
        <v>240</v>
      </c>
    </row>
    <row r="44" spans="1:16" ht="15.75" thickBot="1" x14ac:dyDescent="0.3">
      <c r="A44" s="35">
        <v>1000436</v>
      </c>
      <c r="B44" s="22" t="s">
        <v>276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1000550</v>
      </c>
      <c r="B45" s="22" t="s">
        <v>277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1000551</v>
      </c>
      <c r="B46" s="22" t="s">
        <v>278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s="200" customFormat="1" ht="15.75" thickBot="1" x14ac:dyDescent="0.3">
      <c r="A47" s="38">
        <v>1000552</v>
      </c>
      <c r="B47" s="17" t="s">
        <v>279</v>
      </c>
      <c r="C47" s="41"/>
      <c r="D47" s="46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1000049</v>
      </c>
      <c r="B48" s="12" t="s">
        <v>21</v>
      </c>
      <c r="D48" s="46"/>
      <c r="F48" s="28">
        <v>1</v>
      </c>
      <c r="G48" s="28"/>
      <c r="H48" s="28">
        <v>1</v>
      </c>
      <c r="I48" s="28"/>
      <c r="J48" s="28">
        <v>1</v>
      </c>
      <c r="K48" s="28"/>
      <c r="L48" s="28">
        <v>1</v>
      </c>
      <c r="M48" s="28"/>
      <c r="N48" s="28">
        <v>1</v>
      </c>
      <c r="O48" s="28"/>
      <c r="P48" s="418">
        <f t="shared" si="0"/>
        <v>5</v>
      </c>
    </row>
    <row r="49" spans="1:16" ht="15.75" thickBot="1" x14ac:dyDescent="0.3">
      <c r="A49" s="38"/>
      <c r="B49" s="17" t="s">
        <v>495</v>
      </c>
      <c r="D49" s="46"/>
      <c r="F49" s="28"/>
      <c r="G49" s="28"/>
      <c r="H49" s="28">
        <v>2</v>
      </c>
      <c r="I49" s="28"/>
      <c r="J49" s="28">
        <v>1</v>
      </c>
      <c r="K49" s="28"/>
      <c r="L49" s="28"/>
      <c r="M49" s="28"/>
      <c r="N49" s="28"/>
      <c r="O49" s="28"/>
      <c r="P49" s="30">
        <f t="shared" si="0"/>
        <v>3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7502-FAD6-4DCD-9BAC-2930186DA41D}">
  <sheetPr>
    <tabColor rgb="FFFF0000"/>
    <pageSetUpPr fitToPage="1"/>
  </sheetPr>
  <dimension ref="A1:R58"/>
  <sheetViews>
    <sheetView workbookViewId="0">
      <selection activeCell="R29" sqref="R29"/>
    </sheetView>
  </sheetViews>
  <sheetFormatPr baseColWidth="10" defaultColWidth="10.875" defaultRowHeight="15" x14ac:dyDescent="0.25"/>
  <cols>
    <col min="1" max="1" width="9.375" style="132" customWidth="1"/>
    <col min="2" max="2" width="32.375" style="132" customWidth="1"/>
    <col min="3" max="3" width="1.375" style="132" customWidth="1"/>
    <col min="4" max="4" width="7.375" style="132" customWidth="1"/>
    <col min="5" max="5" width="2.125" style="132" customWidth="1"/>
    <col min="6" max="6" width="8.125" style="132" customWidth="1"/>
    <col min="7" max="7" width="4" style="132" customWidth="1"/>
    <col min="8" max="8" width="8" style="132" customWidth="1"/>
    <col min="9" max="9" width="4.125" style="132" customWidth="1"/>
    <col min="10" max="10" width="7.5" style="132" customWidth="1"/>
    <col min="11" max="11" width="4.25" style="132" customWidth="1"/>
    <col min="12" max="12" width="7" style="132" customWidth="1"/>
    <col min="13" max="13" width="5.125" style="132" customWidth="1"/>
    <col min="14" max="14" width="8.25" style="132" customWidth="1"/>
    <col min="15" max="15" width="4.25" style="132" customWidth="1"/>
    <col min="16" max="16" width="8" style="132" customWidth="1"/>
    <col min="17" max="16384" width="10.875" style="132"/>
  </cols>
  <sheetData>
    <row r="1" spans="1:16" ht="15" customHeight="1" x14ac:dyDescent="0.45">
      <c r="A1" s="686" t="s">
        <v>233</v>
      </c>
      <c r="B1" s="687"/>
      <c r="C1" s="18"/>
      <c r="F1" s="764" t="s">
        <v>474</v>
      </c>
      <c r="G1" s="765"/>
      <c r="H1" s="765"/>
      <c r="I1" s="765"/>
      <c r="J1" s="766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17" t="s">
        <v>305</v>
      </c>
      <c r="F2" s="767"/>
      <c r="G2" s="768"/>
      <c r="H2" s="768"/>
      <c r="I2" s="768"/>
      <c r="J2" s="769"/>
      <c r="K2" s="2"/>
      <c r="L2"/>
    </row>
    <row r="3" spans="1:16" s="3" customFormat="1" ht="21" customHeight="1" thickBot="1" x14ac:dyDescent="0.3">
      <c r="A3" s="5"/>
      <c r="B3" s="5" t="s">
        <v>329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132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133">
        <v>10000015</v>
      </c>
      <c r="B5" s="11" t="s">
        <v>1</v>
      </c>
      <c r="C5" s="134"/>
      <c r="D5" s="143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3">
        <f t="shared" ref="P5:P58" si="0">SUM(F5:O5)</f>
        <v>0</v>
      </c>
    </row>
    <row r="6" spans="1:16" ht="15.75" thickBot="1" x14ac:dyDescent="0.3">
      <c r="A6" s="138">
        <v>10000102</v>
      </c>
      <c r="B6" s="12" t="s">
        <v>2</v>
      </c>
      <c r="C6" s="134"/>
      <c r="D6" s="143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3">
        <f t="shared" si="0"/>
        <v>0</v>
      </c>
    </row>
    <row r="7" spans="1:16" ht="15.75" thickBot="1" x14ac:dyDescent="0.3">
      <c r="A7" s="138">
        <v>1000006</v>
      </c>
      <c r="B7" s="12" t="s">
        <v>4</v>
      </c>
      <c r="C7" s="134"/>
      <c r="D7" s="143"/>
      <c r="F7" s="136">
        <v>100</v>
      </c>
      <c r="G7" s="136"/>
      <c r="H7" s="136">
        <v>150</v>
      </c>
      <c r="I7" s="136"/>
      <c r="J7" s="136">
        <v>100</v>
      </c>
      <c r="K7" s="136"/>
      <c r="L7" s="136">
        <v>100</v>
      </c>
      <c r="M7" s="136"/>
      <c r="N7" s="136">
        <v>50</v>
      </c>
      <c r="O7" s="136"/>
      <c r="P7" s="604">
        <f t="shared" si="0"/>
        <v>500</v>
      </c>
    </row>
    <row r="8" spans="1:16" ht="15.75" thickBot="1" x14ac:dyDescent="0.3">
      <c r="A8" s="138">
        <v>1000007</v>
      </c>
      <c r="B8" s="12" t="s">
        <v>5</v>
      </c>
      <c r="C8" s="134"/>
      <c r="D8" s="143"/>
      <c r="F8" s="136">
        <v>50</v>
      </c>
      <c r="G8" s="136"/>
      <c r="H8" s="136">
        <v>50</v>
      </c>
      <c r="I8" s="136"/>
      <c r="J8" s="136">
        <v>50</v>
      </c>
      <c r="K8" s="136"/>
      <c r="L8" s="136">
        <v>50</v>
      </c>
      <c r="M8" s="136"/>
      <c r="N8" s="136">
        <v>50</v>
      </c>
      <c r="O8" s="136"/>
      <c r="P8" s="604">
        <f t="shared" si="0"/>
        <v>250</v>
      </c>
    </row>
    <row r="9" spans="1:16" ht="15.75" thickBot="1" x14ac:dyDescent="0.3">
      <c r="A9" s="138">
        <v>1000001</v>
      </c>
      <c r="B9" s="12" t="s">
        <v>8</v>
      </c>
      <c r="C9" s="134"/>
      <c r="D9" s="143"/>
      <c r="F9" s="136">
        <v>3</v>
      </c>
      <c r="G9" s="136"/>
      <c r="H9" s="136">
        <v>3</v>
      </c>
      <c r="I9" s="136"/>
      <c r="J9" s="136">
        <v>2</v>
      </c>
      <c r="K9" s="136"/>
      <c r="L9" s="136">
        <v>3</v>
      </c>
      <c r="M9" s="136"/>
      <c r="N9" s="136">
        <v>2</v>
      </c>
      <c r="O9" s="136"/>
      <c r="P9" s="604">
        <f t="shared" si="0"/>
        <v>13</v>
      </c>
    </row>
    <row r="10" spans="1:16" ht="15.75" thickBot="1" x14ac:dyDescent="0.3">
      <c r="A10" s="138">
        <v>1000002</v>
      </c>
      <c r="B10" s="12" t="s">
        <v>9</v>
      </c>
      <c r="C10" s="134"/>
      <c r="D10" s="143"/>
      <c r="F10" s="136"/>
      <c r="G10" s="136"/>
      <c r="H10" s="136"/>
      <c r="I10" s="136"/>
      <c r="J10" s="136"/>
      <c r="K10" s="136"/>
      <c r="L10" s="136">
        <v>3</v>
      </c>
      <c r="M10" s="136"/>
      <c r="N10" s="136">
        <v>1</v>
      </c>
      <c r="O10" s="136"/>
      <c r="P10" s="604">
        <f t="shared" si="0"/>
        <v>4</v>
      </c>
    </row>
    <row r="11" spans="1:16" ht="15.75" thickBot="1" x14ac:dyDescent="0.3">
      <c r="A11" s="138">
        <v>1000054</v>
      </c>
      <c r="B11" s="12" t="s">
        <v>12</v>
      </c>
      <c r="C11" s="134"/>
      <c r="D11" s="143"/>
      <c r="F11" s="136"/>
      <c r="G11" s="136"/>
      <c r="H11" s="136">
        <v>10</v>
      </c>
      <c r="I11" s="136"/>
      <c r="J11" s="136"/>
      <c r="K11" s="136"/>
      <c r="L11" s="136"/>
      <c r="M11" s="136"/>
      <c r="N11" s="136"/>
      <c r="O11" s="136"/>
      <c r="P11" s="604">
        <f t="shared" si="0"/>
        <v>10</v>
      </c>
    </row>
    <row r="12" spans="1:16" ht="15.75" thickBot="1" x14ac:dyDescent="0.3">
      <c r="A12" s="138">
        <v>1000472</v>
      </c>
      <c r="B12" s="12" t="s">
        <v>222</v>
      </c>
      <c r="C12" s="134"/>
      <c r="D12" s="143"/>
      <c r="F12" s="136"/>
      <c r="G12" s="136"/>
      <c r="H12" s="136"/>
      <c r="I12" s="136"/>
      <c r="J12" s="136">
        <v>1</v>
      </c>
      <c r="K12" s="136"/>
      <c r="L12" s="136">
        <v>1</v>
      </c>
      <c r="M12" s="136"/>
      <c r="N12" s="136"/>
      <c r="O12" s="136"/>
      <c r="P12" s="604">
        <f t="shared" si="0"/>
        <v>2</v>
      </c>
    </row>
    <row r="13" spans="1:16" ht="15.75" thickBot="1" x14ac:dyDescent="0.3">
      <c r="A13" s="138">
        <v>1000017</v>
      </c>
      <c r="B13" s="12" t="s">
        <v>14</v>
      </c>
      <c r="C13" s="134"/>
      <c r="D13" s="143"/>
      <c r="F13" s="136">
        <v>10</v>
      </c>
      <c r="G13" s="136"/>
      <c r="H13" s="136">
        <v>10</v>
      </c>
      <c r="I13" s="136"/>
      <c r="J13" s="136">
        <v>10</v>
      </c>
      <c r="K13" s="136"/>
      <c r="L13" s="136">
        <v>10</v>
      </c>
      <c r="M13" s="136"/>
      <c r="N13" s="136">
        <v>10</v>
      </c>
      <c r="O13" s="136"/>
      <c r="P13" s="604">
        <f t="shared" si="0"/>
        <v>50</v>
      </c>
    </row>
    <row r="14" spans="1:16" ht="15.75" thickBot="1" x14ac:dyDescent="0.3">
      <c r="A14" s="138">
        <v>1000016</v>
      </c>
      <c r="B14" s="12" t="s">
        <v>15</v>
      </c>
      <c r="C14" s="134"/>
      <c r="D14" s="143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3">
        <f t="shared" si="0"/>
        <v>0</v>
      </c>
    </row>
    <row r="15" spans="1:16" ht="15.75" thickBot="1" x14ac:dyDescent="0.3">
      <c r="A15" s="138">
        <v>1000041</v>
      </c>
      <c r="B15" s="12" t="s">
        <v>16</v>
      </c>
      <c r="C15" s="134"/>
      <c r="D15" s="143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3">
        <f t="shared" si="0"/>
        <v>0</v>
      </c>
    </row>
    <row r="16" spans="1:16" ht="15.75" thickBot="1" x14ac:dyDescent="0.3">
      <c r="A16" s="138">
        <v>1000049</v>
      </c>
      <c r="B16" s="12" t="s">
        <v>21</v>
      </c>
      <c r="C16" s="134"/>
      <c r="D16" s="143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3">
        <f t="shared" si="0"/>
        <v>0</v>
      </c>
    </row>
    <row r="17" spans="1:16" ht="15.75" thickBot="1" x14ac:dyDescent="0.3">
      <c r="A17" s="138">
        <v>1000050</v>
      </c>
      <c r="B17" s="12" t="s">
        <v>22</v>
      </c>
      <c r="C17" s="134"/>
      <c r="D17" s="143"/>
      <c r="F17" s="136">
        <v>2</v>
      </c>
      <c r="G17" s="136"/>
      <c r="H17" s="136">
        <v>2</v>
      </c>
      <c r="I17" s="136"/>
      <c r="J17" s="136">
        <v>1</v>
      </c>
      <c r="K17" s="136"/>
      <c r="L17" s="136">
        <v>2</v>
      </c>
      <c r="M17" s="136"/>
      <c r="N17" s="136">
        <v>1</v>
      </c>
      <c r="O17" s="136"/>
      <c r="P17" s="604">
        <f t="shared" si="0"/>
        <v>8</v>
      </c>
    </row>
    <row r="18" spans="1:16" ht="15.75" thickBot="1" x14ac:dyDescent="0.3">
      <c r="A18" s="138">
        <v>1000031</v>
      </c>
      <c r="B18" s="12" t="s">
        <v>25</v>
      </c>
      <c r="C18" s="134"/>
      <c r="D18" s="143"/>
      <c r="F18" s="136">
        <v>3</v>
      </c>
      <c r="G18" s="136"/>
      <c r="H18" s="136"/>
      <c r="I18" s="136"/>
      <c r="J18" s="136">
        <v>3</v>
      </c>
      <c r="K18" s="136"/>
      <c r="L18" s="136">
        <v>3</v>
      </c>
      <c r="M18" s="136"/>
      <c r="N18" s="136"/>
      <c r="O18" s="136"/>
      <c r="P18" s="604">
        <f t="shared" si="0"/>
        <v>9</v>
      </c>
    </row>
    <row r="19" spans="1:16" ht="15.75" thickBot="1" x14ac:dyDescent="0.3">
      <c r="A19" s="138">
        <v>1000026</v>
      </c>
      <c r="B19" s="12" t="s">
        <v>31</v>
      </c>
      <c r="C19" s="134"/>
      <c r="D19" s="143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3">
        <f t="shared" si="0"/>
        <v>0</v>
      </c>
    </row>
    <row r="20" spans="1:16" ht="15.75" thickBot="1" x14ac:dyDescent="0.3">
      <c r="A20" s="138">
        <v>1000025</v>
      </c>
      <c r="B20" s="12" t="s">
        <v>32</v>
      </c>
      <c r="C20" s="134"/>
      <c r="D20" s="143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3">
        <f t="shared" si="0"/>
        <v>0</v>
      </c>
    </row>
    <row r="21" spans="1:16" ht="15.75" thickBot="1" x14ac:dyDescent="0.3">
      <c r="A21" s="138">
        <v>1000100</v>
      </c>
      <c r="B21" s="12" t="s">
        <v>34</v>
      </c>
      <c r="C21" s="134"/>
      <c r="D21" s="143"/>
      <c r="F21" s="136"/>
      <c r="G21" s="136"/>
      <c r="H21" s="136"/>
      <c r="I21" s="136"/>
      <c r="J21" s="136"/>
      <c r="K21" s="136"/>
      <c r="L21" s="136"/>
      <c r="M21" s="136"/>
      <c r="N21" s="136">
        <v>2</v>
      </c>
      <c r="O21" s="136"/>
      <c r="P21" s="604">
        <f t="shared" si="0"/>
        <v>2</v>
      </c>
    </row>
    <row r="22" spans="1:16" ht="15.75" thickBot="1" x14ac:dyDescent="0.3">
      <c r="A22" s="138">
        <v>1000073</v>
      </c>
      <c r="B22" s="12" t="s">
        <v>36</v>
      </c>
      <c r="C22" s="134"/>
      <c r="D22" s="143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3">
        <f t="shared" si="0"/>
        <v>0</v>
      </c>
    </row>
    <row r="23" spans="1:16" ht="15.75" thickBot="1" x14ac:dyDescent="0.3">
      <c r="A23" s="138">
        <v>1000146</v>
      </c>
      <c r="B23" s="12" t="s">
        <v>39</v>
      </c>
      <c r="C23" s="134"/>
      <c r="D23" s="143"/>
      <c r="F23" s="136">
        <v>10</v>
      </c>
      <c r="G23" s="136"/>
      <c r="H23" s="136">
        <v>10</v>
      </c>
      <c r="I23" s="136"/>
      <c r="J23" s="136">
        <v>10</v>
      </c>
      <c r="K23" s="136"/>
      <c r="L23" s="136">
        <v>10</v>
      </c>
      <c r="M23" s="136"/>
      <c r="N23" s="136">
        <v>10</v>
      </c>
      <c r="O23" s="136"/>
      <c r="P23" s="604">
        <f t="shared" si="0"/>
        <v>50</v>
      </c>
    </row>
    <row r="24" spans="1:16" ht="15.75" thickBot="1" x14ac:dyDescent="0.3">
      <c r="A24" s="138">
        <v>10248</v>
      </c>
      <c r="B24" s="12" t="s">
        <v>183</v>
      </c>
      <c r="C24" s="134"/>
      <c r="D24" s="143"/>
      <c r="F24" s="136">
        <v>9</v>
      </c>
      <c r="G24" s="136"/>
      <c r="H24" s="136">
        <v>9</v>
      </c>
      <c r="I24" s="136"/>
      <c r="J24" s="136">
        <v>9</v>
      </c>
      <c r="K24" s="136"/>
      <c r="L24" s="136">
        <v>9</v>
      </c>
      <c r="M24" s="136"/>
      <c r="N24" s="136">
        <v>9</v>
      </c>
      <c r="O24" s="136"/>
      <c r="P24" s="604">
        <f t="shared" si="0"/>
        <v>45</v>
      </c>
    </row>
    <row r="25" spans="1:16" ht="15.75" thickBot="1" x14ac:dyDescent="0.3">
      <c r="A25" s="138">
        <v>1000052</v>
      </c>
      <c r="B25" s="12" t="s">
        <v>41</v>
      </c>
      <c r="C25" s="134"/>
      <c r="D25" s="143"/>
      <c r="F25" s="136">
        <v>3</v>
      </c>
      <c r="G25" s="136"/>
      <c r="H25" s="136">
        <v>3</v>
      </c>
      <c r="I25" s="136"/>
      <c r="J25" s="136"/>
      <c r="K25" s="136"/>
      <c r="L25" s="136"/>
      <c r="M25" s="136"/>
      <c r="N25" s="136"/>
      <c r="O25" s="136"/>
      <c r="P25" s="604">
        <f t="shared" si="0"/>
        <v>6</v>
      </c>
    </row>
    <row r="26" spans="1:16" ht="15.75" thickBot="1" x14ac:dyDescent="0.3">
      <c r="A26" s="138">
        <v>1000089</v>
      </c>
      <c r="B26" s="12" t="s">
        <v>42</v>
      </c>
      <c r="C26" s="134"/>
      <c r="D26" s="143"/>
      <c r="F26" s="136"/>
      <c r="G26" s="136"/>
      <c r="H26" s="136">
        <v>3</v>
      </c>
      <c r="I26" s="136"/>
      <c r="J26" s="136"/>
      <c r="K26" s="136"/>
      <c r="L26" s="136"/>
      <c r="M26" s="136"/>
      <c r="N26" s="136">
        <v>3</v>
      </c>
      <c r="O26" s="136"/>
      <c r="P26" s="604">
        <f t="shared" si="0"/>
        <v>6</v>
      </c>
    </row>
    <row r="27" spans="1:16" ht="15.75" thickBot="1" x14ac:dyDescent="0.3">
      <c r="A27" s="138">
        <v>1000051</v>
      </c>
      <c r="B27" s="12" t="s">
        <v>43</v>
      </c>
      <c r="C27" s="134"/>
      <c r="D27" s="143"/>
      <c r="F27" s="136"/>
      <c r="G27" s="136"/>
      <c r="H27" s="136"/>
      <c r="I27" s="136"/>
      <c r="J27" s="136"/>
      <c r="K27" s="136"/>
      <c r="L27" s="136"/>
      <c r="M27" s="136"/>
      <c r="N27" s="136">
        <v>3</v>
      </c>
      <c r="O27" s="136"/>
      <c r="P27" s="604">
        <f t="shared" si="0"/>
        <v>3</v>
      </c>
    </row>
    <row r="28" spans="1:16" ht="15.75" thickBot="1" x14ac:dyDescent="0.3">
      <c r="A28" s="138">
        <v>1000048</v>
      </c>
      <c r="B28" s="12" t="s">
        <v>45</v>
      </c>
      <c r="C28" s="134"/>
      <c r="D28" s="143"/>
      <c r="F28" s="136"/>
      <c r="G28" s="136"/>
      <c r="H28" s="136">
        <v>2</v>
      </c>
      <c r="I28" s="136"/>
      <c r="J28" s="136"/>
      <c r="K28" s="136"/>
      <c r="L28" s="136"/>
      <c r="M28" s="136"/>
      <c r="N28" s="136">
        <v>2</v>
      </c>
      <c r="O28" s="136"/>
      <c r="P28" s="604">
        <f t="shared" si="0"/>
        <v>4</v>
      </c>
    </row>
    <row r="29" spans="1:16" ht="15.75" thickBot="1" x14ac:dyDescent="0.3">
      <c r="A29" s="138">
        <v>1000076</v>
      </c>
      <c r="B29" s="12" t="s">
        <v>46</v>
      </c>
      <c r="C29" s="134"/>
      <c r="D29" s="143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3">
        <f t="shared" si="0"/>
        <v>0</v>
      </c>
    </row>
    <row r="30" spans="1:16" ht="15.75" thickBot="1" x14ac:dyDescent="0.3">
      <c r="A30" s="138">
        <v>1000142</v>
      </c>
      <c r="B30" s="12" t="s">
        <v>54</v>
      </c>
      <c r="C30" s="134"/>
      <c r="D30" s="143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3">
        <f t="shared" si="0"/>
        <v>0</v>
      </c>
    </row>
    <row r="31" spans="1:16" ht="15.75" thickBot="1" x14ac:dyDescent="0.3">
      <c r="A31" s="138">
        <v>1000008</v>
      </c>
      <c r="B31" s="12" t="s">
        <v>7</v>
      </c>
      <c r="C31" s="134"/>
      <c r="D31" s="143"/>
      <c r="F31" s="136">
        <v>50</v>
      </c>
      <c r="G31" s="136"/>
      <c r="H31" s="136">
        <v>50</v>
      </c>
      <c r="I31" s="136"/>
      <c r="J31" s="136">
        <v>50</v>
      </c>
      <c r="K31" s="136"/>
      <c r="L31" s="136">
        <v>50</v>
      </c>
      <c r="M31" s="136"/>
      <c r="N31" s="136"/>
      <c r="O31" s="136"/>
      <c r="P31" s="604">
        <f t="shared" si="0"/>
        <v>200</v>
      </c>
    </row>
    <row r="32" spans="1:16" ht="15.75" thickBot="1" x14ac:dyDescent="0.3">
      <c r="A32" s="138">
        <v>1000082</v>
      </c>
      <c r="B32" s="12" t="s">
        <v>37</v>
      </c>
      <c r="C32" s="134"/>
      <c r="D32" s="143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3">
        <f t="shared" si="0"/>
        <v>0</v>
      </c>
    </row>
    <row r="33" spans="1:16" s="15" customFormat="1" ht="15.95" customHeight="1" thickBot="1" x14ac:dyDescent="0.3">
      <c r="A33" s="138">
        <v>1000084</v>
      </c>
      <c r="B33" s="12" t="s">
        <v>38</v>
      </c>
      <c r="C33" s="134"/>
      <c r="D33" s="143"/>
      <c r="E33" s="132"/>
      <c r="F33" s="136">
        <v>4</v>
      </c>
      <c r="G33" s="136"/>
      <c r="H33" s="136">
        <v>4</v>
      </c>
      <c r="I33" s="136"/>
      <c r="J33" s="136">
        <v>4</v>
      </c>
      <c r="K33" s="136"/>
      <c r="L33" s="136">
        <v>8</v>
      </c>
      <c r="M33" s="136"/>
      <c r="N33" s="136">
        <v>4</v>
      </c>
      <c r="O33" s="136"/>
      <c r="P33" s="604">
        <f t="shared" si="0"/>
        <v>24</v>
      </c>
    </row>
    <row r="34" spans="1:16" ht="15.75" thickBot="1" x14ac:dyDescent="0.3">
      <c r="A34" s="138">
        <v>1000033</v>
      </c>
      <c r="B34" s="12" t="s">
        <v>27</v>
      </c>
      <c r="C34" s="134"/>
      <c r="D34" s="143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3">
        <f t="shared" si="0"/>
        <v>0</v>
      </c>
    </row>
    <row r="35" spans="1:16" ht="15.75" thickBot="1" x14ac:dyDescent="0.3">
      <c r="A35" s="138">
        <v>1000412</v>
      </c>
      <c r="B35" s="12" t="s">
        <v>195</v>
      </c>
      <c r="C35" s="134"/>
      <c r="D35" s="143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3">
        <f t="shared" si="0"/>
        <v>0</v>
      </c>
    </row>
    <row r="36" spans="1:16" ht="15.75" thickBot="1" x14ac:dyDescent="0.3">
      <c r="A36" s="138">
        <v>1000067</v>
      </c>
      <c r="B36" s="12" t="s">
        <v>11</v>
      </c>
      <c r="C36" s="134"/>
      <c r="D36" s="143"/>
      <c r="F36" s="136">
        <v>1</v>
      </c>
      <c r="G36" s="136"/>
      <c r="H36" s="136"/>
      <c r="I36" s="136"/>
      <c r="J36" s="136"/>
      <c r="K36" s="136"/>
      <c r="L36" s="136"/>
      <c r="M36" s="136"/>
      <c r="N36" s="136"/>
      <c r="O36" s="136"/>
      <c r="P36" s="604">
        <f t="shared" si="0"/>
        <v>1</v>
      </c>
    </row>
    <row r="37" spans="1:16" ht="15.75" thickBot="1" x14ac:dyDescent="0.3">
      <c r="A37" s="138">
        <v>1000147</v>
      </c>
      <c r="B37" s="12" t="s">
        <v>52</v>
      </c>
      <c r="C37" s="134"/>
      <c r="D37" s="143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3">
        <f t="shared" si="0"/>
        <v>0</v>
      </c>
    </row>
    <row r="38" spans="1:16" ht="15.75" thickBot="1" x14ac:dyDescent="0.3">
      <c r="A38" s="138">
        <v>1000004</v>
      </c>
      <c r="B38" s="12" t="s">
        <v>10</v>
      </c>
      <c r="C38" s="134"/>
      <c r="D38" s="143"/>
      <c r="F38" s="136">
        <v>3</v>
      </c>
      <c r="G38" s="136"/>
      <c r="H38" s="136">
        <v>3</v>
      </c>
      <c r="I38" s="136"/>
      <c r="J38" s="136">
        <v>2</v>
      </c>
      <c r="K38" s="136"/>
      <c r="L38" s="136">
        <v>3</v>
      </c>
      <c r="M38" s="136"/>
      <c r="N38" s="136">
        <v>2</v>
      </c>
      <c r="O38" s="136"/>
      <c r="P38" s="604">
        <f t="shared" si="0"/>
        <v>13</v>
      </c>
    </row>
    <row r="39" spans="1:16" ht="15.75" thickBot="1" x14ac:dyDescent="0.3">
      <c r="A39" s="138">
        <v>1000027</v>
      </c>
      <c r="B39" s="12" t="s">
        <v>33</v>
      </c>
      <c r="C39" s="134"/>
      <c r="D39" s="143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3">
        <f t="shared" si="0"/>
        <v>0</v>
      </c>
    </row>
    <row r="40" spans="1:16" ht="15.75" thickBot="1" x14ac:dyDescent="0.3">
      <c r="A40" s="138">
        <v>1000034</v>
      </c>
      <c r="B40" s="12" t="s">
        <v>28</v>
      </c>
      <c r="C40" s="134"/>
      <c r="D40" s="143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3">
        <f t="shared" si="0"/>
        <v>0</v>
      </c>
    </row>
    <row r="41" spans="1:16" ht="15.75" thickBot="1" x14ac:dyDescent="0.3">
      <c r="A41" s="138">
        <v>1000045</v>
      </c>
      <c r="B41" s="12" t="s">
        <v>23</v>
      </c>
      <c r="C41" s="134"/>
      <c r="D41" s="143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3">
        <f t="shared" si="0"/>
        <v>0</v>
      </c>
    </row>
    <row r="42" spans="1:16" ht="15.75" thickBot="1" x14ac:dyDescent="0.3">
      <c r="A42" s="138">
        <v>1000012</v>
      </c>
      <c r="B42" s="12" t="s">
        <v>20</v>
      </c>
      <c r="C42" s="134"/>
      <c r="D42" s="143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3">
        <f t="shared" si="0"/>
        <v>0</v>
      </c>
    </row>
    <row r="43" spans="1:16" ht="15.75" thickBot="1" x14ac:dyDescent="0.3">
      <c r="A43" s="138">
        <v>1000154</v>
      </c>
      <c r="B43" s="12" t="s">
        <v>85</v>
      </c>
      <c r="C43" s="134"/>
      <c r="D43" s="143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3">
        <f t="shared" si="0"/>
        <v>0</v>
      </c>
    </row>
    <row r="44" spans="1:16" ht="15.75" thickBot="1" x14ac:dyDescent="0.3">
      <c r="A44" s="138">
        <v>10212</v>
      </c>
      <c r="B44" s="12" t="s">
        <v>6</v>
      </c>
      <c r="C44" s="134"/>
      <c r="D44" s="143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3">
        <f>SUM(F44:O44)</f>
        <v>0</v>
      </c>
    </row>
    <row r="45" spans="1:16" ht="15.75" thickBot="1" x14ac:dyDescent="0.3">
      <c r="A45" s="138">
        <v>1000011</v>
      </c>
      <c r="B45" s="12" t="s">
        <v>18</v>
      </c>
      <c r="C45" s="134"/>
      <c r="D45" s="143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3">
        <f>SUM(F45:O45)</f>
        <v>0</v>
      </c>
    </row>
    <row r="46" spans="1:16" ht="15.75" thickBot="1" x14ac:dyDescent="0.3">
      <c r="A46" s="138">
        <v>1000383</v>
      </c>
      <c r="B46" s="12" t="s">
        <v>264</v>
      </c>
      <c r="C46" s="134"/>
      <c r="D46" s="143"/>
      <c r="F46" s="136"/>
      <c r="G46" s="136"/>
      <c r="H46" s="136">
        <v>48</v>
      </c>
      <c r="I46" s="136"/>
      <c r="J46" s="136">
        <v>48</v>
      </c>
      <c r="K46" s="136"/>
      <c r="L46" s="136">
        <v>48</v>
      </c>
      <c r="M46" s="136"/>
      <c r="N46" s="136">
        <v>48</v>
      </c>
      <c r="O46" s="136"/>
      <c r="P46" s="604">
        <f t="shared" si="0"/>
        <v>192</v>
      </c>
    </row>
    <row r="47" spans="1:16" ht="15.75" thickBot="1" x14ac:dyDescent="0.3">
      <c r="A47" s="138">
        <v>1000070</v>
      </c>
      <c r="B47" s="12" t="s">
        <v>13</v>
      </c>
      <c r="C47" s="134"/>
      <c r="D47" s="143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3">
        <f t="shared" si="0"/>
        <v>0</v>
      </c>
    </row>
    <row r="48" spans="1:16" ht="15.75" thickBot="1" x14ac:dyDescent="0.3">
      <c r="A48" s="138">
        <v>1000486</v>
      </c>
      <c r="B48" s="12" t="s">
        <v>263</v>
      </c>
      <c r="C48" s="134"/>
      <c r="D48" s="143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3">
        <f t="shared" si="0"/>
        <v>0</v>
      </c>
    </row>
    <row r="49" spans="1:18" ht="15.75" thickBot="1" x14ac:dyDescent="0.3">
      <c r="A49" s="138">
        <v>1000533</v>
      </c>
      <c r="B49" s="12" t="s">
        <v>259</v>
      </c>
      <c r="C49" s="134"/>
      <c r="D49" s="143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3">
        <f t="shared" si="0"/>
        <v>0</v>
      </c>
    </row>
    <row r="50" spans="1:18" ht="15.75" thickBot="1" x14ac:dyDescent="0.3">
      <c r="A50" s="138">
        <v>1000080</v>
      </c>
      <c r="B50" s="12" t="s">
        <v>275</v>
      </c>
      <c r="C50" s="134"/>
      <c r="D50" s="143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3">
        <f t="shared" si="0"/>
        <v>0</v>
      </c>
    </row>
    <row r="51" spans="1:18" ht="15.75" thickBot="1" x14ac:dyDescent="0.3">
      <c r="A51" s="138">
        <v>1000436</v>
      </c>
      <c r="B51" s="12" t="s">
        <v>276</v>
      </c>
      <c r="C51" s="134"/>
      <c r="D51" s="143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3">
        <f t="shared" si="0"/>
        <v>0</v>
      </c>
    </row>
    <row r="52" spans="1:18" ht="15.75" thickBot="1" x14ac:dyDescent="0.3">
      <c r="A52" s="138">
        <v>1000550</v>
      </c>
      <c r="B52" s="12" t="s">
        <v>277</v>
      </c>
      <c r="C52" s="134"/>
      <c r="D52" s="143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3">
        <f t="shared" si="0"/>
        <v>0</v>
      </c>
    </row>
    <row r="53" spans="1:18" ht="15.75" thickBot="1" x14ac:dyDescent="0.3">
      <c r="A53" s="138">
        <v>1000551</v>
      </c>
      <c r="B53" s="12" t="s">
        <v>278</v>
      </c>
      <c r="C53" s="134"/>
      <c r="D53" s="143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3">
        <f t="shared" si="0"/>
        <v>0</v>
      </c>
    </row>
    <row r="54" spans="1:18" ht="16.5" thickBot="1" x14ac:dyDescent="0.3">
      <c r="A54" s="207">
        <v>1000552</v>
      </c>
      <c r="B54" s="246" t="s">
        <v>279</v>
      </c>
      <c r="C54"/>
      <c r="D54" s="143"/>
      <c r="E54" s="215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3">
        <f t="shared" si="0"/>
        <v>0</v>
      </c>
    </row>
    <row r="55" spans="1:18" ht="16.5" thickBot="1" x14ac:dyDescent="0.3">
      <c r="A55" s="35">
        <v>1000057</v>
      </c>
      <c r="B55" s="12" t="s">
        <v>70</v>
      </c>
      <c r="C55"/>
      <c r="D55" s="143"/>
      <c r="E55" s="215"/>
      <c r="F55" s="136">
        <v>1</v>
      </c>
      <c r="G55" s="136"/>
      <c r="H55" s="136"/>
      <c r="I55" s="136"/>
      <c r="J55" s="136">
        <v>1</v>
      </c>
      <c r="K55" s="136"/>
      <c r="L55" s="136"/>
      <c r="M55" s="136"/>
      <c r="N55" s="136"/>
      <c r="O55" s="136"/>
      <c r="P55" s="604">
        <f t="shared" si="0"/>
        <v>2</v>
      </c>
    </row>
    <row r="56" spans="1:18" ht="16.5" thickBot="1" x14ac:dyDescent="0.3">
      <c r="A56" s="35">
        <v>1000090</v>
      </c>
      <c r="B56" s="22" t="s">
        <v>40</v>
      </c>
      <c r="C56"/>
      <c r="D56" s="143"/>
      <c r="E56" s="215"/>
      <c r="F56" s="136">
        <v>3</v>
      </c>
      <c r="G56" s="136"/>
      <c r="H56" s="136">
        <v>3</v>
      </c>
      <c r="I56" s="136"/>
      <c r="J56" s="136">
        <v>3</v>
      </c>
      <c r="K56" s="136"/>
      <c r="L56" s="136">
        <v>3</v>
      </c>
      <c r="M56" s="136"/>
      <c r="N56" s="136">
        <v>3</v>
      </c>
      <c r="O56" s="136"/>
      <c r="P56" s="683">
        <v>15</v>
      </c>
    </row>
    <row r="57" spans="1:18" ht="16.5" thickBot="1" x14ac:dyDescent="0.3">
      <c r="A57" s="35">
        <v>1000010</v>
      </c>
      <c r="B57" s="12" t="s">
        <v>17</v>
      </c>
      <c r="C57"/>
      <c r="D57" s="143"/>
      <c r="E57" s="215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3">
        <f t="shared" si="0"/>
        <v>0</v>
      </c>
    </row>
    <row r="58" spans="1:18" x14ac:dyDescent="0.25">
      <c r="A58" s="35"/>
      <c r="B58" s="22" t="s">
        <v>496</v>
      </c>
      <c r="D58" s="143"/>
      <c r="F58" s="136"/>
      <c r="G58" s="136"/>
      <c r="H58" s="136"/>
      <c r="I58" s="136"/>
      <c r="J58" s="136"/>
      <c r="K58" s="136"/>
      <c r="L58" s="136"/>
      <c r="M58" s="136"/>
      <c r="N58" s="136">
        <v>1</v>
      </c>
      <c r="O58" s="136"/>
      <c r="P58" s="604">
        <f t="shared" si="0"/>
        <v>1</v>
      </c>
      <c r="R58" s="551" t="s">
        <v>336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B275-71E7-4550-A828-E8C7E31F326E}">
  <sheetPr>
    <tabColor rgb="FFFF0000"/>
    <pageSetUpPr fitToPage="1"/>
  </sheetPr>
  <dimension ref="A1:P50"/>
  <sheetViews>
    <sheetView topLeftCell="A22" zoomScale="85" zoomScaleNormal="85" workbookViewId="0">
      <selection activeCell="P26" sqref="P25:P26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8" style="27" customWidth="1"/>
    <col min="7" max="7" width="5.875" style="27" customWidth="1"/>
    <col min="8" max="8" width="8.125" style="27" customWidth="1"/>
    <col min="9" max="9" width="5.5" style="27" customWidth="1"/>
    <col min="10" max="10" width="7.375" style="27" customWidth="1"/>
    <col min="11" max="11" width="5.5" style="27" customWidth="1"/>
    <col min="12" max="12" width="7.625" style="27" customWidth="1"/>
    <col min="13" max="13" width="8.25" style="27" customWidth="1"/>
    <col min="14" max="14" width="7.25" style="27" customWidth="1"/>
    <col min="15" max="15" width="6" style="27" customWidth="1"/>
    <col min="16" max="16" width="8.125" style="27" customWidth="1"/>
    <col min="17" max="16384" width="10.875" style="27"/>
  </cols>
  <sheetData>
    <row r="1" spans="1:16" ht="17.25" customHeight="1" x14ac:dyDescent="0.45">
      <c r="A1" s="770" t="s">
        <v>102</v>
      </c>
      <c r="B1" s="771"/>
      <c r="C1" s="18"/>
      <c r="D1" s="18"/>
      <c r="F1" s="737" t="s">
        <v>474</v>
      </c>
      <c r="G1" s="738"/>
      <c r="H1" s="738"/>
      <c r="I1" s="738"/>
      <c r="J1" s="739"/>
      <c r="K1" s="2"/>
      <c r="L1" s="721" t="s">
        <v>170</v>
      </c>
      <c r="M1" s="723" t="s">
        <v>172</v>
      </c>
    </row>
    <row r="2" spans="1:16" s="3" customFormat="1" ht="17.25" customHeight="1" thickBot="1" x14ac:dyDescent="0.5">
      <c r="A2" s="772"/>
      <c r="B2" s="773"/>
      <c r="C2" s="18"/>
      <c r="D2" s="428" t="s">
        <v>305</v>
      </c>
      <c r="F2" s="740"/>
      <c r="G2" s="741"/>
      <c r="H2" s="741"/>
      <c r="I2" s="741"/>
      <c r="J2" s="742"/>
      <c r="K2" s="2"/>
      <c r="L2" s="722"/>
      <c r="M2" s="724"/>
    </row>
    <row r="3" spans="1:16" s="3" customFormat="1" ht="23.25" customHeight="1" thickBot="1" x14ac:dyDescent="0.3">
      <c r="A3" s="5"/>
      <c r="B3" s="427" t="s">
        <v>331</v>
      </c>
      <c r="C3" s="18"/>
      <c r="D3" s="18"/>
      <c r="F3" s="114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3">
        <v>100</v>
      </c>
      <c r="F6" s="28"/>
      <c r="G6" s="28"/>
      <c r="H6" s="28"/>
      <c r="I6" s="28"/>
      <c r="J6" s="28">
        <v>100</v>
      </c>
      <c r="K6" s="28"/>
      <c r="L6" s="28"/>
      <c r="M6" s="28"/>
      <c r="N6" s="28">
        <v>100</v>
      </c>
      <c r="O6" s="28"/>
      <c r="P6" s="418">
        <f t="shared" ref="P6:P50" si="0">SUM(F6:O6)</f>
        <v>200</v>
      </c>
    </row>
    <row r="7" spans="1:16" ht="15.75" thickBot="1" x14ac:dyDescent="0.3">
      <c r="A7" s="35">
        <v>1000007</v>
      </c>
      <c r="B7" s="12" t="s">
        <v>5</v>
      </c>
      <c r="C7" s="41"/>
      <c r="D7" s="43">
        <v>80</v>
      </c>
      <c r="F7" s="28"/>
      <c r="G7" s="28"/>
      <c r="H7" s="28"/>
      <c r="I7" s="28"/>
      <c r="J7" s="28">
        <v>50</v>
      </c>
      <c r="K7" s="28"/>
      <c r="L7" s="28"/>
      <c r="M7" s="28"/>
      <c r="N7" s="28">
        <v>100</v>
      </c>
      <c r="O7" s="28"/>
      <c r="P7" s="418">
        <f t="shared" si="0"/>
        <v>150</v>
      </c>
    </row>
    <row r="8" spans="1:16" ht="15.75" thickBot="1" x14ac:dyDescent="0.3">
      <c r="A8" s="35">
        <v>1000001</v>
      </c>
      <c r="B8" s="12" t="s">
        <v>8</v>
      </c>
      <c r="C8" s="41"/>
      <c r="D8" s="43">
        <v>2</v>
      </c>
      <c r="F8" s="28"/>
      <c r="G8" s="28"/>
      <c r="H8" s="28"/>
      <c r="I8" s="28"/>
      <c r="J8" s="28">
        <v>2</v>
      </c>
      <c r="K8" s="28"/>
      <c r="L8" s="28"/>
      <c r="M8" s="28"/>
      <c r="N8" s="28">
        <v>2</v>
      </c>
      <c r="O8" s="28"/>
      <c r="P8" s="418">
        <f t="shared" si="0"/>
        <v>4</v>
      </c>
    </row>
    <row r="9" spans="1:16" ht="15.75" thickBot="1" x14ac:dyDescent="0.3">
      <c r="A9" s="35">
        <v>1000002</v>
      </c>
      <c r="B9" s="12" t="s">
        <v>9</v>
      </c>
      <c r="C9" s="41"/>
      <c r="D9" s="43">
        <v>1</v>
      </c>
      <c r="F9" s="28"/>
      <c r="G9" s="28"/>
      <c r="H9" s="28"/>
      <c r="I9" s="28"/>
      <c r="J9" s="28">
        <v>1</v>
      </c>
      <c r="K9" s="28"/>
      <c r="L9" s="28"/>
      <c r="M9" s="28"/>
      <c r="N9" s="28"/>
      <c r="O9" s="28"/>
      <c r="P9" s="418">
        <f t="shared" si="0"/>
        <v>1</v>
      </c>
    </row>
    <row r="10" spans="1:16" ht="15.75" thickBot="1" x14ac:dyDescent="0.3">
      <c r="A10" s="35">
        <v>1000004</v>
      </c>
      <c r="B10" s="12" t="s">
        <v>10</v>
      </c>
      <c r="C10" s="41"/>
      <c r="D10" s="43">
        <v>2</v>
      </c>
      <c r="F10" s="28"/>
      <c r="G10" s="28"/>
      <c r="H10" s="28"/>
      <c r="I10" s="28"/>
      <c r="J10" s="28">
        <v>1</v>
      </c>
      <c r="K10" s="28"/>
      <c r="L10" s="28"/>
      <c r="M10" s="28"/>
      <c r="N10" s="28">
        <v>2</v>
      </c>
      <c r="O10" s="28"/>
      <c r="P10" s="418">
        <f t="shared" si="0"/>
        <v>3</v>
      </c>
    </row>
    <row r="11" spans="1:16" ht="15.75" thickBot="1" x14ac:dyDescent="0.3">
      <c r="A11" s="35">
        <v>1000054</v>
      </c>
      <c r="B11" s="12" t="s">
        <v>12</v>
      </c>
      <c r="C11" s="41"/>
      <c r="D11" s="43">
        <v>15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1000070</v>
      </c>
      <c r="B12" s="12" t="s">
        <v>13</v>
      </c>
      <c r="C12" s="41"/>
      <c r="D12" s="43">
        <v>0</v>
      </c>
      <c r="F12" s="28"/>
      <c r="G12" s="28"/>
      <c r="H12" s="28"/>
      <c r="I12" s="28"/>
      <c r="J12" s="28">
        <v>1</v>
      </c>
      <c r="K12" s="28"/>
      <c r="L12" s="28"/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15</v>
      </c>
      <c r="F13" s="28"/>
      <c r="G13" s="28"/>
      <c r="H13" s="28"/>
      <c r="I13" s="28"/>
      <c r="J13" s="28">
        <v>10</v>
      </c>
      <c r="K13" s="28"/>
      <c r="L13" s="28"/>
      <c r="M13" s="28"/>
      <c r="N13" s="28">
        <v>10</v>
      </c>
      <c r="O13" s="28"/>
      <c r="P13" s="418">
        <f t="shared" si="0"/>
        <v>20</v>
      </c>
    </row>
    <row r="14" spans="1:16" ht="15.75" thickBot="1" x14ac:dyDescent="0.3">
      <c r="A14" s="35">
        <v>1000016</v>
      </c>
      <c r="B14" s="12" t="s">
        <v>15</v>
      </c>
      <c r="C14" s="41"/>
      <c r="D14" s="43">
        <v>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1000050</v>
      </c>
      <c r="B15" s="12" t="s">
        <v>22</v>
      </c>
      <c r="C15" s="41"/>
      <c r="D15" s="43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1000100</v>
      </c>
      <c r="B16" s="12" t="s">
        <v>34</v>
      </c>
      <c r="C16" s="41"/>
      <c r="D16" s="43">
        <v>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1000101</v>
      </c>
      <c r="B17" s="12" t="s">
        <v>35</v>
      </c>
      <c r="C17" s="41"/>
      <c r="D17" s="43">
        <v>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1000073</v>
      </c>
      <c r="B18" s="12" t="s">
        <v>36</v>
      </c>
      <c r="C18" s="41"/>
      <c r="D18" s="43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1000383</v>
      </c>
      <c r="B19" s="12" t="s">
        <v>264</v>
      </c>
      <c r="C19" s="41"/>
      <c r="D19" s="43">
        <v>2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1000082</v>
      </c>
      <c r="B20" s="12" t="s">
        <v>37</v>
      </c>
      <c r="C20" s="41"/>
      <c r="D20" s="43">
        <v>8</v>
      </c>
      <c r="F20" s="28"/>
      <c r="G20" s="28"/>
      <c r="H20" s="28"/>
      <c r="I20" s="28"/>
      <c r="J20" s="28">
        <v>16</v>
      </c>
      <c r="K20" s="28"/>
      <c r="L20" s="28"/>
      <c r="M20" s="28"/>
      <c r="N20" s="28"/>
      <c r="O20" s="28"/>
      <c r="P20" s="418">
        <f t="shared" si="0"/>
        <v>16</v>
      </c>
    </row>
    <row r="21" spans="1:16" ht="15.75" thickBot="1" x14ac:dyDescent="0.3">
      <c r="A21" s="35">
        <v>1000084</v>
      </c>
      <c r="B21" s="12" t="s">
        <v>38</v>
      </c>
      <c r="C21" s="41"/>
      <c r="D21" s="43">
        <v>6</v>
      </c>
      <c r="F21" s="28"/>
      <c r="G21" s="28"/>
      <c r="H21" s="28"/>
      <c r="I21" s="28"/>
      <c r="J21" s="28">
        <v>4</v>
      </c>
      <c r="K21" s="28"/>
      <c r="L21" s="28"/>
      <c r="M21" s="28"/>
      <c r="N21" s="28"/>
      <c r="O21" s="28"/>
      <c r="P21" s="418">
        <f t="shared" si="0"/>
        <v>4</v>
      </c>
    </row>
    <row r="22" spans="1:16" ht="15.75" thickBot="1" x14ac:dyDescent="0.3">
      <c r="A22" s="35">
        <v>10248</v>
      </c>
      <c r="B22" s="12" t="s">
        <v>183</v>
      </c>
      <c r="C22" s="41"/>
      <c r="D22" s="43">
        <v>0</v>
      </c>
      <c r="F22" s="28"/>
      <c r="G22" s="28"/>
      <c r="H22" s="28"/>
      <c r="I22" s="28"/>
      <c r="J22" s="28"/>
      <c r="K22" s="28"/>
      <c r="L22" s="28"/>
      <c r="M22" s="28"/>
      <c r="N22" s="28">
        <v>3</v>
      </c>
      <c r="O22" s="28"/>
      <c r="P22" s="418">
        <f t="shared" si="0"/>
        <v>3</v>
      </c>
    </row>
    <row r="23" spans="1:16" ht="15.75" thickBot="1" x14ac:dyDescent="0.3">
      <c r="A23" s="35">
        <v>1000052</v>
      </c>
      <c r="B23" s="12" t="s">
        <v>41</v>
      </c>
      <c r="C23" s="41"/>
      <c r="D23" s="43">
        <v>1</v>
      </c>
      <c r="F23" s="28"/>
      <c r="G23" s="28"/>
      <c r="H23" s="28"/>
      <c r="I23" s="28"/>
      <c r="J23" s="28">
        <v>2</v>
      </c>
      <c r="K23" s="28"/>
      <c r="L23" s="28"/>
      <c r="M23" s="28"/>
      <c r="N23" s="28">
        <v>2</v>
      </c>
      <c r="O23" s="28"/>
      <c r="P23" s="418">
        <f t="shared" si="0"/>
        <v>4</v>
      </c>
    </row>
    <row r="24" spans="1:16" ht="15.75" thickBot="1" x14ac:dyDescent="0.3">
      <c r="A24" s="35">
        <v>1000089</v>
      </c>
      <c r="B24" s="12" t="s">
        <v>42</v>
      </c>
      <c r="C24" s="41"/>
      <c r="D24" s="43">
        <v>1</v>
      </c>
      <c r="F24" s="28"/>
      <c r="G24" s="28"/>
      <c r="H24" s="28"/>
      <c r="I24" s="28"/>
      <c r="J24" s="28">
        <v>2</v>
      </c>
      <c r="K24" s="28"/>
      <c r="L24" s="28"/>
      <c r="M24" s="28"/>
      <c r="N24" s="28">
        <v>2</v>
      </c>
      <c r="O24" s="28"/>
      <c r="P24" s="418">
        <f t="shared" si="0"/>
        <v>4</v>
      </c>
    </row>
    <row r="25" spans="1:16" ht="15.75" thickBot="1" x14ac:dyDescent="0.3">
      <c r="A25" s="35">
        <v>1000048</v>
      </c>
      <c r="B25" s="12" t="s">
        <v>45</v>
      </c>
      <c r="C25" s="41"/>
      <c r="D25" s="43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1000067</v>
      </c>
      <c r="B26" s="12" t="s">
        <v>11</v>
      </c>
      <c r="C26" s="41"/>
      <c r="D26" s="43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s="15" customFormat="1" ht="15.95" customHeight="1" thickBot="1" x14ac:dyDescent="0.3">
      <c r="A27" s="35">
        <v>1000051</v>
      </c>
      <c r="B27" s="12" t="s">
        <v>43</v>
      </c>
      <c r="C27" s="41"/>
      <c r="D27" s="43"/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1000041</v>
      </c>
      <c r="B28" s="12" t="s">
        <v>16</v>
      </c>
      <c r="C28" s="41"/>
      <c r="D28" s="4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1000075</v>
      </c>
      <c r="B29" s="12" t="s">
        <v>47</v>
      </c>
      <c r="C29" s="41"/>
      <c r="D29" s="4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4.25" customHeight="1" thickBot="1" x14ac:dyDescent="0.3">
      <c r="A30" s="35">
        <v>1000008</v>
      </c>
      <c r="B30" s="12" t="s">
        <v>7</v>
      </c>
      <c r="C30" s="41"/>
      <c r="D30" s="4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1000030</v>
      </c>
      <c r="B31" s="12" t="s">
        <v>24</v>
      </c>
      <c r="C31" s="41"/>
      <c r="D31" s="4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1000147</v>
      </c>
      <c r="B32" s="12" t="s">
        <v>52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1000033</v>
      </c>
      <c r="B33" s="12" t="s">
        <v>27</v>
      </c>
      <c r="C33" s="41"/>
      <c r="D33" s="43"/>
      <c r="F33" s="28"/>
      <c r="G33" s="28"/>
      <c r="H33" s="28"/>
      <c r="I33" s="28"/>
      <c r="J33" s="28">
        <v>1</v>
      </c>
      <c r="K33" s="28"/>
      <c r="L33" s="28"/>
      <c r="M33" s="28"/>
      <c r="N33" s="28"/>
      <c r="O33" s="28"/>
      <c r="P33" s="418">
        <f t="shared" si="0"/>
        <v>1</v>
      </c>
    </row>
    <row r="34" spans="1:16" ht="15.75" thickBot="1" x14ac:dyDescent="0.3">
      <c r="A34" s="35">
        <v>1000214</v>
      </c>
      <c r="B34" s="12" t="s">
        <v>49</v>
      </c>
      <c r="C34" s="41"/>
      <c r="D34" s="4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1000449</v>
      </c>
      <c r="B35" s="12" t="s">
        <v>202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1000025</v>
      </c>
      <c r="B36" s="12" t="s">
        <v>32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1000439</v>
      </c>
      <c r="B37" s="12" t="s">
        <v>193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1000142</v>
      </c>
      <c r="B38" s="12" t="s">
        <v>54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1000384</v>
      </c>
      <c r="B39" s="12" t="s">
        <v>189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1000045</v>
      </c>
      <c r="B40" s="12" t="s">
        <v>23</v>
      </c>
      <c r="C40" s="41"/>
      <c r="D40" s="4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10000102</v>
      </c>
      <c r="B41" s="12" t="s">
        <v>2</v>
      </c>
      <c r="C41" s="41"/>
      <c r="D41" s="4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1000034</v>
      </c>
      <c r="B42" s="12" t="s">
        <v>28</v>
      </c>
      <c r="C42" s="41"/>
      <c r="D42" s="4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1000049</v>
      </c>
      <c r="B43" s="12" t="s">
        <v>21</v>
      </c>
      <c r="C43" s="41"/>
      <c r="D43" s="4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1000080</v>
      </c>
      <c r="B44" s="12" t="s">
        <v>275</v>
      </c>
      <c r="C44" s="41"/>
      <c r="D44" s="4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1000436</v>
      </c>
      <c r="B45" s="12" t="s">
        <v>276</v>
      </c>
      <c r="C45" s="41"/>
      <c r="D45" s="43"/>
      <c r="F45" s="28"/>
      <c r="G45" s="28"/>
      <c r="H45" s="28"/>
      <c r="I45" s="28"/>
      <c r="J45" s="28">
        <v>10</v>
      </c>
      <c r="K45" s="28"/>
      <c r="L45" s="28"/>
      <c r="M45" s="28"/>
      <c r="N45" s="28"/>
      <c r="O45" s="28"/>
      <c r="P45" s="418">
        <f t="shared" si="0"/>
        <v>10</v>
      </c>
    </row>
    <row r="46" spans="1:16" ht="15.75" thickBot="1" x14ac:dyDescent="0.3">
      <c r="A46" s="35">
        <v>1000550</v>
      </c>
      <c r="B46" s="12" t="s">
        <v>277</v>
      </c>
      <c r="C46" s="41"/>
      <c r="D46" s="43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1000551</v>
      </c>
      <c r="B47" s="12" t="s">
        <v>278</v>
      </c>
      <c r="C47" s="41"/>
      <c r="D47" s="43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243">
        <v>1000552</v>
      </c>
      <c r="B48" s="251" t="s">
        <v>279</v>
      </c>
      <c r="C48" s="243"/>
      <c r="D48" s="251"/>
      <c r="E48" s="243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1000090</v>
      </c>
      <c r="B49" s="13" t="s">
        <v>40</v>
      </c>
      <c r="C49" s="243"/>
      <c r="D49" s="251"/>
      <c r="E49" s="243"/>
      <c r="F49" s="28"/>
      <c r="G49" s="28"/>
      <c r="H49" s="28"/>
      <c r="I49" s="28"/>
      <c r="J49" s="28">
        <v>2</v>
      </c>
      <c r="K49" s="28"/>
      <c r="L49" s="28"/>
      <c r="M49" s="28"/>
      <c r="N49" s="28"/>
      <c r="O49" s="28"/>
      <c r="P49" s="418">
        <f t="shared" si="0"/>
        <v>2</v>
      </c>
    </row>
    <row r="50" spans="1:16" ht="15.75" thickBot="1" x14ac:dyDescent="0.3">
      <c r="A50" s="35">
        <v>1000029</v>
      </c>
      <c r="B50" s="12" t="s">
        <v>30</v>
      </c>
      <c r="D50" s="251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</sheetData>
  <mergeCells count="4">
    <mergeCell ref="A1:B2"/>
    <mergeCell ref="F1:J2"/>
    <mergeCell ref="L1:L2"/>
    <mergeCell ref="M1:M2"/>
  </mergeCells>
  <pageMargins left="0.7" right="0.7" top="0.75" bottom="0.75" header="0.3" footer="0.3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0C1C-AF15-4E08-AF78-77ED3E70629C}">
  <sheetPr>
    <tabColor rgb="FFFF0000"/>
    <pageSetUpPr fitToPage="1"/>
  </sheetPr>
  <dimension ref="A1:P55"/>
  <sheetViews>
    <sheetView zoomScale="85" zoomScaleNormal="85" workbookViewId="0">
      <selection activeCell="P50" sqref="P50:P54"/>
    </sheetView>
  </sheetViews>
  <sheetFormatPr baseColWidth="10" defaultColWidth="10.875" defaultRowHeight="15" x14ac:dyDescent="0.25"/>
  <cols>
    <col min="1" max="1" width="10.375" style="27" customWidth="1"/>
    <col min="2" max="2" width="37.625" style="27" customWidth="1"/>
    <col min="3" max="3" width="1.375" style="27" customWidth="1"/>
    <col min="4" max="4" width="8.125" style="27" bestFit="1" customWidth="1"/>
    <col min="5" max="5" width="2.125" style="27" customWidth="1"/>
    <col min="6" max="6" width="9.125" style="27" bestFit="1" customWidth="1"/>
    <col min="7" max="7" width="5.625" style="27" customWidth="1"/>
    <col min="8" max="8" width="8.5" style="27" customWidth="1"/>
    <col min="9" max="9" width="5.625" style="27" customWidth="1"/>
    <col min="10" max="10" width="9.125" style="27" bestFit="1" customWidth="1"/>
    <col min="11" max="11" width="5.875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6.125" style="27" customWidth="1"/>
    <col min="16" max="16" width="9.125" style="27" customWidth="1"/>
    <col min="17" max="16384" width="10.875" style="27"/>
  </cols>
  <sheetData>
    <row r="1" spans="1:16" ht="15" customHeight="1" x14ac:dyDescent="0.45">
      <c r="A1" s="686" t="s">
        <v>176</v>
      </c>
      <c r="B1" s="687"/>
      <c r="C1" s="18"/>
      <c r="F1" s="751" t="s">
        <v>475</v>
      </c>
      <c r="G1" s="752"/>
      <c r="H1" s="752"/>
      <c r="I1" s="752"/>
      <c r="J1" s="753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  <c r="L2"/>
      <c r="M2"/>
    </row>
    <row r="3" spans="1:16" s="3" customFormat="1" ht="26.25" customHeight="1" thickBot="1" x14ac:dyDescent="0.3">
      <c r="A3" s="5"/>
      <c r="B3" s="429" t="s">
        <v>332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/>
      <c r="F5" s="28"/>
      <c r="G5" s="28"/>
      <c r="H5" s="28"/>
      <c r="I5" s="28"/>
      <c r="J5" s="28"/>
      <c r="K5" s="28"/>
      <c r="L5" s="28"/>
      <c r="M5" s="28"/>
      <c r="N5" s="28">
        <v>5</v>
      </c>
      <c r="O5" s="28"/>
      <c r="P5" s="418">
        <f t="shared" ref="P5:P55" si="0">SUM(F5:O5)</f>
        <v>5</v>
      </c>
    </row>
    <row r="6" spans="1:16" ht="15.75" thickBot="1" x14ac:dyDescent="0.3">
      <c r="A6" s="35">
        <v>10000102</v>
      </c>
      <c r="B6" s="12" t="s">
        <v>2</v>
      </c>
      <c r="C6" s="41"/>
      <c r="D6" s="42"/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2"/>
      <c r="F7" s="28">
        <v>50</v>
      </c>
      <c r="G7" s="28"/>
      <c r="H7" s="28">
        <v>50</v>
      </c>
      <c r="I7" s="28"/>
      <c r="J7" s="28">
        <v>100</v>
      </c>
      <c r="K7" s="28"/>
      <c r="L7" s="28">
        <v>50</v>
      </c>
      <c r="M7" s="28"/>
      <c r="N7" s="28">
        <v>50</v>
      </c>
      <c r="O7" s="28"/>
      <c r="P7" s="418">
        <f t="shared" si="0"/>
        <v>300</v>
      </c>
    </row>
    <row r="8" spans="1:16" ht="15.75" thickBot="1" x14ac:dyDescent="0.3">
      <c r="A8" s="35">
        <v>1000007</v>
      </c>
      <c r="B8" s="12" t="s">
        <v>5</v>
      </c>
      <c r="C8" s="41"/>
      <c r="D8" s="42"/>
      <c r="F8" s="28">
        <v>50</v>
      </c>
      <c r="G8" s="28"/>
      <c r="H8" s="28">
        <v>50</v>
      </c>
      <c r="I8" s="28"/>
      <c r="J8" s="28">
        <v>100</v>
      </c>
      <c r="K8" s="28"/>
      <c r="L8" s="28">
        <v>50</v>
      </c>
      <c r="M8" s="28"/>
      <c r="N8" s="28">
        <v>50</v>
      </c>
      <c r="O8" s="28"/>
      <c r="P8" s="418">
        <f t="shared" si="0"/>
        <v>300</v>
      </c>
    </row>
    <row r="9" spans="1:16" ht="15.75" thickBot="1" x14ac:dyDescent="0.3">
      <c r="A9" s="35">
        <v>1000001</v>
      </c>
      <c r="B9" s="12" t="s">
        <v>8</v>
      </c>
      <c r="C9" s="41"/>
      <c r="D9" s="42"/>
      <c r="F9" s="28">
        <v>2</v>
      </c>
      <c r="G9" s="28"/>
      <c r="H9" s="28">
        <v>1</v>
      </c>
      <c r="I9" s="28"/>
      <c r="J9" s="28">
        <v>2</v>
      </c>
      <c r="K9" s="28"/>
      <c r="L9" s="28">
        <v>2</v>
      </c>
      <c r="M9" s="28"/>
      <c r="N9" s="28">
        <v>2</v>
      </c>
      <c r="O9" s="28"/>
      <c r="P9" s="418">
        <f t="shared" si="0"/>
        <v>9</v>
      </c>
    </row>
    <row r="10" spans="1:16" ht="15.75" thickBot="1" x14ac:dyDescent="0.3">
      <c r="A10" s="35">
        <v>1000002</v>
      </c>
      <c r="B10" s="12" t="s">
        <v>9</v>
      </c>
      <c r="C10" s="41"/>
      <c r="D10" s="42"/>
      <c r="F10" s="28">
        <v>1</v>
      </c>
      <c r="G10" s="28"/>
      <c r="H10" s="28">
        <v>1</v>
      </c>
      <c r="I10" s="28"/>
      <c r="J10" s="28">
        <v>1</v>
      </c>
      <c r="K10" s="28"/>
      <c r="L10" s="28"/>
      <c r="M10" s="28"/>
      <c r="N10" s="28">
        <v>1</v>
      </c>
      <c r="O10" s="28"/>
      <c r="P10" s="418">
        <f t="shared" si="0"/>
        <v>4</v>
      </c>
    </row>
    <row r="11" spans="1:16" ht="15.75" thickBot="1" x14ac:dyDescent="0.3">
      <c r="A11" s="35">
        <v>1000054</v>
      </c>
      <c r="B11" s="12" t="s">
        <v>12</v>
      </c>
      <c r="C11" s="41"/>
      <c r="D11" s="42"/>
      <c r="F11" s="28">
        <v>5</v>
      </c>
      <c r="G11" s="28"/>
      <c r="H11" s="28"/>
      <c r="I11" s="28"/>
      <c r="J11" s="28">
        <v>5</v>
      </c>
      <c r="K11" s="28"/>
      <c r="L11" s="28"/>
      <c r="M11" s="28"/>
      <c r="N11" s="28">
        <v>5</v>
      </c>
      <c r="O11" s="28"/>
      <c r="P11" s="418">
        <f t="shared" si="0"/>
        <v>15</v>
      </c>
    </row>
    <row r="12" spans="1:16" ht="15.75" thickBot="1" x14ac:dyDescent="0.3">
      <c r="A12" s="35">
        <v>1000070</v>
      </c>
      <c r="B12" s="12" t="s">
        <v>13</v>
      </c>
      <c r="C12" s="41"/>
      <c r="D12" s="42"/>
      <c r="F12" s="28">
        <v>1</v>
      </c>
      <c r="G12" s="28"/>
      <c r="H12" s="28">
        <v>1</v>
      </c>
      <c r="I12" s="28"/>
      <c r="J12" s="28">
        <v>1</v>
      </c>
      <c r="K12" s="28"/>
      <c r="L12" s="28">
        <v>1</v>
      </c>
      <c r="M12" s="28"/>
      <c r="N12" s="28"/>
      <c r="O12" s="28"/>
      <c r="P12" s="418">
        <f t="shared" si="0"/>
        <v>4</v>
      </c>
    </row>
    <row r="13" spans="1:16" ht="15.75" thickBot="1" x14ac:dyDescent="0.3">
      <c r="A13" s="35">
        <v>1000017</v>
      </c>
      <c r="B13" s="12" t="s">
        <v>14</v>
      </c>
      <c r="C13" s="41"/>
      <c r="D13" s="42"/>
      <c r="F13" s="28">
        <v>5</v>
      </c>
      <c r="G13" s="28"/>
      <c r="H13" s="28"/>
      <c r="I13" s="28"/>
      <c r="J13" s="28">
        <v>5</v>
      </c>
      <c r="K13" s="28"/>
      <c r="L13" s="28"/>
      <c r="M13" s="28"/>
      <c r="N13" s="28">
        <v>5</v>
      </c>
      <c r="O13" s="28"/>
      <c r="P13" s="418">
        <f t="shared" si="0"/>
        <v>15</v>
      </c>
    </row>
    <row r="14" spans="1:16" ht="15.75" thickBot="1" x14ac:dyDescent="0.3">
      <c r="A14" s="35">
        <v>1000016</v>
      </c>
      <c r="B14" s="12" t="s">
        <v>15</v>
      </c>
      <c r="C14" s="41"/>
      <c r="D14" s="42"/>
      <c r="F14" s="28"/>
      <c r="G14" s="28"/>
      <c r="H14" s="28"/>
      <c r="I14" s="28"/>
      <c r="J14" s="28">
        <v>5</v>
      </c>
      <c r="K14" s="28"/>
      <c r="L14" s="28"/>
      <c r="M14" s="28"/>
      <c r="N14" s="28">
        <v>5</v>
      </c>
      <c r="O14" s="28"/>
      <c r="P14" s="418">
        <f t="shared" si="0"/>
        <v>10</v>
      </c>
    </row>
    <row r="15" spans="1:16" ht="15.75" thickBot="1" x14ac:dyDescent="0.3">
      <c r="A15" s="35">
        <v>1000041</v>
      </c>
      <c r="B15" s="12" t="s">
        <v>16</v>
      </c>
      <c r="C15" s="41"/>
      <c r="D15" s="42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2" t="s">
        <v>21</v>
      </c>
      <c r="C16" s="41"/>
      <c r="D16" s="42"/>
      <c r="F16" s="28">
        <v>2</v>
      </c>
      <c r="G16" s="28"/>
      <c r="H16" s="28"/>
      <c r="I16" s="28"/>
      <c r="J16" s="28"/>
      <c r="K16" s="28"/>
      <c r="L16" s="28"/>
      <c r="M16" s="28"/>
      <c r="N16" s="28">
        <v>2</v>
      </c>
      <c r="O16" s="28"/>
      <c r="P16" s="418">
        <f t="shared" si="0"/>
        <v>4</v>
      </c>
    </row>
    <row r="17" spans="1:16" ht="15.75" thickBot="1" x14ac:dyDescent="0.3">
      <c r="A17" s="35">
        <v>1000050</v>
      </c>
      <c r="B17" s="12" t="s">
        <v>22</v>
      </c>
      <c r="C17" s="41"/>
      <c r="D17" s="42"/>
      <c r="F17" s="28">
        <v>2</v>
      </c>
      <c r="G17" s="28"/>
      <c r="H17" s="28"/>
      <c r="I17" s="28"/>
      <c r="J17" s="28"/>
      <c r="K17" s="28"/>
      <c r="L17" s="28"/>
      <c r="M17" s="28"/>
      <c r="N17" s="28">
        <v>2</v>
      </c>
      <c r="O17" s="28"/>
      <c r="P17" s="418">
        <f t="shared" si="0"/>
        <v>4</v>
      </c>
    </row>
    <row r="18" spans="1:16" ht="15.75" thickBot="1" x14ac:dyDescent="0.3">
      <c r="A18" s="35">
        <v>1000031</v>
      </c>
      <c r="B18" s="12" t="s">
        <v>25</v>
      </c>
      <c r="C18" s="41"/>
      <c r="D18" s="42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1000026</v>
      </c>
      <c r="B19" s="12" t="s">
        <v>31</v>
      </c>
      <c r="C19" s="41"/>
      <c r="D19" s="42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2"/>
      <c r="F20" s="28">
        <v>5</v>
      </c>
      <c r="G20" s="28"/>
      <c r="H20" s="28"/>
      <c r="I20" s="28"/>
      <c r="J20" s="28">
        <v>5</v>
      </c>
      <c r="K20" s="28"/>
      <c r="L20" s="28"/>
      <c r="M20" s="28"/>
      <c r="N20" s="28"/>
      <c r="O20" s="28"/>
      <c r="P20" s="418">
        <f t="shared" si="0"/>
        <v>10</v>
      </c>
    </row>
    <row r="21" spans="1:16" ht="15.75" thickBot="1" x14ac:dyDescent="0.3">
      <c r="A21" s="35">
        <v>1000100</v>
      </c>
      <c r="B21" s="12" t="s">
        <v>34</v>
      </c>
      <c r="C21" s="41"/>
      <c r="D21" s="42"/>
      <c r="F21" s="28"/>
      <c r="G21" s="28"/>
      <c r="H21" s="28">
        <v>1</v>
      </c>
      <c r="I21" s="28"/>
      <c r="J21" s="28"/>
      <c r="K21" s="28"/>
      <c r="L21" s="28"/>
      <c r="M21" s="28"/>
      <c r="N21" s="28"/>
      <c r="O21" s="28"/>
      <c r="P21" s="418">
        <f t="shared" si="0"/>
        <v>1</v>
      </c>
    </row>
    <row r="22" spans="1:16" ht="15.75" thickBot="1" x14ac:dyDescent="0.3">
      <c r="A22" s="35">
        <v>1000073</v>
      </c>
      <c r="B22" s="12" t="s">
        <v>36</v>
      </c>
      <c r="C22" s="41"/>
      <c r="D22" s="4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1000383</v>
      </c>
      <c r="B23" s="12" t="s">
        <v>264</v>
      </c>
      <c r="C23" s="41"/>
      <c r="D23" s="42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1000146</v>
      </c>
      <c r="B24" s="12" t="s">
        <v>39</v>
      </c>
      <c r="C24" s="41"/>
      <c r="D24" s="4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10248</v>
      </c>
      <c r="B25" s="12" t="s">
        <v>183</v>
      </c>
      <c r="C25" s="41"/>
      <c r="D25" s="42"/>
      <c r="F25" s="28">
        <v>6</v>
      </c>
      <c r="G25" s="28"/>
      <c r="H25" s="28"/>
      <c r="I25" s="28"/>
      <c r="J25" s="28">
        <v>6</v>
      </c>
      <c r="K25" s="28"/>
      <c r="L25" s="28"/>
      <c r="M25" s="28"/>
      <c r="N25" s="28">
        <v>6</v>
      </c>
      <c r="O25" s="28"/>
      <c r="P25" s="418">
        <f t="shared" si="0"/>
        <v>18</v>
      </c>
    </row>
    <row r="26" spans="1:16" ht="15.75" thickBot="1" x14ac:dyDescent="0.3">
      <c r="A26" s="35">
        <v>1000052</v>
      </c>
      <c r="B26" s="12" t="s">
        <v>41</v>
      </c>
      <c r="C26" s="41"/>
      <c r="D26" s="42"/>
      <c r="F26" s="28">
        <v>2</v>
      </c>
      <c r="G26" s="28"/>
      <c r="H26" s="28"/>
      <c r="I26" s="28"/>
      <c r="J26" s="28">
        <v>2</v>
      </c>
      <c r="K26" s="28"/>
      <c r="L26" s="28"/>
      <c r="M26" s="28"/>
      <c r="N26" s="28">
        <v>2</v>
      </c>
      <c r="O26" s="28"/>
      <c r="P26" s="418">
        <f t="shared" si="0"/>
        <v>6</v>
      </c>
    </row>
    <row r="27" spans="1:16" ht="15.75" thickBot="1" x14ac:dyDescent="0.3">
      <c r="A27" s="35">
        <v>1000089</v>
      </c>
      <c r="B27" s="12" t="s">
        <v>42</v>
      </c>
      <c r="C27" s="41"/>
      <c r="D27" s="42"/>
      <c r="F27" s="28">
        <v>2</v>
      </c>
      <c r="G27" s="28"/>
      <c r="H27" s="28"/>
      <c r="I27" s="28"/>
      <c r="J27" s="28">
        <v>2</v>
      </c>
      <c r="K27" s="28"/>
      <c r="L27" s="28"/>
      <c r="M27" s="28"/>
      <c r="N27" s="28">
        <v>2</v>
      </c>
      <c r="O27" s="28"/>
      <c r="P27" s="418">
        <f t="shared" si="0"/>
        <v>6</v>
      </c>
    </row>
    <row r="28" spans="1:16" ht="15.75" thickBot="1" x14ac:dyDescent="0.3">
      <c r="A28" s="35">
        <v>1000051</v>
      </c>
      <c r="B28" s="12" t="s">
        <v>43</v>
      </c>
      <c r="C28" s="41"/>
      <c r="D28" s="42"/>
      <c r="F28" s="28">
        <v>2</v>
      </c>
      <c r="G28" s="28"/>
      <c r="H28" s="28"/>
      <c r="I28" s="28"/>
      <c r="J28" s="28">
        <v>2</v>
      </c>
      <c r="K28" s="28"/>
      <c r="L28" s="28"/>
      <c r="M28" s="28"/>
      <c r="N28" s="28">
        <v>2</v>
      </c>
      <c r="O28" s="28"/>
      <c r="P28" s="418">
        <f t="shared" si="0"/>
        <v>6</v>
      </c>
    </row>
    <row r="29" spans="1:16" ht="15.75" thickBot="1" x14ac:dyDescent="0.3">
      <c r="A29" s="35">
        <v>1000048</v>
      </c>
      <c r="B29" s="12" t="s">
        <v>45</v>
      </c>
      <c r="C29" s="41"/>
      <c r="D29" s="42"/>
      <c r="F29" s="28"/>
      <c r="G29" s="28"/>
      <c r="H29" s="28"/>
      <c r="I29" s="28"/>
      <c r="J29" s="28">
        <v>1</v>
      </c>
      <c r="K29" s="28"/>
      <c r="L29" s="28"/>
      <c r="M29" s="28"/>
      <c r="N29" s="28"/>
      <c r="O29" s="28"/>
      <c r="P29" s="418">
        <f t="shared" si="0"/>
        <v>1</v>
      </c>
    </row>
    <row r="30" spans="1:16" ht="15.75" thickBot="1" x14ac:dyDescent="0.3">
      <c r="A30" s="35">
        <v>1000076</v>
      </c>
      <c r="B30" s="12" t="s">
        <v>46</v>
      </c>
      <c r="C30" s="41"/>
      <c r="D30" s="4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1000142</v>
      </c>
      <c r="B31" s="12" t="s">
        <v>54</v>
      </c>
      <c r="C31" s="41"/>
      <c r="D31" s="42"/>
      <c r="F31" s="28">
        <v>2</v>
      </c>
      <c r="G31" s="28"/>
      <c r="H31" s="28"/>
      <c r="I31" s="28"/>
      <c r="J31" s="28"/>
      <c r="K31" s="28"/>
      <c r="L31" s="28"/>
      <c r="M31" s="28"/>
      <c r="N31" s="28">
        <v>2</v>
      </c>
      <c r="O31" s="28"/>
      <c r="P31" s="418">
        <f t="shared" si="0"/>
        <v>4</v>
      </c>
    </row>
    <row r="32" spans="1:16" ht="15.75" thickBot="1" x14ac:dyDescent="0.3">
      <c r="A32" s="35">
        <v>1000008</v>
      </c>
      <c r="B32" s="12" t="s">
        <v>7</v>
      </c>
      <c r="C32" s="41"/>
      <c r="D32" s="42"/>
      <c r="F32" s="28">
        <v>50</v>
      </c>
      <c r="G32" s="28"/>
      <c r="H32" s="28"/>
      <c r="I32" s="28"/>
      <c r="J32" s="28">
        <v>50</v>
      </c>
      <c r="K32" s="28"/>
      <c r="L32" s="28"/>
      <c r="M32" s="28"/>
      <c r="N32" s="28"/>
      <c r="O32" s="28"/>
      <c r="P32" s="418">
        <f t="shared" si="0"/>
        <v>100</v>
      </c>
    </row>
    <row r="33" spans="1:16" s="15" customFormat="1" ht="15.95" customHeight="1" thickBot="1" x14ac:dyDescent="0.3">
      <c r="A33" s="35">
        <v>1000082</v>
      </c>
      <c r="B33" s="12" t="s">
        <v>37</v>
      </c>
      <c r="C33" s="41"/>
      <c r="D33" s="42"/>
      <c r="E33" s="27"/>
      <c r="F33" s="28">
        <v>16</v>
      </c>
      <c r="G33" s="28"/>
      <c r="H33" s="28">
        <v>16</v>
      </c>
      <c r="I33" s="28"/>
      <c r="J33" s="28">
        <v>16</v>
      </c>
      <c r="K33" s="28"/>
      <c r="L33" s="28">
        <v>16</v>
      </c>
      <c r="M33" s="28"/>
      <c r="N33" s="28">
        <v>16</v>
      </c>
      <c r="O33" s="28"/>
      <c r="P33" s="418">
        <f t="shared" si="0"/>
        <v>80</v>
      </c>
    </row>
    <row r="34" spans="1:16" ht="15.75" thickBot="1" x14ac:dyDescent="0.3">
      <c r="A34" s="35">
        <v>1000084</v>
      </c>
      <c r="B34" s="12" t="s">
        <v>38</v>
      </c>
      <c r="C34" s="41"/>
      <c r="D34" s="42"/>
      <c r="F34" s="28">
        <v>8</v>
      </c>
      <c r="G34" s="28"/>
      <c r="H34" s="28">
        <v>8</v>
      </c>
      <c r="I34" s="28"/>
      <c r="J34" s="28">
        <v>8</v>
      </c>
      <c r="K34" s="28"/>
      <c r="L34" s="28">
        <v>8</v>
      </c>
      <c r="M34" s="28"/>
      <c r="N34" s="28">
        <v>8</v>
      </c>
      <c r="O34" s="28"/>
      <c r="P34" s="418">
        <f t="shared" si="0"/>
        <v>40</v>
      </c>
    </row>
    <row r="35" spans="1:16" ht="15.75" thickBot="1" x14ac:dyDescent="0.3">
      <c r="A35" s="35">
        <v>1000036</v>
      </c>
      <c r="B35" s="12" t="s">
        <v>75</v>
      </c>
      <c r="C35" s="41"/>
      <c r="D35" s="42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1000033</v>
      </c>
      <c r="B36" s="12" t="s">
        <v>27</v>
      </c>
      <c r="C36" s="41"/>
      <c r="D36" s="42"/>
      <c r="F36" s="28">
        <v>1</v>
      </c>
      <c r="G36" s="28"/>
      <c r="H36" s="28"/>
      <c r="I36" s="28"/>
      <c r="J36" s="28"/>
      <c r="K36" s="28"/>
      <c r="L36" s="28"/>
      <c r="M36" s="28"/>
      <c r="N36" s="28">
        <v>1</v>
      </c>
      <c r="O36" s="28"/>
      <c r="P36" s="418">
        <f t="shared" si="0"/>
        <v>2</v>
      </c>
    </row>
    <row r="37" spans="1:16" ht="15.75" thickBot="1" x14ac:dyDescent="0.3">
      <c r="A37" s="35">
        <v>1000446</v>
      </c>
      <c r="B37" s="12" t="s">
        <v>201</v>
      </c>
      <c r="C37" s="41"/>
      <c r="D37" s="42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1000067</v>
      </c>
      <c r="B38" s="12" t="s">
        <v>11</v>
      </c>
      <c r="C38" s="41"/>
      <c r="D38" s="42"/>
      <c r="F38" s="28">
        <v>1</v>
      </c>
      <c r="G38" s="28"/>
      <c r="H38" s="28"/>
      <c r="I38" s="28"/>
      <c r="J38" s="28"/>
      <c r="K38" s="28"/>
      <c r="L38" s="28"/>
      <c r="M38" s="28"/>
      <c r="N38" s="28"/>
      <c r="O38" s="28"/>
      <c r="P38" s="418">
        <f t="shared" si="0"/>
        <v>1</v>
      </c>
    </row>
    <row r="39" spans="1:16" ht="15.75" thickBot="1" x14ac:dyDescent="0.3">
      <c r="A39" s="35">
        <v>1000147</v>
      </c>
      <c r="B39" s="12" t="s">
        <v>52</v>
      </c>
      <c r="C39" s="41"/>
      <c r="D39" s="42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1000004</v>
      </c>
      <c r="B40" s="12" t="s">
        <v>10</v>
      </c>
      <c r="C40" s="41"/>
      <c r="D40" s="42"/>
      <c r="F40" s="28">
        <v>2</v>
      </c>
      <c r="G40" s="28"/>
      <c r="H40" s="28">
        <v>1</v>
      </c>
      <c r="I40" s="28"/>
      <c r="J40" s="28">
        <v>1</v>
      </c>
      <c r="K40" s="28"/>
      <c r="L40" s="28">
        <v>2</v>
      </c>
      <c r="M40" s="28"/>
      <c r="N40" s="28">
        <v>2</v>
      </c>
      <c r="O40" s="28"/>
      <c r="P40" s="418">
        <f t="shared" si="0"/>
        <v>8</v>
      </c>
    </row>
    <row r="41" spans="1:16" ht="15.75" thickBot="1" x14ac:dyDescent="0.3">
      <c r="A41" s="35">
        <v>1000027</v>
      </c>
      <c r="B41" s="12" t="s">
        <v>33</v>
      </c>
      <c r="C41" s="41"/>
      <c r="D41" s="42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1000034</v>
      </c>
      <c r="B42" s="12" t="s">
        <v>28</v>
      </c>
      <c r="C42" s="41"/>
      <c r="D42" s="42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1000472</v>
      </c>
      <c r="B43" s="12" t="s">
        <v>222</v>
      </c>
      <c r="C43" s="41"/>
      <c r="D43" s="42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1000080</v>
      </c>
      <c r="B44" s="12" t="s">
        <v>275</v>
      </c>
      <c r="C44" s="41"/>
      <c r="D44" s="42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1000436</v>
      </c>
      <c r="B45" s="12" t="s">
        <v>276</v>
      </c>
      <c r="C45" s="41"/>
      <c r="D45" s="42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1000550</v>
      </c>
      <c r="B46" s="12" t="s">
        <v>277</v>
      </c>
      <c r="C46" s="41"/>
      <c r="D46" s="42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6.5" thickBot="1" x14ac:dyDescent="0.3">
      <c r="A47" s="36">
        <v>1000551</v>
      </c>
      <c r="B47" s="12" t="s">
        <v>278</v>
      </c>
      <c r="C47"/>
      <c r="D47" s="42"/>
      <c r="E47" s="215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6.5" thickBot="1" x14ac:dyDescent="0.3">
      <c r="A48" s="207">
        <v>1000552</v>
      </c>
      <c r="B48" s="246" t="s">
        <v>279</v>
      </c>
      <c r="C48"/>
      <c r="D48" s="42"/>
      <c r="E48" s="21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1000029</v>
      </c>
      <c r="B49" s="12" t="s">
        <v>30</v>
      </c>
      <c r="D49" s="42"/>
      <c r="F49" s="28">
        <v>1</v>
      </c>
      <c r="G49" s="28"/>
      <c r="H49" s="28">
        <v>1</v>
      </c>
      <c r="I49" s="28"/>
      <c r="J49" s="28">
        <v>1</v>
      </c>
      <c r="K49" s="28"/>
      <c r="L49" s="28">
        <v>1</v>
      </c>
      <c r="M49" s="28"/>
      <c r="N49" s="28">
        <v>1</v>
      </c>
      <c r="O49" s="28"/>
      <c r="P49" s="418">
        <f t="shared" si="0"/>
        <v>5</v>
      </c>
    </row>
    <row r="50" spans="1:16" ht="15.75" thickBot="1" x14ac:dyDescent="0.3">
      <c r="A50" s="35">
        <v>1000045</v>
      </c>
      <c r="B50" s="12" t="s">
        <v>23</v>
      </c>
      <c r="D50" s="42"/>
      <c r="F50" s="28">
        <v>2</v>
      </c>
      <c r="G50" s="28"/>
      <c r="H50" s="28"/>
      <c r="I50" s="28"/>
      <c r="J50" s="28"/>
      <c r="K50" s="28"/>
      <c r="L50" s="28"/>
      <c r="M50" s="28"/>
      <c r="N50" s="28"/>
      <c r="O50" s="28"/>
      <c r="P50" s="418">
        <f t="shared" si="0"/>
        <v>2</v>
      </c>
    </row>
    <row r="51" spans="1:16" ht="15.75" thickBot="1" x14ac:dyDescent="0.3">
      <c r="A51" s="35">
        <v>1000011</v>
      </c>
      <c r="B51" s="12" t="s">
        <v>17</v>
      </c>
      <c r="D51" s="42"/>
      <c r="F51" s="28"/>
      <c r="G51" s="28"/>
      <c r="H51" s="28">
        <v>2</v>
      </c>
      <c r="I51" s="28"/>
      <c r="J51" s="28">
        <v>1</v>
      </c>
      <c r="K51" s="28"/>
      <c r="L51" s="28">
        <v>1</v>
      </c>
      <c r="M51" s="28"/>
      <c r="N51" s="28"/>
      <c r="O51" s="28"/>
      <c r="P51" s="418">
        <f t="shared" si="0"/>
        <v>4</v>
      </c>
    </row>
    <row r="52" spans="1:16" ht="15.75" thickBot="1" x14ac:dyDescent="0.3">
      <c r="A52" s="35">
        <v>1000075</v>
      </c>
      <c r="B52" s="13" t="s">
        <v>47</v>
      </c>
      <c r="D52" s="42"/>
      <c r="F52" s="28"/>
      <c r="G52" s="28"/>
      <c r="H52" s="28"/>
      <c r="I52" s="28"/>
      <c r="J52" s="28">
        <v>1</v>
      </c>
      <c r="K52" s="28"/>
      <c r="L52" s="28"/>
      <c r="M52" s="28"/>
      <c r="N52" s="28"/>
      <c r="O52" s="28"/>
      <c r="P52" s="418">
        <f t="shared" si="0"/>
        <v>1</v>
      </c>
    </row>
    <row r="53" spans="1:16" ht="15.75" thickBot="1" x14ac:dyDescent="0.3">
      <c r="A53" s="35">
        <v>1000092</v>
      </c>
      <c r="B53" s="13" t="s">
        <v>51</v>
      </c>
      <c r="D53" s="42"/>
      <c r="F53" s="28"/>
      <c r="G53" s="28"/>
      <c r="H53" s="28"/>
      <c r="I53" s="28"/>
      <c r="J53" s="28"/>
      <c r="K53" s="28"/>
      <c r="L53" s="28"/>
      <c r="M53" s="28"/>
      <c r="N53" s="28">
        <v>1</v>
      </c>
      <c r="O53" s="28"/>
      <c r="P53" s="418">
        <f t="shared" si="0"/>
        <v>1</v>
      </c>
    </row>
    <row r="54" spans="1:16" ht="15.75" thickBot="1" x14ac:dyDescent="0.3">
      <c r="A54" s="35">
        <v>1000057</v>
      </c>
      <c r="B54" s="12" t="s">
        <v>70</v>
      </c>
      <c r="D54" s="42"/>
      <c r="F54" s="28"/>
      <c r="G54" s="28"/>
      <c r="H54" s="28"/>
      <c r="I54" s="28"/>
      <c r="J54" s="28"/>
      <c r="K54" s="28"/>
      <c r="L54" s="28"/>
      <c r="M54" s="28"/>
      <c r="N54" s="28">
        <v>1</v>
      </c>
      <c r="O54" s="28"/>
      <c r="P54" s="418">
        <f t="shared" si="0"/>
        <v>1</v>
      </c>
    </row>
    <row r="55" spans="1:16" ht="15.75" thickBot="1" x14ac:dyDescent="0.3">
      <c r="A55" s="207"/>
      <c r="B55" s="246"/>
      <c r="D55" s="3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8BDC-C5D5-4E2E-ABDC-0E7E774DD01D}">
  <sheetPr>
    <tabColor rgb="FFFF0000"/>
    <pageSetUpPr fitToPage="1"/>
  </sheetPr>
  <dimension ref="A1:P50"/>
  <sheetViews>
    <sheetView topLeftCell="A19" zoomScale="70" zoomScaleNormal="70" workbookViewId="0">
      <selection activeCell="S45" sqref="S45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.125" style="27" customWidth="1"/>
    <col min="4" max="4" width="9.75" style="27" customWidth="1"/>
    <col min="5" max="5" width="1.875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7.25" style="27" customWidth="1"/>
    <col min="10" max="10" width="9.125" style="27" bestFit="1" customWidth="1"/>
    <col min="11" max="11" width="6.625" style="27" customWidth="1"/>
    <col min="12" max="12" width="10.25" style="27" customWidth="1"/>
    <col min="13" max="13" width="8.125" style="27" customWidth="1"/>
    <col min="14" max="14" width="9.125" style="27" bestFit="1" customWidth="1"/>
    <col min="15" max="15" width="7" style="27" customWidth="1"/>
    <col min="16" max="16" width="10" style="27" customWidth="1"/>
    <col min="17" max="17" width="13.625" style="27" customWidth="1"/>
    <col min="18" max="16384" width="10.875" style="27"/>
  </cols>
  <sheetData>
    <row r="1" spans="1:16" ht="15" customHeight="1" x14ac:dyDescent="0.45">
      <c r="A1" s="686" t="s">
        <v>122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21.7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</row>
    <row r="3" spans="1:16" s="3" customFormat="1" ht="25.5" customHeight="1" thickBot="1" x14ac:dyDescent="0.3">
      <c r="A3" s="5"/>
      <c r="B3" s="429" t="s">
        <v>333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10000102</v>
      </c>
      <c r="B5" s="11" t="s">
        <v>2</v>
      </c>
      <c r="C5" s="41"/>
      <c r="D5" s="48">
        <v>0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30">
        <f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200</v>
      </c>
      <c r="F6" s="148">
        <v>100</v>
      </c>
      <c r="G6" s="148"/>
      <c r="H6" s="148">
        <v>100</v>
      </c>
      <c r="I6" s="148"/>
      <c r="J6" s="148">
        <v>100</v>
      </c>
      <c r="K6" s="148"/>
      <c r="L6" s="148"/>
      <c r="M6" s="148"/>
      <c r="N6" s="148">
        <v>100</v>
      </c>
      <c r="O6" s="148"/>
      <c r="P6" s="418">
        <f t="shared" ref="P6:P49" si="0">SUM(F6:O6)</f>
        <v>400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200</v>
      </c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30">
        <f t="shared" si="0"/>
        <v>0</v>
      </c>
    </row>
    <row r="8" spans="1:16" ht="15.75" thickBot="1" x14ac:dyDescent="0.3">
      <c r="A8" s="35">
        <v>1000008</v>
      </c>
      <c r="B8" s="12" t="s">
        <v>7</v>
      </c>
      <c r="C8" s="41"/>
      <c r="D8" s="47">
        <v>75</v>
      </c>
      <c r="F8" s="148">
        <v>50</v>
      </c>
      <c r="G8" s="148"/>
      <c r="H8" s="148">
        <v>50</v>
      </c>
      <c r="I8" s="148"/>
      <c r="J8" s="148">
        <v>50</v>
      </c>
      <c r="K8" s="148"/>
      <c r="L8" s="148"/>
      <c r="M8" s="148"/>
      <c r="N8" s="148">
        <v>50</v>
      </c>
      <c r="O8" s="148"/>
      <c r="P8" s="418">
        <f t="shared" si="0"/>
        <v>200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10</v>
      </c>
      <c r="F9" s="148">
        <v>4</v>
      </c>
      <c r="G9" s="148"/>
      <c r="H9" s="148">
        <v>4</v>
      </c>
      <c r="I9" s="148"/>
      <c r="J9" s="148">
        <v>2</v>
      </c>
      <c r="K9" s="148"/>
      <c r="L9" s="148"/>
      <c r="M9" s="148"/>
      <c r="N9" s="148">
        <v>2</v>
      </c>
      <c r="O9" s="148"/>
      <c r="P9" s="418">
        <f t="shared" si="0"/>
        <v>12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2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4</v>
      </c>
      <c r="F11" s="148"/>
      <c r="G11" s="148"/>
      <c r="H11" s="148"/>
      <c r="I11" s="148"/>
      <c r="J11" s="148">
        <v>3</v>
      </c>
      <c r="K11" s="148"/>
      <c r="L11" s="148"/>
      <c r="M11" s="148"/>
      <c r="N11" s="148">
        <v>2</v>
      </c>
      <c r="O11" s="148"/>
      <c r="P11" s="418">
        <f t="shared" si="0"/>
        <v>5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50</v>
      </c>
      <c r="F13" s="148">
        <v>10</v>
      </c>
      <c r="G13" s="148"/>
      <c r="H13" s="148">
        <v>10</v>
      </c>
      <c r="I13" s="148"/>
      <c r="J13" s="148">
        <v>10</v>
      </c>
      <c r="K13" s="148"/>
      <c r="L13" s="148"/>
      <c r="M13" s="148"/>
      <c r="N13" s="148">
        <v>10</v>
      </c>
      <c r="O13" s="148"/>
      <c r="P13" s="418">
        <f t="shared" si="0"/>
        <v>40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0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30">
        <f t="shared" si="0"/>
        <v>0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45</v>
      </c>
      <c r="F15" s="148">
        <v>20</v>
      </c>
      <c r="G15" s="148"/>
      <c r="H15" s="148">
        <v>20</v>
      </c>
      <c r="I15" s="148"/>
      <c r="J15" s="148">
        <v>20</v>
      </c>
      <c r="K15" s="148"/>
      <c r="L15" s="148"/>
      <c r="M15" s="148"/>
      <c r="N15" s="148">
        <v>10</v>
      </c>
      <c r="O15" s="148"/>
      <c r="P15" s="418">
        <f t="shared" si="0"/>
        <v>70</v>
      </c>
    </row>
    <row r="16" spans="1:16" ht="15.75" thickBot="1" x14ac:dyDescent="0.3">
      <c r="A16" s="35">
        <v>1000016</v>
      </c>
      <c r="B16" s="13" t="s">
        <v>15</v>
      </c>
      <c r="C16" s="41"/>
      <c r="D16" s="47">
        <v>10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30">
        <f t="shared" si="0"/>
        <v>0</v>
      </c>
    </row>
    <row r="17" spans="1:16" ht="15.75" thickBot="1" x14ac:dyDescent="0.3">
      <c r="A17" s="35">
        <v>1000049</v>
      </c>
      <c r="B17" s="12" t="s">
        <v>21</v>
      </c>
      <c r="C17" s="41"/>
      <c r="D17" s="47">
        <v>1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30">
        <f t="shared" si="0"/>
        <v>0</v>
      </c>
    </row>
    <row r="18" spans="1:16" ht="15.75" thickBot="1" x14ac:dyDescent="0.3">
      <c r="A18" s="35">
        <v>1000050</v>
      </c>
      <c r="B18" s="14" t="s">
        <v>22</v>
      </c>
      <c r="C18" s="41"/>
      <c r="D18" s="47">
        <v>1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30">
        <f t="shared" si="0"/>
        <v>0</v>
      </c>
    </row>
    <row r="19" spans="1:16" ht="15.75" thickBot="1" x14ac:dyDescent="0.3">
      <c r="A19" s="35">
        <v>1000034</v>
      </c>
      <c r="B19" s="13" t="s">
        <v>28</v>
      </c>
      <c r="C19" s="41"/>
      <c r="D19" s="47">
        <v>1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30">
        <f t="shared" si="0"/>
        <v>0</v>
      </c>
    </row>
    <row r="20" spans="1:16" ht="15.75" thickBot="1" x14ac:dyDescent="0.3">
      <c r="A20" s="35">
        <v>1000073</v>
      </c>
      <c r="B20" s="13" t="s">
        <v>36</v>
      </c>
      <c r="C20" s="41"/>
      <c r="D20" s="47">
        <v>0</v>
      </c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30">
        <f t="shared" si="0"/>
        <v>0</v>
      </c>
    </row>
    <row r="21" spans="1:16" ht="15.75" thickBot="1" x14ac:dyDescent="0.3">
      <c r="A21" s="35">
        <v>10248</v>
      </c>
      <c r="B21" s="13" t="s">
        <v>183</v>
      </c>
      <c r="C21" s="41"/>
      <c r="D21" s="47">
        <v>0</v>
      </c>
      <c r="F21" s="148">
        <v>12</v>
      </c>
      <c r="G21" s="148"/>
      <c r="H21" s="148">
        <v>12</v>
      </c>
      <c r="I21" s="148"/>
      <c r="J21" s="148">
        <v>12</v>
      </c>
      <c r="K21" s="148"/>
      <c r="L21" s="148"/>
      <c r="M21" s="148"/>
      <c r="N21" s="148">
        <v>12</v>
      </c>
      <c r="O21" s="148"/>
      <c r="P21" s="418">
        <f t="shared" si="0"/>
        <v>48</v>
      </c>
    </row>
    <row r="22" spans="1:16" ht="15.75" thickBot="1" x14ac:dyDescent="0.3">
      <c r="A22" s="35">
        <v>1000090</v>
      </c>
      <c r="B22" s="13" t="s">
        <v>40</v>
      </c>
      <c r="C22" s="41"/>
      <c r="D22" s="47">
        <v>3</v>
      </c>
      <c r="F22" s="148">
        <v>6</v>
      </c>
      <c r="G22" s="148"/>
      <c r="H22" s="148">
        <v>6</v>
      </c>
      <c r="I22" s="148"/>
      <c r="J22" s="148">
        <v>6</v>
      </c>
      <c r="K22" s="148"/>
      <c r="L22" s="148"/>
      <c r="M22" s="148"/>
      <c r="N22" s="148">
        <v>6</v>
      </c>
      <c r="O22" s="148"/>
      <c r="P22" s="418">
        <f t="shared" si="0"/>
        <v>24</v>
      </c>
    </row>
    <row r="23" spans="1:16" ht="15.75" thickBot="1" x14ac:dyDescent="0.3">
      <c r="A23" s="35">
        <v>1000052</v>
      </c>
      <c r="B23" s="13" t="s">
        <v>41</v>
      </c>
      <c r="C23" s="41"/>
      <c r="D23" s="47">
        <v>3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30">
        <f t="shared" si="0"/>
        <v>0</v>
      </c>
    </row>
    <row r="24" spans="1:16" ht="15.75" thickBot="1" x14ac:dyDescent="0.3">
      <c r="A24" s="35">
        <v>1000089</v>
      </c>
      <c r="B24" s="13" t="s">
        <v>42</v>
      </c>
      <c r="C24" s="41"/>
      <c r="D24" s="47">
        <v>3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30">
        <f t="shared" si="0"/>
        <v>0</v>
      </c>
    </row>
    <row r="25" spans="1:16" ht="15.75" thickBot="1" x14ac:dyDescent="0.3">
      <c r="A25" s="35">
        <v>1000051</v>
      </c>
      <c r="B25" s="13" t="s">
        <v>43</v>
      </c>
      <c r="C25" s="41"/>
      <c r="D25" s="47">
        <v>1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30">
        <f t="shared" si="0"/>
        <v>0</v>
      </c>
    </row>
    <row r="26" spans="1:16" ht="15.75" thickBot="1" x14ac:dyDescent="0.3">
      <c r="A26" s="35">
        <v>1000048</v>
      </c>
      <c r="B26" s="13" t="s">
        <v>45</v>
      </c>
      <c r="C26" s="41"/>
      <c r="D26" s="47">
        <v>1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30">
        <f t="shared" si="0"/>
        <v>0</v>
      </c>
    </row>
    <row r="27" spans="1:16" ht="15.75" thickBot="1" x14ac:dyDescent="0.3">
      <c r="A27" s="35">
        <v>1000075</v>
      </c>
      <c r="B27" s="13" t="s">
        <v>47</v>
      </c>
      <c r="C27" s="41"/>
      <c r="D27" s="47">
        <v>0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30">
        <f t="shared" si="0"/>
        <v>0</v>
      </c>
    </row>
    <row r="28" spans="1:16" ht="15.75" thickBot="1" x14ac:dyDescent="0.3">
      <c r="A28" s="35">
        <v>1000033</v>
      </c>
      <c r="B28" s="13" t="s">
        <v>27</v>
      </c>
      <c r="C28" s="41"/>
      <c r="D28" s="47"/>
      <c r="F28" s="148"/>
      <c r="G28" s="148"/>
      <c r="H28" s="148"/>
      <c r="I28" s="148"/>
      <c r="J28" s="148">
        <v>2</v>
      </c>
      <c r="K28" s="148"/>
      <c r="L28" s="148"/>
      <c r="M28" s="148"/>
      <c r="N28" s="148"/>
      <c r="O28" s="148"/>
      <c r="P28" s="418">
        <f t="shared" si="0"/>
        <v>2</v>
      </c>
    </row>
    <row r="29" spans="1:16" ht="15.75" thickBot="1" x14ac:dyDescent="0.3">
      <c r="A29" s="35">
        <v>1000147</v>
      </c>
      <c r="B29" s="13" t="s">
        <v>52</v>
      </c>
      <c r="C29" s="41"/>
      <c r="D29" s="47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30">
        <f t="shared" si="0"/>
        <v>0</v>
      </c>
    </row>
    <row r="30" spans="1:16" s="15" customFormat="1" ht="15.95" customHeight="1" thickBot="1" x14ac:dyDescent="0.3">
      <c r="A30" s="35">
        <v>1000076</v>
      </c>
      <c r="B30" s="13" t="s">
        <v>46</v>
      </c>
      <c r="C30" s="41"/>
      <c r="D30" s="47"/>
      <c r="E30" s="27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30">
        <f t="shared" si="0"/>
        <v>0</v>
      </c>
    </row>
    <row r="31" spans="1:16" ht="15.75" thickBot="1" x14ac:dyDescent="0.3">
      <c r="A31" s="35">
        <v>1000449</v>
      </c>
      <c r="B31" s="13" t="s">
        <v>202</v>
      </c>
      <c r="C31" s="41"/>
      <c r="D31" s="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30">
        <f t="shared" si="0"/>
        <v>0</v>
      </c>
    </row>
    <row r="32" spans="1:16" ht="15.75" thickBot="1" x14ac:dyDescent="0.3">
      <c r="A32" s="35">
        <v>1000025</v>
      </c>
      <c r="B32" s="13" t="s">
        <v>32</v>
      </c>
      <c r="C32" s="41"/>
      <c r="D32" s="47"/>
      <c r="F32" s="148"/>
      <c r="G32" s="148"/>
      <c r="H32" s="148">
        <v>5</v>
      </c>
      <c r="I32" s="148"/>
      <c r="J32" s="148">
        <v>5</v>
      </c>
      <c r="K32" s="148"/>
      <c r="L32" s="148"/>
      <c r="M32" s="148"/>
      <c r="N32" s="148"/>
      <c r="O32" s="148"/>
      <c r="P32" s="418">
        <f t="shared" si="0"/>
        <v>10</v>
      </c>
    </row>
    <row r="33" spans="1:16" ht="15.75" thickBot="1" x14ac:dyDescent="0.3">
      <c r="A33" s="35">
        <v>1000092</v>
      </c>
      <c r="B33" s="13" t="s">
        <v>51</v>
      </c>
      <c r="C33" s="41"/>
      <c r="D33" s="47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30">
        <f t="shared" si="0"/>
        <v>0</v>
      </c>
    </row>
    <row r="34" spans="1:16" ht="15.75" thickBot="1" x14ac:dyDescent="0.3">
      <c r="A34" s="35">
        <v>1000084</v>
      </c>
      <c r="B34" s="13" t="s">
        <v>38</v>
      </c>
      <c r="C34" s="41"/>
      <c r="D34" s="47"/>
      <c r="F34" s="148">
        <v>4</v>
      </c>
      <c r="G34" s="148"/>
      <c r="H34" s="148">
        <v>4</v>
      </c>
      <c r="I34" s="148"/>
      <c r="J34" s="148">
        <v>8</v>
      </c>
      <c r="K34" s="148"/>
      <c r="L34" s="148"/>
      <c r="M34" s="148"/>
      <c r="N34" s="148">
        <v>8</v>
      </c>
      <c r="O34" s="148"/>
      <c r="P34" s="418">
        <f t="shared" si="0"/>
        <v>24</v>
      </c>
    </row>
    <row r="35" spans="1:16" ht="15.75" thickBot="1" x14ac:dyDescent="0.3">
      <c r="A35" s="35">
        <v>1000472</v>
      </c>
      <c r="B35" s="13" t="s">
        <v>222</v>
      </c>
      <c r="C35" s="41"/>
      <c r="D35" s="47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30">
        <f t="shared" si="0"/>
        <v>0</v>
      </c>
    </row>
    <row r="36" spans="1:16" ht="15.75" thickBot="1" x14ac:dyDescent="0.3">
      <c r="A36" s="35">
        <v>1000100</v>
      </c>
      <c r="B36" s="13" t="s">
        <v>34</v>
      </c>
      <c r="C36" s="41"/>
      <c r="D36" s="47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30">
        <f t="shared" si="0"/>
        <v>0</v>
      </c>
    </row>
    <row r="37" spans="1:16" ht="15.75" thickBot="1" x14ac:dyDescent="0.3">
      <c r="A37" s="35">
        <v>10000015</v>
      </c>
      <c r="B37" s="13" t="s">
        <v>1</v>
      </c>
      <c r="C37" s="41"/>
      <c r="D37" s="47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30">
        <f t="shared" si="0"/>
        <v>0</v>
      </c>
    </row>
    <row r="38" spans="1:16" ht="15.75" thickBot="1" x14ac:dyDescent="0.3">
      <c r="A38" s="35">
        <v>1000383</v>
      </c>
      <c r="B38" s="13" t="s">
        <v>264</v>
      </c>
      <c r="C38" s="41"/>
      <c r="D38" s="47"/>
      <c r="F38" s="148"/>
      <c r="G38" s="148"/>
      <c r="H38" s="148"/>
      <c r="I38" s="148"/>
      <c r="J38" s="148">
        <v>12</v>
      </c>
      <c r="K38" s="148"/>
      <c r="L38" s="148"/>
      <c r="M38" s="148"/>
      <c r="N38" s="148"/>
      <c r="O38" s="148"/>
      <c r="P38" s="418">
        <f t="shared" si="0"/>
        <v>12</v>
      </c>
    </row>
    <row r="39" spans="1:16" ht="15.75" thickBot="1" x14ac:dyDescent="0.3">
      <c r="A39" s="35">
        <v>1000486</v>
      </c>
      <c r="B39" s="13" t="s">
        <v>263</v>
      </c>
      <c r="C39" s="41"/>
      <c r="D39" s="47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30">
        <f t="shared" si="0"/>
        <v>0</v>
      </c>
    </row>
    <row r="40" spans="1:16" ht="15.75" thickBot="1" x14ac:dyDescent="0.3">
      <c r="A40" s="35">
        <v>1000106</v>
      </c>
      <c r="B40" s="13" t="s">
        <v>59</v>
      </c>
      <c r="C40" s="41"/>
      <c r="D40" s="47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30">
        <f t="shared" si="0"/>
        <v>0</v>
      </c>
    </row>
    <row r="41" spans="1:16" ht="15.75" thickBot="1" x14ac:dyDescent="0.3">
      <c r="A41" s="35">
        <v>1000063</v>
      </c>
      <c r="B41" s="13" t="s">
        <v>65</v>
      </c>
      <c r="C41" s="41"/>
      <c r="D41" s="47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30">
        <f t="shared" si="0"/>
        <v>0</v>
      </c>
    </row>
    <row r="42" spans="1:16" ht="15.75" thickBot="1" x14ac:dyDescent="0.3">
      <c r="A42" s="35">
        <v>1000214</v>
      </c>
      <c r="B42" s="13" t="s">
        <v>49</v>
      </c>
      <c r="C42" s="41"/>
      <c r="D42" s="47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30">
        <f t="shared" si="0"/>
        <v>0</v>
      </c>
    </row>
    <row r="43" spans="1:16" ht="15.75" thickBot="1" x14ac:dyDescent="0.3">
      <c r="A43" s="35">
        <v>1000436</v>
      </c>
      <c r="B43" s="13" t="s">
        <v>276</v>
      </c>
      <c r="C43" s="41"/>
      <c r="D43" s="47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30">
        <f t="shared" si="0"/>
        <v>0</v>
      </c>
    </row>
    <row r="44" spans="1:16" ht="15.75" thickBot="1" x14ac:dyDescent="0.3">
      <c r="A44" s="35">
        <v>1000550</v>
      </c>
      <c r="B44" s="13" t="s">
        <v>277</v>
      </c>
      <c r="C44" s="41"/>
      <c r="D44" s="47"/>
      <c r="F44" s="148"/>
      <c r="G44" s="148"/>
      <c r="H44" s="148"/>
      <c r="I44" s="148"/>
      <c r="J44" s="148">
        <v>8</v>
      </c>
      <c r="K44" s="148"/>
      <c r="L44" s="148"/>
      <c r="M44" s="148"/>
      <c r="N44" s="148">
        <v>16</v>
      </c>
      <c r="O44" s="148"/>
      <c r="P44" s="418">
        <f t="shared" si="0"/>
        <v>24</v>
      </c>
    </row>
    <row r="45" spans="1:16" ht="15.75" thickBot="1" x14ac:dyDescent="0.3">
      <c r="A45" s="35">
        <v>1000551</v>
      </c>
      <c r="B45" s="13" t="s">
        <v>278</v>
      </c>
      <c r="C45" s="41"/>
      <c r="D45" s="47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30">
        <f t="shared" si="0"/>
        <v>0</v>
      </c>
    </row>
    <row r="46" spans="1:16" ht="15.75" thickBot="1" x14ac:dyDescent="0.3">
      <c r="A46" s="35">
        <v>1000552</v>
      </c>
      <c r="B46" s="13" t="s">
        <v>279</v>
      </c>
      <c r="C46" s="41"/>
      <c r="D46" s="47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30">
        <f t="shared" si="0"/>
        <v>0</v>
      </c>
    </row>
    <row r="47" spans="1:16" ht="15.75" thickBot="1" x14ac:dyDescent="0.3">
      <c r="A47" s="243">
        <v>1000080</v>
      </c>
      <c r="B47" s="251" t="s">
        <v>275</v>
      </c>
      <c r="C47" s="215"/>
      <c r="D47" s="38"/>
      <c r="E47" s="215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30">
        <f t="shared" si="0"/>
        <v>0</v>
      </c>
    </row>
    <row r="48" spans="1:16" ht="15.75" thickBot="1" x14ac:dyDescent="0.3">
      <c r="A48" s="138">
        <v>1000045</v>
      </c>
      <c r="B48" s="12" t="s">
        <v>23</v>
      </c>
      <c r="D48" s="3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30">
        <f t="shared" si="0"/>
        <v>0</v>
      </c>
    </row>
    <row r="49" spans="1:16" ht="15.75" thickBot="1" x14ac:dyDescent="0.3">
      <c r="A49" s="35">
        <v>1000029</v>
      </c>
      <c r="B49" s="12" t="s">
        <v>30</v>
      </c>
      <c r="D49" s="3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30">
        <f t="shared" si="0"/>
        <v>0</v>
      </c>
    </row>
    <row r="50" spans="1:16" ht="15.75" thickBot="1" x14ac:dyDescent="0.3">
      <c r="A50" s="35"/>
      <c r="B50" s="12" t="s">
        <v>497</v>
      </c>
      <c r="D50" s="38"/>
      <c r="F50" s="148"/>
      <c r="G50" s="148"/>
      <c r="H50" s="148"/>
      <c r="I50" s="148"/>
      <c r="J50" s="148">
        <v>1</v>
      </c>
      <c r="K50" s="148"/>
      <c r="L50" s="148"/>
      <c r="M50" s="148"/>
      <c r="N50" s="148"/>
      <c r="O50" s="148"/>
      <c r="P50" s="418">
        <f t="shared" ref="P50" si="1">SUM(F50:O50)</f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04AF-32D5-489A-9F9C-5C939E483B6A}">
  <sheetPr>
    <tabColor rgb="FFFF0000"/>
    <pageSetUpPr fitToPage="1"/>
  </sheetPr>
  <dimension ref="A1:P46"/>
  <sheetViews>
    <sheetView zoomScale="70" zoomScaleNormal="70" workbookViewId="0">
      <selection activeCell="R32" sqref="R32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9.5" style="27" customWidth="1"/>
    <col min="5" max="5" width="1.375" style="27" customWidth="1"/>
    <col min="6" max="6" width="8.625" style="27" bestFit="1" customWidth="1"/>
    <col min="7" max="7" width="7.75" style="27" customWidth="1"/>
    <col min="8" max="8" width="8.625" style="27" bestFit="1" customWidth="1"/>
    <col min="9" max="9" width="6.25" style="27" customWidth="1"/>
    <col min="10" max="10" width="8.625" style="27" bestFit="1" customWidth="1"/>
    <col min="11" max="11" width="5.75" style="27" customWidth="1"/>
    <col min="12" max="12" width="10.5" style="27" bestFit="1" customWidth="1"/>
    <col min="13" max="13" width="6.625" style="27" customWidth="1"/>
    <col min="14" max="14" width="8.625" style="27" bestFit="1" customWidth="1"/>
    <col min="15" max="15" width="5.625" style="27" customWidth="1"/>
    <col min="16" max="16" width="11.5" style="27" customWidth="1"/>
    <col min="17" max="16384" width="10.875" style="27"/>
  </cols>
  <sheetData>
    <row r="1" spans="1:16" ht="15" customHeight="1" x14ac:dyDescent="0.45">
      <c r="A1" s="686" t="s">
        <v>112</v>
      </c>
      <c r="B1" s="687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4"/>
      <c r="D2" s="430" t="s">
        <v>305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334</v>
      </c>
      <c r="C3" s="4"/>
      <c r="F3" s="11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s="3" customFormat="1" ht="7.5" customHeight="1" thickBot="1" x14ac:dyDescent="0.3">
      <c r="A5" s="4"/>
      <c r="B5" s="4"/>
      <c r="C5" s="4"/>
      <c r="D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18.75" customHeight="1" thickBot="1" x14ac:dyDescent="0.3">
      <c r="A6" s="30">
        <v>1000015</v>
      </c>
      <c r="B6" s="11" t="s">
        <v>1</v>
      </c>
      <c r="C6" s="51"/>
      <c r="D6" s="59">
        <v>1</v>
      </c>
      <c r="F6" s="159"/>
      <c r="G6" s="159"/>
      <c r="H6" s="159"/>
      <c r="I6" s="159"/>
      <c r="J6" s="159">
        <v>5</v>
      </c>
      <c r="K6" s="159"/>
      <c r="L6" s="159"/>
      <c r="M6" s="159"/>
      <c r="N6" s="159"/>
      <c r="O6" s="159"/>
      <c r="P6" s="418">
        <f t="shared" ref="P6:P46" si="0">SUM(F6:O6)</f>
        <v>5</v>
      </c>
    </row>
    <row r="7" spans="1:16" ht="18.75" customHeight="1" thickBot="1" x14ac:dyDescent="0.3">
      <c r="A7" s="35">
        <v>1000006</v>
      </c>
      <c r="B7" s="12" t="s">
        <v>4</v>
      </c>
      <c r="C7" s="51"/>
      <c r="D7" s="37">
        <v>150</v>
      </c>
      <c r="F7" s="159">
        <v>50</v>
      </c>
      <c r="G7" s="159"/>
      <c r="H7" s="159"/>
      <c r="I7" s="159"/>
      <c r="J7" s="159">
        <v>50</v>
      </c>
      <c r="K7" s="159"/>
      <c r="L7" s="159"/>
      <c r="M7" s="159"/>
      <c r="N7" s="159">
        <v>50</v>
      </c>
      <c r="O7" s="159"/>
      <c r="P7" s="418">
        <f t="shared" si="0"/>
        <v>150</v>
      </c>
    </row>
    <row r="8" spans="1:16" ht="18.75" customHeight="1" thickBot="1" x14ac:dyDescent="0.3">
      <c r="A8" s="35">
        <v>1000007</v>
      </c>
      <c r="B8" s="12" t="s">
        <v>5</v>
      </c>
      <c r="C8" s="51"/>
      <c r="D8" s="37">
        <v>90</v>
      </c>
      <c r="F8" s="159">
        <v>50</v>
      </c>
      <c r="G8" s="159"/>
      <c r="H8" s="159"/>
      <c r="I8" s="159"/>
      <c r="J8" s="159"/>
      <c r="K8" s="159"/>
      <c r="L8" s="159"/>
      <c r="M8" s="159"/>
      <c r="N8" s="159">
        <v>50</v>
      </c>
      <c r="O8" s="159"/>
      <c r="P8" s="418">
        <f t="shared" si="0"/>
        <v>100</v>
      </c>
    </row>
    <row r="9" spans="1:16" ht="18.75" customHeight="1" thickBot="1" x14ac:dyDescent="0.3">
      <c r="A9" s="35">
        <v>1000001</v>
      </c>
      <c r="B9" s="12" t="s">
        <v>8</v>
      </c>
      <c r="C9" s="51"/>
      <c r="D9" s="37">
        <v>6</v>
      </c>
      <c r="F9" s="159">
        <v>3</v>
      </c>
      <c r="G9" s="159"/>
      <c r="H9" s="159"/>
      <c r="I9" s="159"/>
      <c r="J9" s="159">
        <v>2</v>
      </c>
      <c r="K9" s="159"/>
      <c r="L9" s="159"/>
      <c r="M9" s="159"/>
      <c r="N9" s="159">
        <v>3</v>
      </c>
      <c r="O9" s="159"/>
      <c r="P9" s="418">
        <f t="shared" si="0"/>
        <v>8</v>
      </c>
    </row>
    <row r="10" spans="1:16" ht="18.75" customHeight="1" thickBot="1" x14ac:dyDescent="0.3">
      <c r="A10" s="35">
        <v>1000002</v>
      </c>
      <c r="B10" s="12" t="s">
        <v>9</v>
      </c>
      <c r="C10" s="51"/>
      <c r="D10" s="37">
        <v>1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30">
        <f t="shared" si="0"/>
        <v>0</v>
      </c>
    </row>
    <row r="11" spans="1:16" ht="18.75" customHeight="1" thickBot="1" x14ac:dyDescent="0.3">
      <c r="A11" s="35">
        <v>1000004</v>
      </c>
      <c r="B11" s="12" t="s">
        <v>10</v>
      </c>
      <c r="C11" s="51"/>
      <c r="D11" s="37">
        <v>1</v>
      </c>
      <c r="F11" s="159">
        <v>2</v>
      </c>
      <c r="G11" s="159"/>
      <c r="H11" s="159"/>
      <c r="I11" s="159"/>
      <c r="J11" s="159">
        <v>2</v>
      </c>
      <c r="K11" s="159"/>
      <c r="L11" s="159"/>
      <c r="M11" s="159"/>
      <c r="N11" s="159">
        <v>3</v>
      </c>
      <c r="O11" s="159"/>
      <c r="P11" s="418">
        <f t="shared" si="0"/>
        <v>7</v>
      </c>
    </row>
    <row r="12" spans="1:16" ht="18.75" customHeight="1" thickBot="1" x14ac:dyDescent="0.3">
      <c r="A12" s="35">
        <v>1000054</v>
      </c>
      <c r="B12" s="12" t="s">
        <v>12</v>
      </c>
      <c r="C12" s="51"/>
      <c r="D12" s="37">
        <v>10</v>
      </c>
      <c r="F12" s="159">
        <v>5</v>
      </c>
      <c r="G12" s="159"/>
      <c r="H12" s="159"/>
      <c r="I12" s="159"/>
      <c r="J12" s="159"/>
      <c r="K12" s="159"/>
      <c r="L12" s="159"/>
      <c r="M12" s="159"/>
      <c r="N12" s="159">
        <v>5</v>
      </c>
      <c r="O12" s="159"/>
      <c r="P12" s="418">
        <f t="shared" si="0"/>
        <v>10</v>
      </c>
    </row>
    <row r="13" spans="1:16" ht="18.75" customHeight="1" thickBot="1" x14ac:dyDescent="0.3">
      <c r="A13" s="35">
        <v>1000070</v>
      </c>
      <c r="B13" s="12" t="s">
        <v>13</v>
      </c>
      <c r="C13" s="51"/>
      <c r="D13" s="37">
        <v>0</v>
      </c>
      <c r="F13" s="159"/>
      <c r="G13" s="159"/>
      <c r="H13" s="159"/>
      <c r="I13" s="159"/>
      <c r="J13" s="159"/>
      <c r="K13" s="159"/>
      <c r="L13" s="159"/>
      <c r="M13" s="159"/>
      <c r="N13" s="159">
        <v>1</v>
      </c>
      <c r="O13" s="159"/>
      <c r="P13" s="418">
        <f t="shared" si="0"/>
        <v>1</v>
      </c>
    </row>
    <row r="14" spans="1:16" ht="18.75" customHeight="1" thickBot="1" x14ac:dyDescent="0.3">
      <c r="A14" s="35">
        <v>1000017</v>
      </c>
      <c r="B14" s="12" t="s">
        <v>14</v>
      </c>
      <c r="C14" s="51"/>
      <c r="D14" s="37">
        <v>10</v>
      </c>
      <c r="F14" s="159"/>
      <c r="G14" s="159"/>
      <c r="H14" s="159"/>
      <c r="I14" s="159"/>
      <c r="J14" s="159"/>
      <c r="K14" s="159"/>
      <c r="L14" s="159"/>
      <c r="M14" s="159"/>
      <c r="N14" s="159">
        <v>5</v>
      </c>
      <c r="O14" s="159"/>
      <c r="P14" s="418">
        <f t="shared" si="0"/>
        <v>5</v>
      </c>
    </row>
    <row r="15" spans="1:16" ht="18.75" customHeight="1" thickBot="1" x14ac:dyDescent="0.3">
      <c r="A15" s="35">
        <v>1000016</v>
      </c>
      <c r="B15" s="12" t="s">
        <v>15</v>
      </c>
      <c r="C15" s="51"/>
      <c r="D15" s="37">
        <v>5</v>
      </c>
      <c r="F15" s="159">
        <v>5</v>
      </c>
      <c r="G15" s="159"/>
      <c r="H15" s="159"/>
      <c r="I15" s="159"/>
      <c r="J15" s="159"/>
      <c r="K15" s="159"/>
      <c r="L15" s="159"/>
      <c r="M15" s="159"/>
      <c r="N15" s="159">
        <v>5</v>
      </c>
      <c r="O15" s="159"/>
      <c r="P15" s="418">
        <f t="shared" si="0"/>
        <v>10</v>
      </c>
    </row>
    <row r="16" spans="1:16" ht="18.75" customHeight="1" thickBot="1" x14ac:dyDescent="0.3">
      <c r="A16" s="35">
        <v>1000049</v>
      </c>
      <c r="B16" s="13" t="s">
        <v>21</v>
      </c>
      <c r="C16" s="51"/>
      <c r="D16" s="37">
        <v>1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30">
        <f t="shared" si="0"/>
        <v>0</v>
      </c>
    </row>
    <row r="17" spans="1:16" ht="18.75" customHeight="1" thickBot="1" x14ac:dyDescent="0.3">
      <c r="A17" s="35">
        <v>1000050</v>
      </c>
      <c r="B17" s="12" t="s">
        <v>22</v>
      </c>
      <c r="C17" s="51"/>
      <c r="D17" s="37">
        <v>1</v>
      </c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30">
        <f t="shared" si="0"/>
        <v>0</v>
      </c>
    </row>
    <row r="18" spans="1:16" ht="18.75" customHeight="1" thickBot="1" x14ac:dyDescent="0.3">
      <c r="A18" s="35">
        <v>1000031</v>
      </c>
      <c r="B18" s="14" t="s">
        <v>25</v>
      </c>
      <c r="C18" s="51"/>
      <c r="D18" s="37">
        <v>1</v>
      </c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30">
        <f t="shared" si="0"/>
        <v>0</v>
      </c>
    </row>
    <row r="19" spans="1:16" ht="18.75" customHeight="1" thickBot="1" x14ac:dyDescent="0.3">
      <c r="A19" s="35">
        <v>1000029</v>
      </c>
      <c r="B19" s="12" t="s">
        <v>30</v>
      </c>
      <c r="C19" s="51"/>
      <c r="D19" s="37">
        <v>0</v>
      </c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30">
        <f>SUM(F18:O18)</f>
        <v>0</v>
      </c>
    </row>
    <row r="20" spans="1:16" ht="18.75" customHeight="1" thickBot="1" x14ac:dyDescent="0.3">
      <c r="A20" s="35">
        <v>1000025</v>
      </c>
      <c r="B20" s="12" t="s">
        <v>32</v>
      </c>
      <c r="C20" s="51"/>
      <c r="D20" s="37">
        <v>1</v>
      </c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30">
        <f>SUM(F19:O19)</f>
        <v>0</v>
      </c>
    </row>
    <row r="21" spans="1:16" ht="18.75" customHeight="1" thickBot="1" x14ac:dyDescent="0.3">
      <c r="A21" s="35">
        <v>1000027</v>
      </c>
      <c r="B21" s="12" t="s">
        <v>33</v>
      </c>
      <c r="C21" s="51"/>
      <c r="D21" s="37">
        <v>2</v>
      </c>
      <c r="F21" s="159"/>
      <c r="G21" s="159"/>
      <c r="H21" s="159"/>
      <c r="I21" s="159"/>
      <c r="J21" s="159">
        <v>3</v>
      </c>
      <c r="K21" s="159"/>
      <c r="L21" s="159"/>
      <c r="M21" s="159"/>
      <c r="N21" s="159"/>
      <c r="O21" s="159"/>
      <c r="P21" s="418">
        <f t="shared" si="0"/>
        <v>3</v>
      </c>
    </row>
    <row r="22" spans="1:16" ht="18.75" customHeight="1" thickBot="1" x14ac:dyDescent="0.3">
      <c r="A22" s="35">
        <v>1000100</v>
      </c>
      <c r="B22" s="12" t="s">
        <v>34</v>
      </c>
      <c r="C22" s="51"/>
      <c r="D22" s="37">
        <v>0</v>
      </c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30">
        <f t="shared" si="0"/>
        <v>0</v>
      </c>
    </row>
    <row r="23" spans="1:16" ht="18.75" customHeight="1" thickBot="1" x14ac:dyDescent="0.3">
      <c r="A23" s="35">
        <v>1000146</v>
      </c>
      <c r="B23" s="12" t="s">
        <v>39</v>
      </c>
      <c r="C23" s="51"/>
      <c r="D23" s="37">
        <v>20</v>
      </c>
      <c r="F23" s="159">
        <v>10</v>
      </c>
      <c r="G23" s="159"/>
      <c r="H23" s="159"/>
      <c r="I23" s="159"/>
      <c r="J23" s="159">
        <v>10</v>
      </c>
      <c r="K23" s="159"/>
      <c r="L23" s="159"/>
      <c r="M23" s="159"/>
      <c r="N23" s="159">
        <v>10</v>
      </c>
      <c r="O23" s="159"/>
      <c r="P23" s="418">
        <f t="shared" si="0"/>
        <v>30</v>
      </c>
    </row>
    <row r="24" spans="1:16" ht="18.75" customHeight="1" thickBot="1" x14ac:dyDescent="0.3">
      <c r="A24" s="35">
        <v>10248</v>
      </c>
      <c r="B24" s="12" t="s">
        <v>183</v>
      </c>
      <c r="C24" s="51"/>
      <c r="D24" s="37">
        <v>0</v>
      </c>
      <c r="F24" s="159">
        <v>3</v>
      </c>
      <c r="G24" s="159"/>
      <c r="H24" s="159"/>
      <c r="I24" s="159"/>
      <c r="J24" s="159"/>
      <c r="K24" s="159"/>
      <c r="L24" s="159"/>
      <c r="M24" s="159"/>
      <c r="N24" s="159"/>
      <c r="O24" s="159"/>
      <c r="P24" s="418">
        <f t="shared" si="0"/>
        <v>3</v>
      </c>
    </row>
    <row r="25" spans="1:16" ht="18.75" customHeight="1" thickBot="1" x14ac:dyDescent="0.3">
      <c r="A25" s="35">
        <v>1000090</v>
      </c>
      <c r="B25" s="12" t="s">
        <v>40</v>
      </c>
      <c r="C25" s="51"/>
      <c r="D25" s="37">
        <v>2</v>
      </c>
      <c r="F25" s="159">
        <v>3</v>
      </c>
      <c r="G25" s="159"/>
      <c r="H25" s="159"/>
      <c r="I25" s="159"/>
      <c r="J25" s="159"/>
      <c r="K25" s="159"/>
      <c r="L25" s="159"/>
      <c r="M25" s="159"/>
      <c r="N25" s="159"/>
      <c r="O25" s="159"/>
      <c r="P25" s="418">
        <f t="shared" si="0"/>
        <v>3</v>
      </c>
    </row>
    <row r="26" spans="1:16" ht="18.75" customHeight="1" thickBot="1" x14ac:dyDescent="0.3">
      <c r="A26" s="35">
        <v>1000052</v>
      </c>
      <c r="B26" s="12" t="s">
        <v>41</v>
      </c>
      <c r="C26" s="51"/>
      <c r="D26" s="37">
        <v>2</v>
      </c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30">
        <f t="shared" si="0"/>
        <v>0</v>
      </c>
    </row>
    <row r="27" spans="1:16" ht="18.75" customHeight="1" thickBot="1" x14ac:dyDescent="0.3">
      <c r="A27" s="35">
        <v>1000089</v>
      </c>
      <c r="B27" s="12" t="s">
        <v>42</v>
      </c>
      <c r="C27" s="51"/>
      <c r="D27" s="37">
        <v>2</v>
      </c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30">
        <f t="shared" si="0"/>
        <v>0</v>
      </c>
    </row>
    <row r="28" spans="1:16" ht="18.75" customHeight="1" thickBot="1" x14ac:dyDescent="0.3">
      <c r="A28" s="35">
        <v>1000051</v>
      </c>
      <c r="B28" s="12" t="s">
        <v>43</v>
      </c>
      <c r="C28" s="51"/>
      <c r="D28" s="37">
        <v>1</v>
      </c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30">
        <f t="shared" si="0"/>
        <v>0</v>
      </c>
    </row>
    <row r="29" spans="1:16" ht="18.75" customHeight="1" thickBot="1" x14ac:dyDescent="0.3">
      <c r="A29" s="35">
        <v>1000048</v>
      </c>
      <c r="B29" s="12" t="s">
        <v>45</v>
      </c>
      <c r="C29" s="51"/>
      <c r="D29" s="37">
        <v>0</v>
      </c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30">
        <f t="shared" si="0"/>
        <v>0</v>
      </c>
    </row>
    <row r="30" spans="1:16" ht="18.75" customHeight="1" thickBot="1" x14ac:dyDescent="0.3">
      <c r="A30" s="35">
        <v>1000076</v>
      </c>
      <c r="B30" s="12" t="s">
        <v>46</v>
      </c>
      <c r="C30" s="51"/>
      <c r="D30" s="37">
        <v>0</v>
      </c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30">
        <f t="shared" si="0"/>
        <v>0</v>
      </c>
    </row>
    <row r="31" spans="1:16" ht="18.75" customHeight="1" thickBot="1" x14ac:dyDescent="0.3">
      <c r="A31" s="35">
        <v>1000075</v>
      </c>
      <c r="B31" s="12" t="s">
        <v>47</v>
      </c>
      <c r="C31" s="51"/>
      <c r="D31" s="37">
        <v>0</v>
      </c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30">
        <f t="shared" si="0"/>
        <v>0</v>
      </c>
    </row>
    <row r="32" spans="1:16" ht="18.75" customHeight="1" thickBot="1" x14ac:dyDescent="0.3">
      <c r="A32" s="35">
        <v>1000067</v>
      </c>
      <c r="B32" s="12" t="s">
        <v>11</v>
      </c>
      <c r="C32" s="51"/>
      <c r="D32" s="37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30">
        <f t="shared" si="0"/>
        <v>0</v>
      </c>
    </row>
    <row r="33" spans="1:16" ht="18.75" customHeight="1" thickBot="1" x14ac:dyDescent="0.3">
      <c r="A33" s="35">
        <v>1000033</v>
      </c>
      <c r="B33" s="12" t="s">
        <v>27</v>
      </c>
      <c r="C33" s="51"/>
      <c r="D33" s="37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30">
        <f t="shared" si="0"/>
        <v>0</v>
      </c>
    </row>
    <row r="34" spans="1:16" s="15" customFormat="1" ht="18.75" customHeight="1" thickBot="1" x14ac:dyDescent="0.3">
      <c r="A34" s="35">
        <v>1000214</v>
      </c>
      <c r="B34" s="12" t="s">
        <v>49</v>
      </c>
      <c r="C34" s="51"/>
      <c r="D34" s="37"/>
      <c r="E34" s="27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30">
        <f t="shared" si="0"/>
        <v>0</v>
      </c>
    </row>
    <row r="35" spans="1:16" s="15" customFormat="1" ht="18.75" customHeight="1" thickBot="1" x14ac:dyDescent="0.3">
      <c r="A35" s="35">
        <v>10000102</v>
      </c>
      <c r="B35" s="12" t="s">
        <v>2</v>
      </c>
      <c r="C35" s="51"/>
      <c r="D35" s="37"/>
      <c r="E35" s="27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30">
        <f t="shared" si="0"/>
        <v>0</v>
      </c>
    </row>
    <row r="36" spans="1:16" ht="15.75" thickBot="1" x14ac:dyDescent="0.3">
      <c r="A36" s="35">
        <v>1000084</v>
      </c>
      <c r="B36" s="12" t="s">
        <v>194</v>
      </c>
      <c r="C36" s="51"/>
      <c r="D36" s="37"/>
      <c r="F36" s="159"/>
      <c r="G36" s="159"/>
      <c r="H36" s="159"/>
      <c r="I36" s="159"/>
      <c r="J36" s="159">
        <v>4</v>
      </c>
      <c r="K36" s="159"/>
      <c r="L36" s="159"/>
      <c r="M36" s="159"/>
      <c r="N36" s="159"/>
      <c r="O36" s="159"/>
      <c r="P36" s="418">
        <f t="shared" si="0"/>
        <v>4</v>
      </c>
    </row>
    <row r="37" spans="1:16" ht="15.75" thickBot="1" x14ac:dyDescent="0.3">
      <c r="A37" s="35">
        <v>1000472</v>
      </c>
      <c r="B37" s="12" t="s">
        <v>222</v>
      </c>
      <c r="C37" s="51"/>
      <c r="D37" s="37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30">
        <f t="shared" si="0"/>
        <v>0</v>
      </c>
    </row>
    <row r="38" spans="1:16" ht="15.75" thickBot="1" x14ac:dyDescent="0.3">
      <c r="A38" s="35">
        <v>1000045</v>
      </c>
      <c r="B38" s="12" t="s">
        <v>23</v>
      </c>
      <c r="C38" s="51"/>
      <c r="D38" s="37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30">
        <f t="shared" si="0"/>
        <v>0</v>
      </c>
    </row>
    <row r="39" spans="1:16" ht="15.75" thickBot="1" x14ac:dyDescent="0.3">
      <c r="A39" s="35">
        <v>1000383</v>
      </c>
      <c r="B39" s="12" t="s">
        <v>264</v>
      </c>
      <c r="C39" s="51"/>
      <c r="D39" s="37"/>
      <c r="F39" s="159">
        <v>24</v>
      </c>
      <c r="G39" s="159"/>
      <c r="H39" s="159"/>
      <c r="I39" s="159"/>
      <c r="J39" s="159">
        <v>24</v>
      </c>
      <c r="K39" s="159"/>
      <c r="L39" s="159"/>
      <c r="M39" s="159"/>
      <c r="N39" s="159">
        <v>24</v>
      </c>
      <c r="O39" s="159"/>
      <c r="P39" s="418">
        <f t="shared" si="0"/>
        <v>72</v>
      </c>
    </row>
    <row r="40" spans="1:16" ht="15.75" thickBot="1" x14ac:dyDescent="0.3">
      <c r="A40" s="35">
        <v>1000486</v>
      </c>
      <c r="B40" s="12" t="s">
        <v>263</v>
      </c>
      <c r="C40" s="51"/>
      <c r="D40" s="37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30">
        <f t="shared" si="0"/>
        <v>0</v>
      </c>
    </row>
    <row r="41" spans="1:16" ht="15.75" thickBot="1" x14ac:dyDescent="0.3">
      <c r="A41" s="35">
        <v>1000436</v>
      </c>
      <c r="B41" s="12" t="s">
        <v>276</v>
      </c>
      <c r="C41" s="51"/>
      <c r="D41" s="37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30">
        <f t="shared" si="0"/>
        <v>0</v>
      </c>
    </row>
    <row r="42" spans="1:16" ht="15.75" thickBot="1" x14ac:dyDescent="0.3">
      <c r="A42" s="35">
        <v>1000550</v>
      </c>
      <c r="B42" s="12" t="s">
        <v>277</v>
      </c>
      <c r="C42" s="51"/>
      <c r="D42" s="37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30">
        <f t="shared" si="0"/>
        <v>0</v>
      </c>
    </row>
    <row r="43" spans="1:16" ht="15.75" thickBot="1" x14ac:dyDescent="0.3">
      <c r="A43" s="35">
        <v>1000551</v>
      </c>
      <c r="B43" s="12" t="s">
        <v>278</v>
      </c>
      <c r="C43" s="51"/>
      <c r="D43" s="37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30">
        <f t="shared" si="0"/>
        <v>0</v>
      </c>
    </row>
    <row r="44" spans="1:16" ht="15.75" thickBot="1" x14ac:dyDescent="0.3">
      <c r="A44" s="35">
        <v>1000552</v>
      </c>
      <c r="B44" s="12" t="s">
        <v>279</v>
      </c>
      <c r="C44" s="51"/>
      <c r="D44" s="37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30">
        <f t="shared" si="0"/>
        <v>0</v>
      </c>
    </row>
    <row r="45" spans="1:16" ht="15.75" thickBot="1" x14ac:dyDescent="0.3">
      <c r="A45" s="243">
        <v>1000080</v>
      </c>
      <c r="B45" s="251" t="s">
        <v>275</v>
      </c>
      <c r="C45" s="215"/>
      <c r="D45" s="38"/>
      <c r="E45" s="215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30">
        <f t="shared" si="0"/>
        <v>0</v>
      </c>
    </row>
    <row r="46" spans="1:16" ht="15.75" thickBot="1" x14ac:dyDescent="0.3">
      <c r="A46" s="233">
        <v>1000085</v>
      </c>
      <c r="B46" s="12" t="s">
        <v>50</v>
      </c>
      <c r="D46" s="38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C251-6B16-4716-821F-59A2A395620D}">
  <sheetPr>
    <tabColor rgb="FFFF0000"/>
    <pageSetUpPr fitToPage="1"/>
  </sheetPr>
  <dimension ref="A1:V48"/>
  <sheetViews>
    <sheetView topLeftCell="A4" zoomScale="70" zoomScaleNormal="70" workbookViewId="0">
      <selection activeCell="A40" sqref="A40:B40"/>
    </sheetView>
  </sheetViews>
  <sheetFormatPr baseColWidth="10" defaultColWidth="10.875" defaultRowHeight="15" x14ac:dyDescent="0.25"/>
  <cols>
    <col min="1" max="1" width="9.75" style="27" bestFit="1" customWidth="1"/>
    <col min="2" max="2" width="36" style="27" bestFit="1" customWidth="1"/>
    <col min="3" max="3" width="0.875" style="27" customWidth="1"/>
    <col min="4" max="4" width="9.375" style="27" customWidth="1"/>
    <col min="5" max="5" width="2.5" style="27" customWidth="1"/>
    <col min="6" max="6" width="9.5" style="27" customWidth="1"/>
    <col min="7" max="7" width="7.25" style="27" customWidth="1"/>
    <col min="8" max="8" width="9.625" style="27" customWidth="1"/>
    <col min="9" max="9" width="6.5" style="27" customWidth="1"/>
    <col min="10" max="10" width="9.375" style="27" customWidth="1"/>
    <col min="11" max="11" width="6" style="27" customWidth="1"/>
    <col min="12" max="12" width="7.875" style="27" customWidth="1"/>
    <col min="13" max="13" width="7" style="27" customWidth="1"/>
    <col min="14" max="14" width="8.5" style="27" customWidth="1"/>
    <col min="15" max="15" width="6.625" style="27" customWidth="1"/>
    <col min="16" max="16384" width="10.875" style="27"/>
  </cols>
  <sheetData>
    <row r="1" spans="1:16" ht="17.25" customHeight="1" x14ac:dyDescent="0.45">
      <c r="A1" s="686" t="s">
        <v>186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305</v>
      </c>
      <c r="F2" s="754"/>
      <c r="G2" s="755"/>
      <c r="H2" s="755"/>
      <c r="I2" s="755"/>
      <c r="J2" s="756"/>
      <c r="K2" s="2"/>
    </row>
    <row r="3" spans="1:16" s="3" customFormat="1" ht="26.25" customHeight="1" thickBot="1" x14ac:dyDescent="0.3">
      <c r="A3" s="5"/>
      <c r="B3" s="5" t="s">
        <v>335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19" t="s">
        <v>325</v>
      </c>
      <c r="H4" s="19" t="s">
        <v>310</v>
      </c>
      <c r="I4" s="19" t="s">
        <v>325</v>
      </c>
      <c r="J4" s="19" t="s">
        <v>311</v>
      </c>
      <c r="K4" s="19" t="s">
        <v>325</v>
      </c>
      <c r="L4" s="19" t="s">
        <v>312</v>
      </c>
      <c r="M4" s="19" t="s">
        <v>325</v>
      </c>
      <c r="N4" s="19" t="s">
        <v>313</v>
      </c>
      <c r="O4" s="19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7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100</v>
      </c>
      <c r="F6" s="28">
        <v>50</v>
      </c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50</v>
      </c>
    </row>
    <row r="7" spans="1:16" ht="15.75" thickBot="1" x14ac:dyDescent="0.3">
      <c r="A7" s="35">
        <v>1000007</v>
      </c>
      <c r="B7" s="12" t="s">
        <v>5</v>
      </c>
      <c r="C7" s="41"/>
      <c r="D7" s="47">
        <v>80</v>
      </c>
      <c r="F7" s="28">
        <v>50</v>
      </c>
      <c r="G7" s="28"/>
      <c r="H7" s="28"/>
      <c r="I7" s="28"/>
      <c r="J7" s="28">
        <v>50</v>
      </c>
      <c r="K7" s="28"/>
      <c r="L7" s="28"/>
      <c r="M7" s="28"/>
      <c r="N7" s="28">
        <v>50</v>
      </c>
      <c r="O7" s="28"/>
      <c r="P7" s="30">
        <f t="shared" si="0"/>
        <v>150</v>
      </c>
    </row>
    <row r="8" spans="1:16" ht="15.75" thickBot="1" x14ac:dyDescent="0.3">
      <c r="A8" s="35">
        <v>1000008</v>
      </c>
      <c r="B8" s="12" t="s">
        <v>7</v>
      </c>
      <c r="C8" s="41"/>
      <c r="D8" s="47">
        <v>2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>
        <v>4</v>
      </c>
      <c r="G9" s="28"/>
      <c r="H9" s="28"/>
      <c r="I9" s="28"/>
      <c r="J9" s="28">
        <v>3</v>
      </c>
      <c r="K9" s="28"/>
      <c r="L9" s="28"/>
      <c r="M9" s="28"/>
      <c r="N9" s="28">
        <v>2</v>
      </c>
      <c r="O9" s="28"/>
      <c r="P9" s="30">
        <f t="shared" si="0"/>
        <v>9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0</v>
      </c>
      <c r="F10" s="28"/>
      <c r="G10" s="28"/>
      <c r="H10" s="28"/>
      <c r="I10" s="28"/>
      <c r="J10" s="28">
        <v>1</v>
      </c>
      <c r="K10" s="28"/>
      <c r="L10" s="28"/>
      <c r="M10" s="28"/>
      <c r="N10" s="28"/>
      <c r="O10" s="28"/>
      <c r="P10" s="30">
        <f t="shared" si="0"/>
        <v>1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18</v>
      </c>
      <c r="F12" s="28">
        <v>5</v>
      </c>
      <c r="G12" s="28"/>
      <c r="H12" s="28"/>
      <c r="I12" s="28"/>
      <c r="J12" s="28"/>
      <c r="K12" s="28"/>
      <c r="L12" s="28"/>
      <c r="M12" s="28"/>
      <c r="N12" s="28">
        <v>5</v>
      </c>
      <c r="O12" s="28"/>
      <c r="P12" s="30">
        <f t="shared" si="0"/>
        <v>10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1</v>
      </c>
      <c r="F13" s="28"/>
      <c r="G13" s="28"/>
      <c r="H13" s="28"/>
      <c r="I13" s="28"/>
      <c r="J13" s="28"/>
      <c r="K13" s="28"/>
      <c r="L13" s="28"/>
      <c r="M13" s="28"/>
      <c r="N13" s="28">
        <v>1</v>
      </c>
      <c r="O13" s="28"/>
      <c r="P13" s="30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15</v>
      </c>
      <c r="F14" s="28">
        <v>5</v>
      </c>
      <c r="G14" s="28"/>
      <c r="H14" s="28"/>
      <c r="I14" s="28"/>
      <c r="J14" s="28">
        <v>5</v>
      </c>
      <c r="K14" s="28"/>
      <c r="L14" s="28"/>
      <c r="M14" s="28"/>
      <c r="N14" s="28">
        <v>5</v>
      </c>
      <c r="O14" s="28"/>
      <c r="P14" s="30">
        <f t="shared" si="0"/>
        <v>15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3</v>
      </c>
      <c r="F15" s="28">
        <v>5</v>
      </c>
      <c r="G15" s="28"/>
      <c r="H15" s="28"/>
      <c r="I15" s="28"/>
      <c r="J15" s="28"/>
      <c r="K15" s="28"/>
      <c r="L15" s="28"/>
      <c r="M15" s="28"/>
      <c r="N15" s="28">
        <v>5</v>
      </c>
      <c r="O15" s="28"/>
      <c r="P15" s="30">
        <f t="shared" si="0"/>
        <v>10</v>
      </c>
    </row>
    <row r="16" spans="1:16" ht="15.75" thickBot="1" x14ac:dyDescent="0.3">
      <c r="A16" s="35">
        <v>1000050</v>
      </c>
      <c r="B16" s="13" t="s">
        <v>22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22" ht="15.75" thickBot="1" x14ac:dyDescent="0.3">
      <c r="A17" s="35">
        <v>1000031</v>
      </c>
      <c r="B17" s="12" t="s">
        <v>25</v>
      </c>
      <c r="C17" s="41"/>
      <c r="D17" s="47">
        <v>2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22" ht="15.75" thickBot="1" x14ac:dyDescent="0.3">
      <c r="A18" s="35">
        <v>1000032</v>
      </c>
      <c r="B18" s="12" t="s">
        <v>26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22" ht="15.75" thickBot="1" x14ac:dyDescent="0.3">
      <c r="A19" s="35">
        <v>1000025</v>
      </c>
      <c r="B19" s="12" t="s">
        <v>32</v>
      </c>
      <c r="C19" s="41"/>
      <c r="D19" s="47">
        <v>1</v>
      </c>
      <c r="F19" s="28">
        <v>5</v>
      </c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5</v>
      </c>
    </row>
    <row r="20" spans="1:22" ht="15.75" thickBot="1" x14ac:dyDescent="0.3">
      <c r="A20" s="35">
        <v>1000082</v>
      </c>
      <c r="B20" s="12" t="s">
        <v>37</v>
      </c>
      <c r="C20" s="41"/>
      <c r="D20" s="47">
        <v>10</v>
      </c>
      <c r="F20" s="28">
        <v>16</v>
      </c>
      <c r="G20" s="28"/>
      <c r="H20" s="28"/>
      <c r="I20" s="28"/>
      <c r="J20" s="28">
        <v>16</v>
      </c>
      <c r="K20" s="28"/>
      <c r="L20" s="28"/>
      <c r="M20" s="28"/>
      <c r="N20" s="28">
        <v>16</v>
      </c>
      <c r="O20" s="28"/>
      <c r="P20" s="30">
        <f t="shared" si="0"/>
        <v>48</v>
      </c>
    </row>
    <row r="21" spans="1:22" ht="15.75" thickBot="1" x14ac:dyDescent="0.3">
      <c r="A21" s="35">
        <v>1000084</v>
      </c>
      <c r="B21" s="12" t="s">
        <v>38</v>
      </c>
      <c r="C21" s="41"/>
      <c r="D21" s="47">
        <v>10</v>
      </c>
      <c r="F21" s="28">
        <v>8</v>
      </c>
      <c r="G21" s="28"/>
      <c r="H21" s="28"/>
      <c r="I21" s="28"/>
      <c r="J21" s="28">
        <v>8</v>
      </c>
      <c r="K21" s="28"/>
      <c r="L21" s="28"/>
      <c r="M21" s="28"/>
      <c r="N21" s="28">
        <v>8</v>
      </c>
      <c r="O21" s="28"/>
      <c r="P21" s="30">
        <f t="shared" si="0"/>
        <v>24</v>
      </c>
    </row>
    <row r="22" spans="1:22" ht="15.75" thickBot="1" x14ac:dyDescent="0.3">
      <c r="A22" s="35">
        <v>10248</v>
      </c>
      <c r="B22" s="12" t="s">
        <v>183</v>
      </c>
      <c r="C22" s="41"/>
      <c r="D22" s="47">
        <v>0</v>
      </c>
      <c r="F22" s="28">
        <v>3</v>
      </c>
      <c r="G22" s="28"/>
      <c r="H22" s="28"/>
      <c r="I22" s="28"/>
      <c r="J22" s="28">
        <v>6</v>
      </c>
      <c r="K22" s="28"/>
      <c r="L22" s="28"/>
      <c r="M22" s="28"/>
      <c r="N22" s="28">
        <v>3</v>
      </c>
      <c r="O22" s="28"/>
      <c r="P22" s="30">
        <f t="shared" si="0"/>
        <v>12</v>
      </c>
    </row>
    <row r="23" spans="1:22" ht="15.75" thickBot="1" x14ac:dyDescent="0.3">
      <c r="A23" s="35">
        <v>1000052</v>
      </c>
      <c r="B23" s="12" t="s">
        <v>41</v>
      </c>
      <c r="C23" s="41"/>
      <c r="D23" s="47">
        <v>1</v>
      </c>
      <c r="F23" s="28"/>
      <c r="G23" s="28"/>
      <c r="H23" s="28"/>
      <c r="I23" s="28"/>
      <c r="J23" s="28"/>
      <c r="K23" s="28"/>
      <c r="L23" s="28"/>
      <c r="M23" s="28"/>
      <c r="N23" s="28">
        <v>1</v>
      </c>
      <c r="O23" s="28"/>
      <c r="P23" s="30">
        <f t="shared" si="0"/>
        <v>1</v>
      </c>
    </row>
    <row r="24" spans="1:22" ht="15.75" thickBot="1" x14ac:dyDescent="0.3">
      <c r="A24" s="35">
        <v>1000089</v>
      </c>
      <c r="B24" s="12" t="s">
        <v>42</v>
      </c>
      <c r="C24" s="41"/>
      <c r="D24" s="47">
        <v>1</v>
      </c>
      <c r="F24" s="28"/>
      <c r="G24" s="28"/>
      <c r="H24" s="28"/>
      <c r="I24" s="28"/>
      <c r="J24" s="28">
        <v>2</v>
      </c>
      <c r="K24" s="28"/>
      <c r="L24" s="28"/>
      <c r="M24" s="28"/>
      <c r="N24" s="28">
        <v>1</v>
      </c>
      <c r="O24" s="28"/>
      <c r="P24" s="30">
        <f t="shared" si="0"/>
        <v>3</v>
      </c>
    </row>
    <row r="25" spans="1:22" ht="15.75" thickBot="1" x14ac:dyDescent="0.3">
      <c r="A25" s="35">
        <v>1000051</v>
      </c>
      <c r="B25" s="12" t="s">
        <v>43</v>
      </c>
      <c r="C25" s="41"/>
      <c r="D25" s="47">
        <v>0</v>
      </c>
      <c r="F25" s="28"/>
      <c r="G25" s="28"/>
      <c r="H25" s="28"/>
      <c r="I25" s="28"/>
      <c r="J25" s="28">
        <v>1</v>
      </c>
      <c r="K25" s="28"/>
      <c r="L25" s="28"/>
      <c r="M25" s="28"/>
      <c r="N25" s="28"/>
      <c r="O25" s="28"/>
      <c r="P25" s="30">
        <f t="shared" si="0"/>
        <v>1</v>
      </c>
    </row>
    <row r="26" spans="1:22" ht="15.75" thickBot="1" x14ac:dyDescent="0.3">
      <c r="A26" s="35">
        <v>1000049</v>
      </c>
      <c r="B26" s="12" t="s">
        <v>21</v>
      </c>
      <c r="C26" s="41"/>
      <c r="D26" s="47">
        <v>2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22" s="15" customFormat="1" ht="15.95" customHeight="1" thickBot="1" x14ac:dyDescent="0.3">
      <c r="A27" s="35">
        <v>1000045</v>
      </c>
      <c r="B27" s="12" t="s">
        <v>23</v>
      </c>
      <c r="C27" s="41"/>
      <c r="D27" s="47">
        <v>0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  <c r="V27" s="15" t="s">
        <v>336</v>
      </c>
    </row>
    <row r="28" spans="1:22" ht="15.75" thickBot="1" x14ac:dyDescent="0.3">
      <c r="A28" s="35">
        <v>1000048</v>
      </c>
      <c r="B28" s="12" t="s">
        <v>45</v>
      </c>
      <c r="C28" s="41"/>
      <c r="D28" s="47"/>
      <c r="F28" s="28"/>
      <c r="G28" s="28"/>
      <c r="H28" s="28"/>
      <c r="I28" s="28"/>
      <c r="J28" s="28"/>
      <c r="K28" s="28"/>
      <c r="L28" s="28"/>
      <c r="M28" s="28"/>
      <c r="N28" s="28">
        <v>1</v>
      </c>
      <c r="O28" s="28"/>
      <c r="P28" s="30">
        <f t="shared" si="0"/>
        <v>1</v>
      </c>
    </row>
    <row r="29" spans="1:22" ht="15.75" thickBot="1" x14ac:dyDescent="0.3">
      <c r="A29" s="35">
        <v>1000033</v>
      </c>
      <c r="B29" s="12" t="s">
        <v>27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22" ht="15.75" thickBot="1" x14ac:dyDescent="0.3">
      <c r="A30" s="35">
        <v>1000101</v>
      </c>
      <c r="B30" s="12" t="s">
        <v>35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22" ht="15.75" thickBot="1" x14ac:dyDescent="0.3">
      <c r="A31" s="35">
        <v>1000449</v>
      </c>
      <c r="B31" s="12" t="s">
        <v>202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22" ht="15.75" thickBot="1" x14ac:dyDescent="0.3">
      <c r="A32" s="35">
        <v>1000486</v>
      </c>
      <c r="B32" s="12" t="s">
        <v>263</v>
      </c>
      <c r="C32" s="41"/>
      <c r="D32" s="47"/>
      <c r="F32" s="28">
        <v>10</v>
      </c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10</v>
      </c>
    </row>
    <row r="33" spans="1:16" ht="15.75" thickBot="1" x14ac:dyDescent="0.3">
      <c r="A33" s="35">
        <v>1000067</v>
      </c>
      <c r="B33" s="12" t="s">
        <v>11</v>
      </c>
      <c r="C33" s="41"/>
      <c r="D33" s="47"/>
      <c r="F33" s="28">
        <v>1</v>
      </c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1</v>
      </c>
    </row>
    <row r="34" spans="1:16" ht="15.75" thickBot="1" x14ac:dyDescent="0.3">
      <c r="A34" s="35">
        <v>1000085</v>
      </c>
      <c r="B34" s="12" t="s">
        <v>50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1000010</v>
      </c>
      <c r="B35" s="12" t="s">
        <v>17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1000064</v>
      </c>
      <c r="B36" s="12" t="s">
        <v>63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1000092</v>
      </c>
      <c r="B37" s="12" t="s">
        <v>51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10000102</v>
      </c>
      <c r="B38" s="12" t="s">
        <v>237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1000205</v>
      </c>
      <c r="B39" s="12" t="s">
        <v>82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1000075</v>
      </c>
      <c r="B40" s="12" t="s">
        <v>47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1000100</v>
      </c>
      <c r="B41" s="12" t="s">
        <v>34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1000080</v>
      </c>
      <c r="B42" s="12" t="s">
        <v>275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1000436</v>
      </c>
      <c r="B43" s="12" t="s">
        <v>276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1000550</v>
      </c>
      <c r="B44" s="12" t="s">
        <v>277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1000041</v>
      </c>
      <c r="B45" s="12" t="s">
        <v>16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243">
        <v>1000552</v>
      </c>
      <c r="B46" s="251" t="s">
        <v>279</v>
      </c>
      <c r="C46" s="215"/>
      <c r="D46" s="38"/>
      <c r="E46" s="215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10211</v>
      </c>
      <c r="B47" s="12" t="s">
        <v>3</v>
      </c>
      <c r="D47" s="38"/>
      <c r="F47" s="28"/>
      <c r="G47" s="28"/>
      <c r="H47" s="28"/>
      <c r="I47" s="28"/>
      <c r="J47" s="28">
        <v>50</v>
      </c>
      <c r="K47" s="28"/>
      <c r="L47" s="28"/>
      <c r="M47" s="28"/>
      <c r="N47" s="28"/>
      <c r="O47" s="28"/>
      <c r="P47" s="30">
        <f t="shared" si="0"/>
        <v>50</v>
      </c>
    </row>
    <row r="48" spans="1:16" ht="15.75" thickBot="1" x14ac:dyDescent="0.3">
      <c r="A48" s="35"/>
      <c r="B48" s="12" t="s">
        <v>498</v>
      </c>
      <c r="D48" s="38"/>
      <c r="F48" s="28"/>
      <c r="G48" s="28"/>
      <c r="H48" s="28"/>
      <c r="I48" s="28"/>
      <c r="J48" s="28"/>
      <c r="K48" s="28"/>
      <c r="L48" s="28"/>
      <c r="M48" s="28"/>
      <c r="N48" s="28">
        <v>1</v>
      </c>
      <c r="O48" s="28"/>
      <c r="P48" s="30">
        <f t="shared" ref="P48" si="1">SUM(F48:O48)</f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8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36C6-3631-4BDC-9E8E-7F10BA4F1BF9}">
  <sheetPr>
    <tabColor rgb="FFFF0000"/>
    <pageSetUpPr fitToPage="1"/>
  </sheetPr>
  <dimension ref="A1:P57"/>
  <sheetViews>
    <sheetView zoomScale="70" zoomScaleNormal="70" workbookViewId="0">
      <selection activeCell="P56" sqref="P56:P57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125" style="27" customWidth="1"/>
    <col min="4" max="4" width="9" style="27" customWidth="1"/>
    <col min="5" max="5" width="1.875" style="27" customWidth="1"/>
    <col min="6" max="6" width="9.125" style="27" bestFit="1" customWidth="1"/>
    <col min="7" max="7" width="7.875" style="27" customWidth="1"/>
    <col min="8" max="8" width="9.125" style="27" bestFit="1" customWidth="1"/>
    <col min="9" max="9" width="7.875" style="27" customWidth="1"/>
    <col min="10" max="10" width="9.125" style="27" bestFit="1" customWidth="1"/>
    <col min="11" max="11" width="8.125" style="27" customWidth="1"/>
    <col min="12" max="12" width="9.125" style="27" bestFit="1" customWidth="1"/>
    <col min="13" max="13" width="7.75" style="27" customWidth="1"/>
    <col min="14" max="14" width="9.125" style="27" bestFit="1" customWidth="1"/>
    <col min="15" max="15" width="7.375" style="27" customWidth="1"/>
    <col min="16" max="16384" width="10.875" style="27"/>
  </cols>
  <sheetData>
    <row r="1" spans="1:16" ht="15" customHeight="1" x14ac:dyDescent="0.45">
      <c r="A1" s="686" t="s">
        <v>128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</row>
    <row r="3" spans="1:16" s="3" customFormat="1" ht="18.75" customHeight="1" thickBot="1" x14ac:dyDescent="0.3">
      <c r="A3" s="5"/>
      <c r="B3" s="5" t="s">
        <v>337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8</v>
      </c>
      <c r="F5" s="29"/>
      <c r="G5" s="29"/>
      <c r="H5" s="29">
        <v>10</v>
      </c>
      <c r="I5" s="29"/>
      <c r="J5" s="29">
        <v>10</v>
      </c>
      <c r="K5" s="29"/>
      <c r="L5" s="29">
        <v>10</v>
      </c>
      <c r="M5" s="29"/>
      <c r="N5" s="29"/>
      <c r="O5" s="29"/>
      <c r="P5" s="415">
        <f t="shared" ref="P5:P57" si="0">SUM(F5:O5)</f>
        <v>30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9"/>
      <c r="G6" s="29"/>
      <c r="H6" s="29">
        <v>4</v>
      </c>
      <c r="I6" s="29"/>
      <c r="J6" s="29"/>
      <c r="K6" s="29"/>
      <c r="L6" s="29"/>
      <c r="M6" s="29"/>
      <c r="N6" s="29"/>
      <c r="O6" s="29"/>
      <c r="P6" s="35">
        <f t="shared" si="0"/>
        <v>4</v>
      </c>
    </row>
    <row r="7" spans="1:16" ht="15.75" thickBot="1" x14ac:dyDescent="0.3">
      <c r="A7" s="35">
        <v>1000006</v>
      </c>
      <c r="B7" s="12" t="s">
        <v>4</v>
      </c>
      <c r="C7" s="41"/>
      <c r="D7" s="47">
        <v>200</v>
      </c>
      <c r="F7" s="29"/>
      <c r="G7" s="29"/>
      <c r="H7" s="29">
        <v>500</v>
      </c>
      <c r="I7" s="29"/>
      <c r="J7" s="29">
        <v>50</v>
      </c>
      <c r="K7" s="29"/>
      <c r="L7" s="29">
        <v>1000</v>
      </c>
      <c r="M7" s="29"/>
      <c r="N7" s="29"/>
      <c r="O7" s="29"/>
      <c r="P7" s="415">
        <f t="shared" si="0"/>
        <v>1550</v>
      </c>
    </row>
    <row r="8" spans="1:16" ht="15.75" thickBot="1" x14ac:dyDescent="0.3">
      <c r="A8" s="35">
        <v>1000007</v>
      </c>
      <c r="B8" s="12" t="s">
        <v>5</v>
      </c>
      <c r="C8" s="41"/>
      <c r="D8" s="47">
        <v>200</v>
      </c>
      <c r="F8" s="29"/>
      <c r="G8" s="29"/>
      <c r="H8" s="29">
        <v>500</v>
      </c>
      <c r="I8" s="29"/>
      <c r="J8" s="29">
        <v>50</v>
      </c>
      <c r="K8" s="29"/>
      <c r="L8" s="29">
        <v>1000</v>
      </c>
      <c r="M8" s="29"/>
      <c r="N8" s="29"/>
      <c r="O8" s="29"/>
      <c r="P8" s="415">
        <f t="shared" si="0"/>
        <v>1550</v>
      </c>
    </row>
    <row r="9" spans="1:16" ht="15.75" thickBot="1" x14ac:dyDescent="0.3">
      <c r="A9" s="35">
        <v>1000008</v>
      </c>
      <c r="B9" s="12" t="s">
        <v>7</v>
      </c>
      <c r="C9" s="41"/>
      <c r="D9" s="47">
        <v>60</v>
      </c>
      <c r="F9" s="29"/>
      <c r="G9" s="29"/>
      <c r="H9" s="29"/>
      <c r="I9" s="29"/>
      <c r="J9" s="29"/>
      <c r="K9" s="29"/>
      <c r="L9" s="29">
        <v>50</v>
      </c>
      <c r="M9" s="29"/>
      <c r="N9" s="29"/>
      <c r="O9" s="29"/>
      <c r="P9" s="415">
        <f t="shared" si="0"/>
        <v>50</v>
      </c>
    </row>
    <row r="10" spans="1:16" ht="15.75" thickBot="1" x14ac:dyDescent="0.3">
      <c r="A10" s="35">
        <v>1000001</v>
      </c>
      <c r="B10" s="12" t="s">
        <v>8</v>
      </c>
      <c r="C10" s="41"/>
      <c r="D10" s="47">
        <v>8</v>
      </c>
      <c r="F10" s="29"/>
      <c r="G10" s="29"/>
      <c r="H10" s="29">
        <v>3</v>
      </c>
      <c r="I10" s="29"/>
      <c r="J10" s="29">
        <v>4</v>
      </c>
      <c r="K10" s="29"/>
      <c r="L10" s="29">
        <v>4</v>
      </c>
      <c r="M10" s="29"/>
      <c r="N10" s="29"/>
      <c r="O10" s="29"/>
      <c r="P10" s="415">
        <f t="shared" si="0"/>
        <v>11</v>
      </c>
    </row>
    <row r="11" spans="1:16" ht="15.75" thickBot="1" x14ac:dyDescent="0.3">
      <c r="A11" s="35">
        <v>1000002</v>
      </c>
      <c r="B11" s="12" t="s">
        <v>9</v>
      </c>
      <c r="C11" s="41"/>
      <c r="D11" s="47">
        <v>1</v>
      </c>
      <c r="F11" s="29"/>
      <c r="G11" s="29"/>
      <c r="H11" s="29">
        <v>4</v>
      </c>
      <c r="I11" s="29"/>
      <c r="J11" s="29"/>
      <c r="K11" s="29"/>
      <c r="L11" s="29">
        <v>4</v>
      </c>
      <c r="M11" s="29"/>
      <c r="N11" s="29"/>
      <c r="O11" s="29"/>
      <c r="P11" s="35">
        <f t="shared" si="0"/>
        <v>8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29"/>
      <c r="G12" s="29"/>
      <c r="H12" s="29">
        <v>3</v>
      </c>
      <c r="I12" s="29"/>
      <c r="J12" s="29"/>
      <c r="K12" s="29"/>
      <c r="L12" s="29">
        <v>4</v>
      </c>
      <c r="M12" s="29"/>
      <c r="N12" s="29"/>
      <c r="O12" s="29"/>
      <c r="P12" s="415">
        <f t="shared" si="0"/>
        <v>7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35</v>
      </c>
      <c r="F13" s="29"/>
      <c r="G13" s="29"/>
      <c r="H13" s="29">
        <v>15</v>
      </c>
      <c r="I13" s="29"/>
      <c r="J13" s="29">
        <v>15</v>
      </c>
      <c r="K13" s="29"/>
      <c r="L13" s="29">
        <v>20</v>
      </c>
      <c r="M13" s="29"/>
      <c r="N13" s="29"/>
      <c r="O13" s="29"/>
      <c r="P13" s="415">
        <f t="shared" si="0"/>
        <v>50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2</v>
      </c>
      <c r="F14" s="29"/>
      <c r="G14" s="29"/>
      <c r="H14" s="29">
        <v>3</v>
      </c>
      <c r="I14" s="29"/>
      <c r="J14" s="29"/>
      <c r="K14" s="29"/>
      <c r="L14" s="29">
        <v>4</v>
      </c>
      <c r="M14" s="29"/>
      <c r="N14" s="29"/>
      <c r="O14" s="29"/>
      <c r="P14" s="415">
        <f t="shared" si="0"/>
        <v>7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25</v>
      </c>
      <c r="F15" s="29"/>
      <c r="G15" s="29"/>
      <c r="H15" s="29">
        <v>10</v>
      </c>
      <c r="I15" s="29"/>
      <c r="J15" s="29">
        <v>10</v>
      </c>
      <c r="K15" s="29"/>
      <c r="L15" s="29">
        <v>15</v>
      </c>
      <c r="M15" s="29"/>
      <c r="N15" s="29"/>
      <c r="O15" s="29"/>
      <c r="P15" s="415">
        <f t="shared" si="0"/>
        <v>35</v>
      </c>
    </row>
    <row r="16" spans="1:16" ht="15.75" thickBot="1" x14ac:dyDescent="0.3">
      <c r="A16" s="35">
        <v>1000016</v>
      </c>
      <c r="B16" s="13" t="s">
        <v>15</v>
      </c>
      <c r="C16" s="41"/>
      <c r="D16" s="47">
        <v>10</v>
      </c>
      <c r="F16" s="29"/>
      <c r="G16" s="29"/>
      <c r="H16" s="29">
        <v>5</v>
      </c>
      <c r="I16" s="29"/>
      <c r="J16" s="29"/>
      <c r="K16" s="29"/>
      <c r="L16" s="29">
        <v>5</v>
      </c>
      <c r="M16" s="29"/>
      <c r="N16" s="29"/>
      <c r="O16" s="29"/>
      <c r="P16" s="415">
        <f t="shared" si="0"/>
        <v>10</v>
      </c>
    </row>
    <row r="17" spans="1:16" ht="15.75" thickBot="1" x14ac:dyDescent="0.3">
      <c r="A17" s="35">
        <v>1000041</v>
      </c>
      <c r="B17" s="12" t="s">
        <v>16</v>
      </c>
      <c r="C17" s="41"/>
      <c r="D17" s="47">
        <v>1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5">
        <f t="shared" si="0"/>
        <v>0</v>
      </c>
    </row>
    <row r="18" spans="1:16" ht="15.75" thickBot="1" x14ac:dyDescent="0.3">
      <c r="A18" s="35">
        <v>1000049</v>
      </c>
      <c r="B18" s="14" t="s">
        <v>21</v>
      </c>
      <c r="C18" s="41"/>
      <c r="D18" s="47">
        <v>1</v>
      </c>
      <c r="F18" s="29"/>
      <c r="G18" s="29"/>
      <c r="H18" s="29">
        <v>4</v>
      </c>
      <c r="I18" s="29"/>
      <c r="J18" s="29"/>
      <c r="K18" s="29"/>
      <c r="L18" s="29"/>
      <c r="M18" s="29"/>
      <c r="N18" s="29"/>
      <c r="O18" s="29"/>
      <c r="P18" s="415">
        <f t="shared" si="0"/>
        <v>4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9"/>
      <c r="G19" s="29"/>
      <c r="H19" s="29">
        <v>4</v>
      </c>
      <c r="I19" s="29"/>
      <c r="J19" s="29"/>
      <c r="K19" s="29"/>
      <c r="L19" s="29"/>
      <c r="M19" s="29"/>
      <c r="N19" s="29"/>
      <c r="O19" s="29"/>
      <c r="P19" s="415">
        <f t="shared" si="0"/>
        <v>4</v>
      </c>
    </row>
    <row r="20" spans="1:16" ht="15.75" thickBot="1" x14ac:dyDescent="0.3">
      <c r="A20" s="35">
        <v>1000031</v>
      </c>
      <c r="B20" s="12" t="s">
        <v>25</v>
      </c>
      <c r="C20" s="41"/>
      <c r="D20" s="47">
        <v>3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5">
        <f t="shared" si="0"/>
        <v>0</v>
      </c>
    </row>
    <row r="21" spans="1:16" ht="15.75" thickBot="1" x14ac:dyDescent="0.3">
      <c r="A21" s="35">
        <v>1000032</v>
      </c>
      <c r="B21" s="12" t="s">
        <v>26</v>
      </c>
      <c r="C21" s="41"/>
      <c r="D21" s="47">
        <v>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5">
        <f t="shared" si="0"/>
        <v>0</v>
      </c>
    </row>
    <row r="22" spans="1:16" ht="15.75" thickBot="1" x14ac:dyDescent="0.3">
      <c r="A22" s="35">
        <v>1000025</v>
      </c>
      <c r="B22" s="12" t="s">
        <v>32</v>
      </c>
      <c r="C22" s="41"/>
      <c r="D22" s="47">
        <v>20</v>
      </c>
      <c r="F22" s="29"/>
      <c r="G22" s="29"/>
      <c r="H22" s="29">
        <v>5</v>
      </c>
      <c r="I22" s="29"/>
      <c r="J22" s="29">
        <v>5</v>
      </c>
      <c r="K22" s="29"/>
      <c r="L22" s="29">
        <v>5</v>
      </c>
      <c r="M22" s="29"/>
      <c r="N22" s="29"/>
      <c r="O22" s="29"/>
      <c r="P22" s="415">
        <f t="shared" si="0"/>
        <v>15</v>
      </c>
    </row>
    <row r="23" spans="1:16" ht="15.75" thickBot="1" x14ac:dyDescent="0.3">
      <c r="A23" s="35">
        <v>1000082</v>
      </c>
      <c r="B23" s="12" t="s">
        <v>37</v>
      </c>
      <c r="C23" s="41"/>
      <c r="D23" s="47">
        <v>150</v>
      </c>
      <c r="F23" s="29"/>
      <c r="G23" s="29"/>
      <c r="H23" s="29">
        <v>80</v>
      </c>
      <c r="I23" s="29"/>
      <c r="J23" s="29">
        <v>120</v>
      </c>
      <c r="K23" s="29"/>
      <c r="L23" s="29">
        <v>120</v>
      </c>
      <c r="M23" s="29"/>
      <c r="N23" s="29"/>
      <c r="O23" s="29"/>
      <c r="P23" s="415">
        <f t="shared" si="0"/>
        <v>320</v>
      </c>
    </row>
    <row r="24" spans="1:16" ht="15.75" thickBot="1" x14ac:dyDescent="0.3">
      <c r="A24" s="35">
        <v>1000084</v>
      </c>
      <c r="B24" s="12" t="s">
        <v>38</v>
      </c>
      <c r="C24" s="41"/>
      <c r="D24" s="47">
        <v>80</v>
      </c>
      <c r="F24" s="29"/>
      <c r="G24" s="29"/>
      <c r="H24" s="29">
        <v>40</v>
      </c>
      <c r="I24" s="29"/>
      <c r="J24" s="29"/>
      <c r="K24" s="29"/>
      <c r="L24" s="29">
        <v>60</v>
      </c>
      <c r="M24" s="29"/>
      <c r="N24" s="29"/>
      <c r="O24" s="29"/>
      <c r="P24" s="415">
        <f t="shared" si="0"/>
        <v>100</v>
      </c>
    </row>
    <row r="25" spans="1:16" ht="15.75" thickBot="1" x14ac:dyDescent="0.3">
      <c r="A25" s="35">
        <v>1000052</v>
      </c>
      <c r="B25" s="12" t="s">
        <v>41</v>
      </c>
      <c r="C25" s="41"/>
      <c r="D25" s="47">
        <v>3</v>
      </c>
      <c r="F25" s="29"/>
      <c r="G25" s="29"/>
      <c r="H25" s="29">
        <v>4</v>
      </c>
      <c r="I25" s="29"/>
      <c r="J25" s="29"/>
      <c r="K25" s="29"/>
      <c r="L25" s="29"/>
      <c r="M25" s="29"/>
      <c r="N25" s="29"/>
      <c r="O25" s="29"/>
      <c r="P25" s="415">
        <f t="shared" si="0"/>
        <v>4</v>
      </c>
    </row>
    <row r="26" spans="1:16" ht="15.75" thickBot="1" x14ac:dyDescent="0.3">
      <c r="A26" s="35">
        <v>1000089</v>
      </c>
      <c r="B26" s="12" t="s">
        <v>42</v>
      </c>
      <c r="C26" s="41"/>
      <c r="D26" s="47">
        <v>4</v>
      </c>
      <c r="F26" s="29"/>
      <c r="G26" s="29"/>
      <c r="H26" s="29">
        <v>4</v>
      </c>
      <c r="I26" s="29"/>
      <c r="J26" s="29"/>
      <c r="K26" s="29"/>
      <c r="L26" s="29">
        <v>4</v>
      </c>
      <c r="M26" s="29"/>
      <c r="N26" s="29"/>
      <c r="O26" s="29"/>
      <c r="P26" s="415">
        <f t="shared" si="0"/>
        <v>8</v>
      </c>
    </row>
    <row r="27" spans="1:16" ht="15.75" thickBot="1" x14ac:dyDescent="0.3">
      <c r="A27" s="35">
        <v>1000051</v>
      </c>
      <c r="B27" s="12" t="s">
        <v>43</v>
      </c>
      <c r="C27" s="41"/>
      <c r="D27" s="47">
        <v>1</v>
      </c>
      <c r="F27" s="29"/>
      <c r="G27" s="29"/>
      <c r="H27" s="29">
        <v>4</v>
      </c>
      <c r="I27" s="29"/>
      <c r="J27" s="29"/>
      <c r="K27" s="29"/>
      <c r="L27" s="29">
        <v>4</v>
      </c>
      <c r="M27" s="29"/>
      <c r="N27" s="29"/>
      <c r="O27" s="29"/>
      <c r="P27" s="415">
        <f t="shared" si="0"/>
        <v>8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0</v>
      </c>
      <c r="F28" s="29"/>
      <c r="G28" s="29"/>
      <c r="H28" s="29">
        <v>4</v>
      </c>
      <c r="I28" s="29"/>
      <c r="J28" s="29"/>
      <c r="K28" s="29"/>
      <c r="L28" s="29">
        <v>4</v>
      </c>
      <c r="M28" s="29"/>
      <c r="N28" s="29"/>
      <c r="O28" s="29"/>
      <c r="P28" s="415">
        <f t="shared" si="0"/>
        <v>8</v>
      </c>
    </row>
    <row r="29" spans="1:16" ht="15.75" thickBot="1" x14ac:dyDescent="0.3">
      <c r="A29" s="35">
        <v>1000214</v>
      </c>
      <c r="B29" s="12" t="s">
        <v>49</v>
      </c>
      <c r="C29" s="41"/>
      <c r="D29" s="47">
        <v>0</v>
      </c>
      <c r="F29" s="29"/>
      <c r="G29" s="29"/>
      <c r="H29" s="29">
        <v>2</v>
      </c>
      <c r="I29" s="29"/>
      <c r="J29" s="29"/>
      <c r="K29" s="29"/>
      <c r="L29" s="29"/>
      <c r="M29" s="29"/>
      <c r="N29" s="29"/>
      <c r="O29" s="29"/>
      <c r="P29" s="415">
        <f t="shared" si="0"/>
        <v>2</v>
      </c>
    </row>
    <row r="30" spans="1:16" ht="15.75" thickBot="1" x14ac:dyDescent="0.3">
      <c r="A30" s="35">
        <v>1000092</v>
      </c>
      <c r="B30" s="12" t="s">
        <v>51</v>
      </c>
      <c r="C30" s="41"/>
      <c r="D30" s="47">
        <v>0</v>
      </c>
      <c r="F30" s="29"/>
      <c r="G30" s="29"/>
      <c r="H30" s="29"/>
      <c r="I30" s="29"/>
      <c r="J30" s="29"/>
      <c r="K30" s="29"/>
      <c r="L30" s="29">
        <v>3</v>
      </c>
      <c r="M30" s="29"/>
      <c r="N30" s="29"/>
      <c r="O30" s="29"/>
      <c r="P30" s="415">
        <f t="shared" si="0"/>
        <v>3</v>
      </c>
    </row>
    <row r="31" spans="1:16" ht="15.75" thickBot="1" x14ac:dyDescent="0.3">
      <c r="A31" s="35">
        <v>1000147</v>
      </c>
      <c r="B31" s="12" t="s">
        <v>52</v>
      </c>
      <c r="C31" s="41"/>
      <c r="D31" s="47">
        <v>0</v>
      </c>
      <c r="F31" s="29"/>
      <c r="G31" s="29"/>
      <c r="H31" s="29"/>
      <c r="I31" s="29"/>
      <c r="J31" s="29">
        <v>4</v>
      </c>
      <c r="K31" s="29"/>
      <c r="L31" s="29"/>
      <c r="M31" s="29"/>
      <c r="N31" s="29"/>
      <c r="O31" s="29"/>
      <c r="P31" s="415">
        <f t="shared" si="0"/>
        <v>4</v>
      </c>
    </row>
    <row r="32" spans="1:16" ht="15.75" thickBot="1" x14ac:dyDescent="0.3">
      <c r="A32" s="35">
        <v>1000033</v>
      </c>
      <c r="B32" s="12" t="s">
        <v>27</v>
      </c>
      <c r="C32" s="41"/>
      <c r="D32" s="47"/>
      <c r="F32" s="29"/>
      <c r="G32" s="29"/>
      <c r="H32" s="29">
        <v>2</v>
      </c>
      <c r="I32" s="29"/>
      <c r="J32" s="29"/>
      <c r="K32" s="29"/>
      <c r="L32" s="29"/>
      <c r="M32" s="29"/>
      <c r="N32" s="29"/>
      <c r="O32" s="29"/>
      <c r="P32" s="415">
        <f t="shared" si="0"/>
        <v>2</v>
      </c>
    </row>
    <row r="33" spans="1:16" s="15" customFormat="1" ht="15.95" customHeight="1" thickBot="1" x14ac:dyDescent="0.3">
      <c r="A33" s="35">
        <v>1000004</v>
      </c>
      <c r="B33" s="12" t="s">
        <v>10</v>
      </c>
      <c r="C33" s="41"/>
      <c r="D33" s="47"/>
      <c r="E33" s="27"/>
      <c r="F33" s="29"/>
      <c r="G33" s="29"/>
      <c r="H33" s="29">
        <v>3</v>
      </c>
      <c r="I33" s="29"/>
      <c r="J33" s="29">
        <v>4</v>
      </c>
      <c r="K33" s="29"/>
      <c r="L33" s="29">
        <v>4</v>
      </c>
      <c r="M33" s="29"/>
      <c r="N33" s="29"/>
      <c r="O33" s="29"/>
      <c r="P33" s="415">
        <f t="shared" si="0"/>
        <v>11</v>
      </c>
    </row>
    <row r="34" spans="1:16" ht="15.75" thickBot="1" x14ac:dyDescent="0.3">
      <c r="A34" s="35">
        <v>1000073</v>
      </c>
      <c r="B34" s="12" t="s">
        <v>36</v>
      </c>
      <c r="C34" s="41"/>
      <c r="D34" s="4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5">
        <f t="shared" si="0"/>
        <v>0</v>
      </c>
    </row>
    <row r="35" spans="1:16" ht="15.75" thickBot="1" x14ac:dyDescent="0.3">
      <c r="A35" s="35">
        <v>1000045</v>
      </c>
      <c r="B35" s="12" t="s">
        <v>23</v>
      </c>
      <c r="C35" s="41"/>
      <c r="D35" s="47"/>
      <c r="F35" s="29"/>
      <c r="G35" s="29"/>
      <c r="H35" s="29"/>
      <c r="I35" s="29"/>
      <c r="J35" s="29">
        <v>4</v>
      </c>
      <c r="K35" s="29"/>
      <c r="L35" s="29"/>
      <c r="M35" s="29"/>
      <c r="N35" s="29"/>
      <c r="O35" s="29"/>
      <c r="P35" s="415">
        <f t="shared" si="0"/>
        <v>4</v>
      </c>
    </row>
    <row r="36" spans="1:16" ht="15.75" thickBot="1" x14ac:dyDescent="0.3">
      <c r="A36" s="35">
        <v>1000029</v>
      </c>
      <c r="B36" s="12" t="s">
        <v>30</v>
      </c>
      <c r="C36" s="41"/>
      <c r="D36" s="47"/>
      <c r="F36" s="29"/>
      <c r="G36" s="29"/>
      <c r="H36" s="29">
        <v>2</v>
      </c>
      <c r="I36" s="29"/>
      <c r="J36" s="29"/>
      <c r="K36" s="29"/>
      <c r="L36" s="29"/>
      <c r="M36" s="29"/>
      <c r="N36" s="29"/>
      <c r="O36" s="29"/>
      <c r="P36" s="415">
        <f t="shared" si="0"/>
        <v>2</v>
      </c>
    </row>
    <row r="37" spans="1:16" ht="15.75" thickBot="1" x14ac:dyDescent="0.3">
      <c r="A37" s="35">
        <v>1000090</v>
      </c>
      <c r="B37" s="12" t="s">
        <v>40</v>
      </c>
      <c r="C37" s="41"/>
      <c r="D37" s="4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5">
        <f t="shared" si="0"/>
        <v>0</v>
      </c>
    </row>
    <row r="38" spans="1:16" ht="15.75" thickBot="1" x14ac:dyDescent="0.3">
      <c r="A38" s="35">
        <v>10248</v>
      </c>
      <c r="B38" s="12" t="s">
        <v>183</v>
      </c>
      <c r="C38" s="41"/>
      <c r="D38" s="4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5">
        <f t="shared" si="0"/>
        <v>0</v>
      </c>
    </row>
    <row r="39" spans="1:16" ht="15.75" thickBot="1" x14ac:dyDescent="0.3">
      <c r="A39" s="35">
        <v>1000100</v>
      </c>
      <c r="B39" s="12" t="s">
        <v>34</v>
      </c>
      <c r="C39" s="41"/>
      <c r="D39" s="4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35">
        <f t="shared" si="0"/>
        <v>0</v>
      </c>
    </row>
    <row r="40" spans="1:16" ht="15.75" thickBot="1" x14ac:dyDescent="0.3">
      <c r="A40" s="35">
        <v>1000092</v>
      </c>
      <c r="B40" s="12" t="s">
        <v>51</v>
      </c>
      <c r="C40" s="41"/>
      <c r="D40" s="4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5">
        <f t="shared" si="0"/>
        <v>0</v>
      </c>
    </row>
    <row r="41" spans="1:16" ht="15.75" thickBot="1" x14ac:dyDescent="0.3">
      <c r="A41" s="35">
        <v>1000034</v>
      </c>
      <c r="B41" s="12" t="s">
        <v>28</v>
      </c>
      <c r="C41" s="41"/>
      <c r="D41" s="47"/>
      <c r="F41" s="29"/>
      <c r="G41" s="29"/>
      <c r="H41" s="29"/>
      <c r="I41" s="29"/>
      <c r="J41" s="29"/>
      <c r="K41" s="29"/>
      <c r="L41" s="29">
        <v>2</v>
      </c>
      <c r="M41" s="29"/>
      <c r="N41" s="29"/>
      <c r="O41" s="29"/>
      <c r="P41" s="415">
        <f t="shared" si="0"/>
        <v>2</v>
      </c>
    </row>
    <row r="42" spans="1:16" ht="15.75" thickBot="1" x14ac:dyDescent="0.3">
      <c r="A42" s="35">
        <v>1000412</v>
      </c>
      <c r="B42" s="12" t="s">
        <v>239</v>
      </c>
      <c r="C42" s="41"/>
      <c r="D42" s="47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5">
        <f t="shared" si="0"/>
        <v>0</v>
      </c>
    </row>
    <row r="43" spans="1:16" ht="15.75" thickBot="1" x14ac:dyDescent="0.3">
      <c r="A43" s="35">
        <v>1000472</v>
      </c>
      <c r="B43" s="12" t="s">
        <v>222</v>
      </c>
      <c r="C43" s="41"/>
      <c r="D43" s="47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5">
        <f t="shared" si="0"/>
        <v>0</v>
      </c>
    </row>
    <row r="44" spans="1:16" ht="15.75" thickBot="1" x14ac:dyDescent="0.3">
      <c r="A44" s="35">
        <v>1000101</v>
      </c>
      <c r="B44" s="12" t="s">
        <v>35</v>
      </c>
      <c r="C44" s="41"/>
      <c r="D44" s="47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5">
        <f t="shared" si="0"/>
        <v>0</v>
      </c>
    </row>
    <row r="45" spans="1:16" ht="15.75" thickBot="1" x14ac:dyDescent="0.3">
      <c r="A45" s="35">
        <v>1000205</v>
      </c>
      <c r="B45" s="12" t="s">
        <v>82</v>
      </c>
      <c r="C45" s="41"/>
      <c r="D45" s="4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5">
        <f t="shared" si="0"/>
        <v>0</v>
      </c>
    </row>
    <row r="46" spans="1:16" ht="15.75" thickBot="1" x14ac:dyDescent="0.3">
      <c r="A46" s="35">
        <v>1000062</v>
      </c>
      <c r="B46" s="12" t="s">
        <v>66</v>
      </c>
      <c r="C46" s="41"/>
      <c r="D46" s="47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5">
        <f t="shared" si="0"/>
        <v>0</v>
      </c>
    </row>
    <row r="47" spans="1:16" ht="15.75" thickBot="1" x14ac:dyDescent="0.3">
      <c r="A47" s="35">
        <v>1000107</v>
      </c>
      <c r="B47" s="12" t="s">
        <v>60</v>
      </c>
      <c r="C47" s="41"/>
      <c r="D47" s="4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5">
        <f t="shared" si="0"/>
        <v>0</v>
      </c>
    </row>
    <row r="48" spans="1:16" ht="15.75" thickBot="1" x14ac:dyDescent="0.3">
      <c r="A48" s="35">
        <v>1000214</v>
      </c>
      <c r="B48" s="12" t="s">
        <v>49</v>
      </c>
      <c r="C48" s="41"/>
      <c r="D48" s="47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5">
        <f t="shared" si="0"/>
        <v>0</v>
      </c>
    </row>
    <row r="49" spans="1:16" ht="15.75" thickBot="1" x14ac:dyDescent="0.3">
      <c r="A49" s="35">
        <v>1000030</v>
      </c>
      <c r="B49" s="12" t="s">
        <v>24</v>
      </c>
      <c r="C49" s="41"/>
      <c r="D49" s="47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5">
        <f t="shared" si="0"/>
        <v>0</v>
      </c>
    </row>
    <row r="50" spans="1:16" ht="15.75" thickBot="1" x14ac:dyDescent="0.3">
      <c r="A50" s="35">
        <v>1000142</v>
      </c>
      <c r="B50" s="12" t="s">
        <v>54</v>
      </c>
      <c r="C50" s="41"/>
      <c r="D50" s="47"/>
      <c r="F50" s="29"/>
      <c r="G50" s="29"/>
      <c r="H50" s="29">
        <v>1</v>
      </c>
      <c r="I50" s="29"/>
      <c r="J50" s="29"/>
      <c r="K50" s="29"/>
      <c r="L50" s="29"/>
      <c r="M50" s="29"/>
      <c r="N50" s="29"/>
      <c r="O50" s="29"/>
      <c r="P50" s="415">
        <f t="shared" si="0"/>
        <v>1</v>
      </c>
    </row>
    <row r="51" spans="1:16" ht="15.75" thickBot="1" x14ac:dyDescent="0.3">
      <c r="A51" s="35">
        <v>1000080</v>
      </c>
      <c r="B51" s="12" t="s">
        <v>275</v>
      </c>
      <c r="C51" s="41"/>
      <c r="D51" s="47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5">
        <f t="shared" si="0"/>
        <v>0</v>
      </c>
    </row>
    <row r="52" spans="1:16" ht="15.75" thickBot="1" x14ac:dyDescent="0.3">
      <c r="A52" s="35">
        <v>1000436</v>
      </c>
      <c r="B52" s="12" t="s">
        <v>276</v>
      </c>
      <c r="C52" s="41"/>
      <c r="D52" s="47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5">
        <f t="shared" si="0"/>
        <v>0</v>
      </c>
    </row>
    <row r="53" spans="1:16" ht="15.75" thickBot="1" x14ac:dyDescent="0.3">
      <c r="A53" s="35">
        <v>1000550</v>
      </c>
      <c r="B53" s="12" t="s">
        <v>277</v>
      </c>
      <c r="C53" s="41"/>
      <c r="D53" s="47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5">
        <f t="shared" si="0"/>
        <v>0</v>
      </c>
    </row>
    <row r="54" spans="1:16" ht="15.75" thickBot="1" x14ac:dyDescent="0.3">
      <c r="A54" s="35">
        <v>1000551</v>
      </c>
      <c r="B54" s="12" t="s">
        <v>278</v>
      </c>
      <c r="C54" s="41"/>
      <c r="D54" s="47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5">
        <f t="shared" si="0"/>
        <v>0</v>
      </c>
    </row>
    <row r="55" spans="1:16" ht="15.75" thickBot="1" x14ac:dyDescent="0.3">
      <c r="A55" s="243">
        <v>1000552</v>
      </c>
      <c r="B55" s="251" t="s">
        <v>279</v>
      </c>
      <c r="C55" s="215"/>
      <c r="D55" s="38"/>
      <c r="E55" s="215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5">
        <f t="shared" si="0"/>
        <v>0</v>
      </c>
    </row>
    <row r="56" spans="1:16" ht="15.75" thickBot="1" x14ac:dyDescent="0.3">
      <c r="A56" s="35">
        <v>1000075</v>
      </c>
      <c r="B56" s="12" t="s">
        <v>47</v>
      </c>
      <c r="D56" s="38"/>
      <c r="F56" s="29"/>
      <c r="G56" s="29"/>
      <c r="H56" s="29">
        <v>2</v>
      </c>
      <c r="I56" s="29"/>
      <c r="J56" s="29"/>
      <c r="K56" s="29"/>
      <c r="L56" s="29"/>
      <c r="M56" s="29"/>
      <c r="N56" s="29"/>
      <c r="O56" s="29"/>
      <c r="P56" s="415">
        <f t="shared" si="0"/>
        <v>2</v>
      </c>
    </row>
    <row r="57" spans="1:16" ht="15.75" thickBot="1" x14ac:dyDescent="0.3">
      <c r="A57" s="35"/>
      <c r="B57" s="55" t="s">
        <v>189</v>
      </c>
      <c r="D57" s="38"/>
      <c r="F57" s="29"/>
      <c r="G57" s="29"/>
      <c r="H57" s="29">
        <v>1</v>
      </c>
      <c r="I57" s="29"/>
      <c r="J57" s="29"/>
      <c r="K57" s="29"/>
      <c r="L57" s="29"/>
      <c r="M57" s="29"/>
      <c r="N57" s="29"/>
      <c r="O57" s="29"/>
      <c r="P57" s="415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B63D-F2A2-40A2-813F-2927D5605A46}">
  <sheetPr>
    <tabColor rgb="FFFF0000"/>
    <pageSetUpPr fitToPage="1"/>
  </sheetPr>
  <dimension ref="A1:Q52"/>
  <sheetViews>
    <sheetView zoomScale="85" zoomScaleNormal="85" workbookViewId="0">
      <selection activeCell="R44" sqref="R44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8.5" style="27" customWidth="1"/>
    <col min="7" max="7" width="6" style="27" customWidth="1"/>
    <col min="8" max="8" width="9" style="27" customWidth="1"/>
    <col min="9" max="9" width="5.5" style="27" customWidth="1"/>
    <col min="10" max="10" width="7.5" style="27" customWidth="1"/>
    <col min="11" max="11" width="5.5" style="27" customWidth="1"/>
    <col min="12" max="12" width="9.125" style="27" bestFit="1" customWidth="1"/>
    <col min="13" max="13" width="5.75" style="27" customWidth="1"/>
    <col min="14" max="14" width="8.125" style="27" customWidth="1"/>
    <col min="15" max="15" width="5.625" style="27" customWidth="1"/>
    <col min="16" max="16384" width="10.875" style="27"/>
  </cols>
  <sheetData>
    <row r="1" spans="1:16" ht="17.25" customHeight="1" x14ac:dyDescent="0.45">
      <c r="A1" s="686" t="s">
        <v>173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419" t="s">
        <v>338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0" si="0">SUM(F5:O5)</f>
        <v>0</v>
      </c>
    </row>
    <row r="6" spans="1:16" ht="15.75" thickBot="1" x14ac:dyDescent="0.3">
      <c r="A6" s="35">
        <v>10211</v>
      </c>
      <c r="B6" s="12" t="s">
        <v>3</v>
      </c>
      <c r="C6" s="41"/>
      <c r="D6" s="47">
        <v>8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45</v>
      </c>
      <c r="F7" s="28">
        <v>50</v>
      </c>
      <c r="G7" s="28"/>
      <c r="H7" s="28"/>
      <c r="I7" s="28"/>
      <c r="J7" s="28"/>
      <c r="K7" s="28"/>
      <c r="L7" s="28"/>
      <c r="M7" s="28"/>
      <c r="N7" s="28">
        <v>50</v>
      </c>
      <c r="O7" s="28"/>
      <c r="P7" s="418">
        <f t="shared" si="0"/>
        <v>100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8</v>
      </c>
      <c r="F8" s="28">
        <v>50</v>
      </c>
      <c r="G8" s="28"/>
      <c r="H8" s="28"/>
      <c r="I8" s="28"/>
      <c r="J8" s="28"/>
      <c r="K8" s="28"/>
      <c r="L8" s="28"/>
      <c r="M8" s="28"/>
      <c r="N8" s="28">
        <v>50</v>
      </c>
      <c r="O8" s="28"/>
      <c r="P8" s="418">
        <f t="shared" si="0"/>
        <v>100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1</v>
      </c>
      <c r="F11" s="28">
        <v>2</v>
      </c>
      <c r="G11" s="28"/>
      <c r="H11" s="28">
        <v>2</v>
      </c>
      <c r="I11" s="28"/>
      <c r="J11" s="28"/>
      <c r="K11" s="28"/>
      <c r="L11" s="28">
        <v>2</v>
      </c>
      <c r="M11" s="28"/>
      <c r="N11" s="28"/>
      <c r="O11" s="28"/>
      <c r="P11" s="418">
        <f t="shared" si="0"/>
        <v>6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13</v>
      </c>
      <c r="F12" s="28">
        <v>5</v>
      </c>
      <c r="G12" s="28"/>
      <c r="H12" s="28">
        <v>5</v>
      </c>
      <c r="I12" s="28"/>
      <c r="J12" s="28"/>
      <c r="K12" s="28"/>
      <c r="L12" s="28">
        <v>5</v>
      </c>
      <c r="M12" s="28"/>
      <c r="N12" s="28">
        <v>5</v>
      </c>
      <c r="O12" s="28"/>
      <c r="P12" s="418">
        <f t="shared" si="0"/>
        <v>20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2.5</v>
      </c>
      <c r="F13" s="28">
        <v>5</v>
      </c>
      <c r="G13" s="28"/>
      <c r="H13" s="28">
        <v>5</v>
      </c>
      <c r="I13" s="28"/>
      <c r="J13" s="28"/>
      <c r="K13" s="28"/>
      <c r="L13" s="28">
        <v>5</v>
      </c>
      <c r="M13" s="28"/>
      <c r="N13" s="28">
        <v>5</v>
      </c>
      <c r="O13" s="28"/>
      <c r="P13" s="418">
        <f t="shared" si="0"/>
        <v>20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1000010</v>
      </c>
      <c r="B15" s="12" t="s">
        <v>17</v>
      </c>
      <c r="C15" s="41"/>
      <c r="D15" s="47">
        <v>1.5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1000012</v>
      </c>
      <c r="B16" s="13" t="s">
        <v>20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1000049</v>
      </c>
      <c r="B17" s="12" t="s">
        <v>21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1000050</v>
      </c>
      <c r="B18" s="14" t="s">
        <v>22</v>
      </c>
      <c r="C18" s="41"/>
      <c r="D18" s="47">
        <v>1</v>
      </c>
      <c r="F18" s="28"/>
      <c r="G18" s="28"/>
      <c r="H18" s="28">
        <v>2</v>
      </c>
      <c r="I18" s="28"/>
      <c r="J18" s="28"/>
      <c r="K18" s="28"/>
      <c r="L18" s="28"/>
      <c r="M18" s="28"/>
      <c r="N18" s="28"/>
      <c r="O18" s="28"/>
      <c r="P18" s="418">
        <f t="shared" si="0"/>
        <v>2</v>
      </c>
    </row>
    <row r="19" spans="1:16" ht="15.75" thickBot="1" x14ac:dyDescent="0.3">
      <c r="A19" s="35">
        <v>1000029</v>
      </c>
      <c r="B19" s="12" t="s">
        <v>30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1000026</v>
      </c>
      <c r="B20" s="12" t="s">
        <v>31</v>
      </c>
      <c r="C20" s="41"/>
      <c r="D20" s="47">
        <v>1</v>
      </c>
      <c r="F20" s="28">
        <v>1</v>
      </c>
      <c r="G20" s="28"/>
      <c r="H20" s="28"/>
      <c r="I20" s="28"/>
      <c r="J20" s="28"/>
      <c r="K20" s="28"/>
      <c r="L20" s="28">
        <v>1</v>
      </c>
      <c r="M20" s="28"/>
      <c r="N20" s="28">
        <v>1</v>
      </c>
      <c r="O20" s="28"/>
      <c r="P20" s="418">
        <f t="shared" si="0"/>
        <v>3</v>
      </c>
    </row>
    <row r="21" spans="1:16" ht="15.75" thickBot="1" x14ac:dyDescent="0.3">
      <c r="A21" s="35">
        <v>1000025</v>
      </c>
      <c r="B21" s="12" t="s">
        <v>32</v>
      </c>
      <c r="C21" s="41"/>
      <c r="D21" s="47">
        <v>1</v>
      </c>
      <c r="F21" s="28">
        <v>5</v>
      </c>
      <c r="G21" s="28"/>
      <c r="H21" s="28"/>
      <c r="I21" s="28"/>
      <c r="J21" s="28"/>
      <c r="K21" s="28"/>
      <c r="L21" s="28"/>
      <c r="M21" s="28"/>
      <c r="N21" s="28"/>
      <c r="O21" s="28"/>
      <c r="P21" s="418">
        <f t="shared" si="0"/>
        <v>5</v>
      </c>
    </row>
    <row r="22" spans="1:16" ht="15.75" thickBot="1" x14ac:dyDescent="0.3">
      <c r="A22" s="35">
        <v>1000027</v>
      </c>
      <c r="B22" s="12" t="s">
        <v>33</v>
      </c>
      <c r="C22" s="41"/>
      <c r="D22" s="47">
        <v>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4</v>
      </c>
      <c r="F23" s="28">
        <v>8</v>
      </c>
      <c r="G23" s="28"/>
      <c r="H23" s="28">
        <v>8</v>
      </c>
      <c r="I23" s="28"/>
      <c r="J23" s="28"/>
      <c r="K23" s="28"/>
      <c r="L23" s="28">
        <v>8</v>
      </c>
      <c r="M23" s="28"/>
      <c r="N23" s="28">
        <v>8</v>
      </c>
      <c r="O23" s="28"/>
      <c r="P23" s="418">
        <f t="shared" si="0"/>
        <v>32</v>
      </c>
    </row>
    <row r="24" spans="1:16" ht="15.75" thickBot="1" x14ac:dyDescent="0.3">
      <c r="A24" s="35">
        <v>10248</v>
      </c>
      <c r="B24" s="12" t="s">
        <v>183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1000052</v>
      </c>
      <c r="B25" s="12" t="s">
        <v>41</v>
      </c>
      <c r="C25" s="41"/>
      <c r="D25" s="47">
        <v>1</v>
      </c>
      <c r="F25" s="28"/>
      <c r="G25" s="28"/>
      <c r="H25" s="28">
        <v>2</v>
      </c>
      <c r="I25" s="28"/>
      <c r="J25" s="28"/>
      <c r="K25" s="28"/>
      <c r="L25" s="28"/>
      <c r="M25" s="28"/>
      <c r="N25" s="28">
        <v>2</v>
      </c>
      <c r="O25" s="28"/>
      <c r="P25" s="418">
        <f t="shared" si="0"/>
        <v>4</v>
      </c>
    </row>
    <row r="26" spans="1:16" ht="15.75" thickBot="1" x14ac:dyDescent="0.3">
      <c r="A26" s="35">
        <v>1000089</v>
      </c>
      <c r="B26" s="12" t="s">
        <v>42</v>
      </c>
      <c r="C26" s="41"/>
      <c r="D26" s="47">
        <v>2</v>
      </c>
      <c r="F26" s="28"/>
      <c r="G26" s="28"/>
      <c r="H26" s="28"/>
      <c r="I26" s="28"/>
      <c r="J26" s="28"/>
      <c r="K26" s="28"/>
      <c r="L26" s="28"/>
      <c r="M26" s="28"/>
      <c r="N26" s="28">
        <v>2</v>
      </c>
      <c r="O26" s="28"/>
      <c r="P26" s="418">
        <f t="shared" si="0"/>
        <v>2</v>
      </c>
    </row>
    <row r="27" spans="1:16" ht="15.75" thickBot="1" x14ac:dyDescent="0.3">
      <c r="A27" s="35">
        <v>1000048</v>
      </c>
      <c r="B27" s="12" t="s">
        <v>45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1000148</v>
      </c>
      <c r="B28" s="12" t="s">
        <v>53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1000142</v>
      </c>
      <c r="B29" s="12" t="s">
        <v>54</v>
      </c>
      <c r="C29" s="41"/>
      <c r="D29" s="47">
        <v>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1000057</v>
      </c>
      <c r="B30" s="12" t="s">
        <v>70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1000101</v>
      </c>
      <c r="B31" s="12" t="s">
        <v>35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1000073</v>
      </c>
      <c r="B32" s="12" t="s">
        <v>36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7" s="15" customFormat="1" ht="15.95" customHeight="1" thickBot="1" x14ac:dyDescent="0.3">
      <c r="A33" s="35">
        <v>1000412</v>
      </c>
      <c r="B33" s="12" t="s">
        <v>239</v>
      </c>
      <c r="C33" s="41"/>
      <c r="D33" s="47"/>
      <c r="E33" s="27"/>
      <c r="F33" s="28"/>
      <c r="G33" s="28"/>
      <c r="H33" s="28">
        <v>2</v>
      </c>
      <c r="I33" s="28"/>
      <c r="J33" s="28"/>
      <c r="K33" s="28"/>
      <c r="L33" s="28"/>
      <c r="M33" s="28"/>
      <c r="N33" s="28"/>
      <c r="O33" s="28"/>
      <c r="P33" s="418">
        <f t="shared" si="0"/>
        <v>2</v>
      </c>
    </row>
    <row r="34" spans="1:17" ht="15.75" thickBot="1" x14ac:dyDescent="0.3">
      <c r="A34" s="35">
        <v>1000085</v>
      </c>
      <c r="B34" s="12" t="s">
        <v>50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7" ht="15.75" thickBot="1" x14ac:dyDescent="0.3">
      <c r="A35" s="35">
        <v>1000092</v>
      </c>
      <c r="B35" s="12" t="s">
        <v>51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7" ht="15.75" thickBot="1" x14ac:dyDescent="0.3">
      <c r="A36" s="35">
        <v>1000214</v>
      </c>
      <c r="B36" s="12" t="s">
        <v>49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7" ht="15.75" thickBot="1" x14ac:dyDescent="0.3">
      <c r="A37" s="35">
        <v>1000146</v>
      </c>
      <c r="B37" s="12" t="s">
        <v>39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7" ht="15.75" thickBot="1" x14ac:dyDescent="0.3">
      <c r="A38" s="35">
        <v>1000070</v>
      </c>
      <c r="B38" s="12" t="s">
        <v>13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7" ht="15.75" thickBot="1" x14ac:dyDescent="0.3">
      <c r="A39" s="35">
        <v>1000067</v>
      </c>
      <c r="B39" s="12" t="s">
        <v>11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7" ht="15.75" thickBot="1" x14ac:dyDescent="0.3">
      <c r="A40" s="35">
        <v>1000147</v>
      </c>
      <c r="B40" s="12" t="s">
        <v>52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7" ht="15.75" thickBot="1" x14ac:dyDescent="0.3">
      <c r="A41" s="35">
        <v>1000033</v>
      </c>
      <c r="B41" s="12" t="s">
        <v>27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7" ht="15.75" thickBot="1" x14ac:dyDescent="0.3">
      <c r="A42" s="35">
        <v>1000034</v>
      </c>
      <c r="B42" s="12" t="s">
        <v>28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7" ht="15.75" thickBot="1" x14ac:dyDescent="0.3">
      <c r="A43" s="35">
        <v>1000045</v>
      </c>
      <c r="B43" s="12" t="s">
        <v>23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7" ht="15.75" thickBot="1" x14ac:dyDescent="0.3">
      <c r="A44" s="35">
        <v>10000102</v>
      </c>
      <c r="B44" s="12" t="s">
        <v>2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7" ht="15.75" thickBot="1" x14ac:dyDescent="0.3">
      <c r="A45" s="35">
        <v>1000439</v>
      </c>
      <c r="B45" s="12" t="s">
        <v>193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  <c r="Q45" s="552"/>
    </row>
    <row r="46" spans="1:17" ht="15.75" thickBot="1" x14ac:dyDescent="0.3">
      <c r="A46" s="35">
        <v>1000009</v>
      </c>
      <c r="B46" s="12" t="s">
        <v>19</v>
      </c>
      <c r="C46" s="41"/>
      <c r="D46" s="47"/>
      <c r="F46" s="28"/>
      <c r="G46" s="28"/>
      <c r="H46" s="28">
        <v>1</v>
      </c>
      <c r="I46" s="28"/>
      <c r="J46" s="28"/>
      <c r="K46" s="28"/>
      <c r="L46" s="28">
        <v>1</v>
      </c>
      <c r="M46" s="28"/>
      <c r="N46" s="28"/>
      <c r="O46" s="28"/>
      <c r="P46" s="418">
        <f t="shared" si="0"/>
        <v>2</v>
      </c>
      <c r="Q46" s="552"/>
    </row>
    <row r="47" spans="1:17" ht="15.75" thickBot="1" x14ac:dyDescent="0.3">
      <c r="A47" s="35">
        <v>1000383</v>
      </c>
      <c r="B47" s="12" t="s">
        <v>264</v>
      </c>
      <c r="C47" s="41"/>
      <c r="D47" s="47"/>
      <c r="F47" s="28">
        <v>24</v>
      </c>
      <c r="G47" s="28"/>
      <c r="H47" s="28">
        <v>24</v>
      </c>
      <c r="I47" s="28"/>
      <c r="J47" s="28"/>
      <c r="K47" s="28"/>
      <c r="L47" s="28">
        <v>20</v>
      </c>
      <c r="M47" s="28"/>
      <c r="N47" s="28">
        <v>24</v>
      </c>
      <c r="O47" s="28"/>
      <c r="P47" s="418">
        <f t="shared" si="0"/>
        <v>92</v>
      </c>
    </row>
    <row r="48" spans="1:17" ht="15.75" thickBot="1" x14ac:dyDescent="0.3">
      <c r="A48" s="35">
        <v>1000080</v>
      </c>
      <c r="B48" s="12" t="s">
        <v>275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1000436</v>
      </c>
      <c r="B49" s="12" t="s">
        <v>276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>
        <v>10</v>
      </c>
      <c r="O49" s="28"/>
      <c r="P49" s="418">
        <f t="shared" si="0"/>
        <v>10</v>
      </c>
    </row>
    <row r="50" spans="1:16" ht="15.75" thickBot="1" x14ac:dyDescent="0.3">
      <c r="A50" s="35">
        <v>1000550</v>
      </c>
      <c r="B50" s="12" t="s">
        <v>277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1000551</v>
      </c>
      <c r="B51" s="12" t="s">
        <v>278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5">
        <f t="shared" ref="P51:P52" si="1">SUM(F51:O51)</f>
        <v>0</v>
      </c>
    </row>
    <row r="52" spans="1:16" ht="15.75" thickBot="1" x14ac:dyDescent="0.3">
      <c r="A52" s="243">
        <v>1000552</v>
      </c>
      <c r="B52" s="251" t="s">
        <v>279</v>
      </c>
      <c r="C52" s="215"/>
      <c r="D52" s="38"/>
      <c r="E52" s="21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8">
        <f t="shared" si="1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CE09-99DC-4FAD-85C4-E33D73815485}">
  <sheetPr>
    <tabColor rgb="FFFF0000"/>
    <pageSetUpPr fitToPage="1"/>
  </sheetPr>
  <dimension ref="A1:P49"/>
  <sheetViews>
    <sheetView zoomScale="85" zoomScaleNormal="85" workbookViewId="0">
      <selection activeCell="S19" sqref="S19"/>
    </sheetView>
  </sheetViews>
  <sheetFormatPr baseColWidth="10" defaultColWidth="10.875" defaultRowHeight="15" x14ac:dyDescent="0.25"/>
  <cols>
    <col min="1" max="1" width="10.5" style="27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875" style="27" customWidth="1"/>
    <col min="8" max="8" width="9.125" style="27" bestFit="1" customWidth="1"/>
    <col min="9" max="9" width="5" style="27" customWidth="1"/>
    <col min="10" max="10" width="9.125" style="27" bestFit="1" customWidth="1"/>
    <col min="11" max="11" width="5.5" style="27" customWidth="1"/>
    <col min="12" max="12" width="9.125" style="27" bestFit="1" customWidth="1"/>
    <col min="13" max="13" width="5.75" style="27" customWidth="1"/>
    <col min="14" max="14" width="9.125" style="27" bestFit="1" customWidth="1"/>
    <col min="15" max="15" width="5.5" style="27" customWidth="1"/>
    <col min="16" max="16384" width="10.875" style="27"/>
  </cols>
  <sheetData>
    <row r="1" spans="1:16" ht="17.25" customHeight="1" x14ac:dyDescent="0.45">
      <c r="A1" s="686" t="s">
        <v>154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419" t="s">
        <v>339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100</v>
      </c>
      <c r="F5" s="28"/>
      <c r="G5" s="28"/>
      <c r="H5" s="28">
        <v>50</v>
      </c>
      <c r="I5" s="28"/>
      <c r="J5" s="28">
        <v>50</v>
      </c>
      <c r="K5" s="28"/>
      <c r="L5" s="28">
        <v>50</v>
      </c>
      <c r="M5" s="28"/>
      <c r="N5" s="28">
        <v>50</v>
      </c>
      <c r="O5" s="28"/>
      <c r="P5" s="418">
        <f t="shared" ref="P5:P49" si="0">SUM(F5:O5)</f>
        <v>200</v>
      </c>
    </row>
    <row r="6" spans="1:16" ht="15.75" thickBot="1" x14ac:dyDescent="0.3">
      <c r="A6" s="35">
        <v>1000007</v>
      </c>
      <c r="B6" s="12" t="s">
        <v>5</v>
      </c>
      <c r="C6" s="41"/>
      <c r="D6" s="47">
        <v>100</v>
      </c>
      <c r="F6" s="28"/>
      <c r="G6" s="28"/>
      <c r="H6" s="28">
        <v>100</v>
      </c>
      <c r="I6" s="28"/>
      <c r="J6" s="28">
        <v>100</v>
      </c>
      <c r="K6" s="28"/>
      <c r="L6" s="28">
        <v>100</v>
      </c>
      <c r="M6" s="28"/>
      <c r="N6" s="28">
        <v>100</v>
      </c>
      <c r="O6" s="28"/>
      <c r="P6" s="418">
        <f t="shared" si="0"/>
        <v>400</v>
      </c>
    </row>
    <row r="7" spans="1:16" ht="15.75" thickBot="1" x14ac:dyDescent="0.3">
      <c r="A7" s="35">
        <v>1000008</v>
      </c>
      <c r="B7" s="12" t="s">
        <v>7</v>
      </c>
      <c r="C7" s="41"/>
      <c r="D7" s="47">
        <v>5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1000001</v>
      </c>
      <c r="B8" s="12" t="s">
        <v>8</v>
      </c>
      <c r="C8" s="41"/>
      <c r="D8" s="47">
        <v>2</v>
      </c>
      <c r="F8" s="28"/>
      <c r="G8" s="28"/>
      <c r="H8" s="28">
        <v>2</v>
      </c>
      <c r="I8" s="28"/>
      <c r="J8" s="28">
        <v>2</v>
      </c>
      <c r="K8" s="28"/>
      <c r="L8" s="28">
        <v>2</v>
      </c>
      <c r="M8" s="28"/>
      <c r="N8" s="28">
        <v>2</v>
      </c>
      <c r="O8" s="28"/>
      <c r="P8" s="418">
        <f t="shared" si="0"/>
        <v>8</v>
      </c>
    </row>
    <row r="9" spans="1:16" ht="15.75" thickBot="1" x14ac:dyDescent="0.3">
      <c r="A9" s="35">
        <v>1000004</v>
      </c>
      <c r="B9" s="12" t="s">
        <v>10</v>
      </c>
      <c r="C9" s="41"/>
      <c r="D9" s="47">
        <v>1</v>
      </c>
      <c r="F9" s="28"/>
      <c r="G9" s="28"/>
      <c r="H9" s="28">
        <v>2</v>
      </c>
      <c r="I9" s="28"/>
      <c r="J9" s="28">
        <v>2</v>
      </c>
      <c r="K9" s="28"/>
      <c r="L9" s="28">
        <v>2</v>
      </c>
      <c r="M9" s="28"/>
      <c r="N9" s="28">
        <v>2</v>
      </c>
      <c r="O9" s="28"/>
      <c r="P9" s="418">
        <f t="shared" si="0"/>
        <v>8</v>
      </c>
    </row>
    <row r="10" spans="1:16" ht="15.75" thickBot="1" x14ac:dyDescent="0.3">
      <c r="A10" s="35">
        <v>1000054</v>
      </c>
      <c r="B10" s="12" t="s">
        <v>12</v>
      </c>
      <c r="C10" s="41"/>
      <c r="D10" s="47">
        <v>10</v>
      </c>
      <c r="F10" s="28"/>
      <c r="G10" s="28"/>
      <c r="H10" s="684" t="s">
        <v>336</v>
      </c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1000070</v>
      </c>
      <c r="B11" s="12" t="s">
        <v>13</v>
      </c>
      <c r="C11" s="41"/>
      <c r="D11" s="47">
        <v>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1000017</v>
      </c>
      <c r="B12" s="12" t="s">
        <v>14</v>
      </c>
      <c r="C12" s="41"/>
      <c r="D12" s="47">
        <v>30</v>
      </c>
      <c r="F12" s="28"/>
      <c r="G12" s="28"/>
      <c r="H12" s="28">
        <v>10</v>
      </c>
      <c r="I12" s="28"/>
      <c r="J12" s="28">
        <v>10</v>
      </c>
      <c r="K12" s="28"/>
      <c r="L12" s="28">
        <v>10</v>
      </c>
      <c r="M12" s="28"/>
      <c r="N12" s="28">
        <v>10</v>
      </c>
      <c r="O12" s="28"/>
      <c r="P12" s="418">
        <f t="shared" si="0"/>
        <v>40</v>
      </c>
    </row>
    <row r="13" spans="1:16" ht="15.75" thickBot="1" x14ac:dyDescent="0.3">
      <c r="A13" s="35">
        <v>1000016</v>
      </c>
      <c r="B13" s="12" t="s">
        <v>15</v>
      </c>
      <c r="C13" s="41"/>
      <c r="D13" s="47">
        <v>5</v>
      </c>
      <c r="F13" s="28"/>
      <c r="G13" s="28"/>
      <c r="H13" s="28">
        <v>5</v>
      </c>
      <c r="I13" s="28"/>
      <c r="J13" s="28">
        <v>5</v>
      </c>
      <c r="K13" s="28"/>
      <c r="L13" s="28"/>
      <c r="M13" s="28"/>
      <c r="N13" s="28"/>
      <c r="O13" s="28"/>
      <c r="P13" s="418">
        <f t="shared" si="0"/>
        <v>10</v>
      </c>
    </row>
    <row r="14" spans="1:16" ht="15.75" thickBot="1" x14ac:dyDescent="0.3">
      <c r="A14" s="35">
        <v>1000041</v>
      </c>
      <c r="B14" s="12" t="s">
        <v>16</v>
      </c>
      <c r="C14" s="41"/>
      <c r="D14" s="47">
        <v>5</v>
      </c>
      <c r="F14" s="28"/>
      <c r="G14" s="28"/>
      <c r="H14" s="28">
        <v>5</v>
      </c>
      <c r="I14" s="28"/>
      <c r="J14" s="28">
        <v>5</v>
      </c>
      <c r="K14" s="28"/>
      <c r="L14" s="28"/>
      <c r="M14" s="28"/>
      <c r="N14" s="28">
        <v>5</v>
      </c>
      <c r="O14" s="28"/>
      <c r="P14" s="418">
        <f t="shared" si="0"/>
        <v>15</v>
      </c>
    </row>
    <row r="15" spans="1:16" ht="15.75" thickBot="1" x14ac:dyDescent="0.3">
      <c r="A15" s="35">
        <v>1000009</v>
      </c>
      <c r="B15" s="12" t="s">
        <v>19</v>
      </c>
      <c r="C15" s="41"/>
      <c r="D15" s="47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1000050</v>
      </c>
      <c r="B16" s="12" t="s">
        <v>22</v>
      </c>
      <c r="C16" s="41"/>
      <c r="D16" s="47">
        <v>1</v>
      </c>
      <c r="F16" s="28"/>
      <c r="G16" s="28"/>
      <c r="H16" s="28">
        <v>2</v>
      </c>
      <c r="I16" s="28"/>
      <c r="J16" s="28">
        <v>2</v>
      </c>
      <c r="K16" s="28"/>
      <c r="L16" s="28">
        <v>2</v>
      </c>
      <c r="M16" s="28"/>
      <c r="N16" s="28">
        <v>2</v>
      </c>
      <c r="O16" s="28"/>
      <c r="P16" s="418">
        <f t="shared" si="0"/>
        <v>8</v>
      </c>
    </row>
    <row r="17" spans="1:16" ht="15.75" thickBot="1" x14ac:dyDescent="0.3">
      <c r="A17" s="35">
        <v>1000025</v>
      </c>
      <c r="B17" s="12" t="s">
        <v>32</v>
      </c>
      <c r="C17" s="41"/>
      <c r="D17" s="47">
        <v>1</v>
      </c>
      <c r="F17" s="28"/>
      <c r="G17" s="28"/>
      <c r="H17" s="28">
        <v>5</v>
      </c>
      <c r="I17" s="28"/>
      <c r="J17" s="28">
        <v>5</v>
      </c>
      <c r="K17" s="28"/>
      <c r="L17" s="28"/>
      <c r="M17" s="28"/>
      <c r="N17" s="28">
        <v>5</v>
      </c>
      <c r="O17" s="28"/>
      <c r="P17" s="418">
        <f t="shared" si="0"/>
        <v>15</v>
      </c>
    </row>
    <row r="18" spans="1:16" ht="15.75" thickBot="1" x14ac:dyDescent="0.3">
      <c r="A18" s="35">
        <v>1000027</v>
      </c>
      <c r="B18" s="12" t="s">
        <v>33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1000100</v>
      </c>
      <c r="B19" s="12" t="s">
        <v>34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1000082</v>
      </c>
      <c r="B20" s="12" t="s">
        <v>37</v>
      </c>
      <c r="C20" s="41"/>
      <c r="D20" s="47">
        <v>30</v>
      </c>
      <c r="F20" s="28"/>
      <c r="G20" s="28"/>
      <c r="H20" s="28">
        <v>16</v>
      </c>
      <c r="I20" s="28"/>
      <c r="J20" s="28">
        <v>16</v>
      </c>
      <c r="K20" s="28"/>
      <c r="L20" s="28">
        <v>16</v>
      </c>
      <c r="M20" s="28"/>
      <c r="N20" s="28">
        <v>16</v>
      </c>
      <c r="O20" s="28"/>
      <c r="P20" s="418">
        <f t="shared" si="0"/>
        <v>64</v>
      </c>
    </row>
    <row r="21" spans="1:16" ht="15.75" thickBot="1" x14ac:dyDescent="0.3">
      <c r="A21" s="35">
        <v>1000084</v>
      </c>
      <c r="B21" s="12" t="s">
        <v>38</v>
      </c>
      <c r="C21" s="41"/>
      <c r="D21" s="47">
        <v>8</v>
      </c>
      <c r="F21" s="28"/>
      <c r="G21" s="28"/>
      <c r="H21" s="28">
        <v>8</v>
      </c>
      <c r="I21" s="28"/>
      <c r="J21" s="28">
        <v>8</v>
      </c>
      <c r="K21" s="28"/>
      <c r="L21" s="28">
        <v>8</v>
      </c>
      <c r="M21" s="28"/>
      <c r="N21" s="28">
        <v>8</v>
      </c>
      <c r="O21" s="28"/>
      <c r="P21" s="418">
        <f t="shared" si="0"/>
        <v>32</v>
      </c>
    </row>
    <row r="22" spans="1:16" ht="15.75" thickBot="1" x14ac:dyDescent="0.3">
      <c r="A22" s="35">
        <v>1000146</v>
      </c>
      <c r="B22" s="12" t="s">
        <v>39</v>
      </c>
      <c r="C22" s="41"/>
      <c r="D22" s="47">
        <v>8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10248</v>
      </c>
      <c r="B23" s="12" t="s">
        <v>183</v>
      </c>
      <c r="C23" s="41"/>
      <c r="D23" s="47">
        <v>0</v>
      </c>
      <c r="F23" s="28"/>
      <c r="G23" s="28"/>
      <c r="H23" s="28">
        <v>6</v>
      </c>
      <c r="I23" s="28"/>
      <c r="J23" s="28">
        <v>6</v>
      </c>
      <c r="K23" s="28"/>
      <c r="L23" s="28">
        <v>6</v>
      </c>
      <c r="M23" s="28"/>
      <c r="N23" s="28">
        <v>6</v>
      </c>
      <c r="O23" s="28"/>
      <c r="P23" s="418">
        <f t="shared" si="0"/>
        <v>24</v>
      </c>
    </row>
    <row r="24" spans="1:16" ht="15.75" thickBot="1" x14ac:dyDescent="0.3">
      <c r="A24" s="35">
        <v>1000090</v>
      </c>
      <c r="B24" s="12" t="s">
        <v>40</v>
      </c>
      <c r="C24" s="41"/>
      <c r="D24" s="47">
        <v>1</v>
      </c>
      <c r="F24" s="28"/>
      <c r="G24" s="28"/>
      <c r="H24" s="28">
        <v>4</v>
      </c>
      <c r="I24" s="28"/>
      <c r="J24" s="28">
        <v>4</v>
      </c>
      <c r="K24" s="28"/>
      <c r="L24" s="28"/>
      <c r="M24" s="28"/>
      <c r="N24" s="28">
        <v>4</v>
      </c>
      <c r="O24" s="28"/>
      <c r="P24" s="418">
        <f t="shared" si="0"/>
        <v>12</v>
      </c>
    </row>
    <row r="25" spans="1:16" ht="15.75" thickBot="1" x14ac:dyDescent="0.3">
      <c r="A25" s="35">
        <v>1000052</v>
      </c>
      <c r="B25" s="12" t="s">
        <v>41</v>
      </c>
      <c r="C25" s="41"/>
      <c r="D25" s="47">
        <v>2</v>
      </c>
      <c r="F25" s="28"/>
      <c r="G25" s="28"/>
      <c r="H25" s="28">
        <v>2</v>
      </c>
      <c r="I25" s="28"/>
      <c r="J25" s="28">
        <v>2</v>
      </c>
      <c r="K25" s="28"/>
      <c r="L25" s="28">
        <v>2</v>
      </c>
      <c r="M25" s="28"/>
      <c r="N25" s="28">
        <v>2</v>
      </c>
      <c r="O25" s="28"/>
      <c r="P25" s="418">
        <f t="shared" si="0"/>
        <v>8</v>
      </c>
    </row>
    <row r="26" spans="1:16" ht="15.75" thickBot="1" x14ac:dyDescent="0.3">
      <c r="A26" s="35">
        <v>1000089</v>
      </c>
      <c r="B26" s="12" t="s">
        <v>42</v>
      </c>
      <c r="C26" s="41"/>
      <c r="D26" s="47">
        <v>2</v>
      </c>
      <c r="F26" s="28"/>
      <c r="G26" s="28"/>
      <c r="H26" s="28">
        <v>2</v>
      </c>
      <c r="I26" s="28"/>
      <c r="J26" s="28">
        <v>2</v>
      </c>
      <c r="K26" s="28"/>
      <c r="L26" s="28">
        <v>2</v>
      </c>
      <c r="M26" s="28"/>
      <c r="N26" s="28">
        <v>2</v>
      </c>
      <c r="O26" s="28"/>
      <c r="P26" s="418">
        <f t="shared" si="0"/>
        <v>8</v>
      </c>
    </row>
    <row r="27" spans="1:16" ht="15.75" thickBot="1" x14ac:dyDescent="0.3">
      <c r="A27" s="35">
        <v>1000048</v>
      </c>
      <c r="B27" s="12" t="s">
        <v>45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1000076</v>
      </c>
      <c r="B28" s="12" t="s">
        <v>46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1000085</v>
      </c>
      <c r="B29" s="12" t="s">
        <v>50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s="15" customFormat="1" ht="15.95" customHeight="1" thickBot="1" x14ac:dyDescent="0.3">
      <c r="A30" s="35">
        <v>1000002</v>
      </c>
      <c r="B30" s="12" t="s">
        <v>9</v>
      </c>
      <c r="C30" s="41"/>
      <c r="D30" s="4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1000214</v>
      </c>
      <c r="B31" s="12" t="s">
        <v>49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1000045</v>
      </c>
      <c r="B32" s="12" t="s">
        <v>23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1000031</v>
      </c>
      <c r="B33" s="12" t="s">
        <v>25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10000102</v>
      </c>
      <c r="B34" s="12" t="s">
        <v>2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1000412</v>
      </c>
      <c r="B35" s="12" t="s">
        <v>239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10000015</v>
      </c>
      <c r="B36" s="12" t="s">
        <v>1</v>
      </c>
      <c r="C36" s="41"/>
      <c r="D36" s="47"/>
      <c r="F36" s="28"/>
      <c r="G36" s="28"/>
      <c r="H36" s="28"/>
      <c r="I36" s="28"/>
      <c r="J36" s="28"/>
      <c r="K36" s="28"/>
      <c r="L36" s="28">
        <v>5</v>
      </c>
      <c r="M36" s="28"/>
      <c r="N36" s="28"/>
      <c r="O36" s="28"/>
      <c r="P36" s="418">
        <f t="shared" si="0"/>
        <v>5</v>
      </c>
    </row>
    <row r="37" spans="1:16" ht="15.75" thickBot="1" x14ac:dyDescent="0.3">
      <c r="A37" s="35">
        <v>1000051</v>
      </c>
      <c r="B37" s="12" t="s">
        <v>43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1000033</v>
      </c>
      <c r="B38" s="12" t="s">
        <v>27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1000073</v>
      </c>
      <c r="B39" s="12" t="s">
        <v>36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1000092</v>
      </c>
      <c r="B40" s="12" t="s">
        <v>51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1000067</v>
      </c>
      <c r="B41" s="12" t="s">
        <v>11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1000142</v>
      </c>
      <c r="B42" s="12" t="s">
        <v>54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1000101</v>
      </c>
      <c r="B43" s="12" t="s">
        <v>35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1000080</v>
      </c>
      <c r="B44" s="12" t="s">
        <v>275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1000436</v>
      </c>
      <c r="B45" s="12" t="s">
        <v>276</v>
      </c>
      <c r="C45" s="41"/>
      <c r="D45" s="47"/>
      <c r="F45" s="28"/>
      <c r="G45" s="28"/>
      <c r="H45" s="28"/>
      <c r="I45" s="28"/>
      <c r="J45" s="28"/>
      <c r="K45" s="28"/>
      <c r="L45" s="28">
        <v>10</v>
      </c>
      <c r="M45" s="28"/>
      <c r="N45" s="28"/>
      <c r="O45" s="28"/>
      <c r="P45" s="418">
        <f t="shared" si="0"/>
        <v>10</v>
      </c>
    </row>
    <row r="46" spans="1:16" ht="15.75" thickBot="1" x14ac:dyDescent="0.3">
      <c r="A46" s="35">
        <v>1000550</v>
      </c>
      <c r="B46" s="12" t="s">
        <v>277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1000551</v>
      </c>
      <c r="B47" s="12" t="s">
        <v>278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1000029</v>
      </c>
      <c r="B48" s="12" t="s">
        <v>30</v>
      </c>
      <c r="C48" s="215"/>
      <c r="D48" s="38"/>
      <c r="E48" s="21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1000049</v>
      </c>
      <c r="B49" s="12" t="s">
        <v>21</v>
      </c>
      <c r="D49" s="38"/>
      <c r="F49" s="28"/>
      <c r="G49" s="28"/>
      <c r="H49" s="28">
        <v>2</v>
      </c>
      <c r="I49" s="28"/>
      <c r="J49" s="28">
        <v>2</v>
      </c>
      <c r="K49" s="28"/>
      <c r="L49" s="28">
        <v>2</v>
      </c>
      <c r="M49" s="28"/>
      <c r="N49" s="28">
        <v>2</v>
      </c>
      <c r="O49" s="28"/>
      <c r="P49" s="418">
        <f t="shared" si="0"/>
        <v>8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709E-07B1-4CA5-A41F-2FEC7B725F5F}">
  <sheetPr>
    <tabColor rgb="FFFF0000"/>
    <pageSetUpPr fitToPage="1"/>
  </sheetPr>
  <dimension ref="A1:P59"/>
  <sheetViews>
    <sheetView zoomScale="70" zoomScaleNormal="70" workbookViewId="0">
      <selection activeCell="R55" sqref="R55"/>
    </sheetView>
  </sheetViews>
  <sheetFormatPr baseColWidth="10" defaultRowHeight="15.75" x14ac:dyDescent="0.25"/>
  <cols>
    <col min="2" max="2" width="30.125" bestFit="1" customWidth="1"/>
    <col min="3" max="3" width="1" customWidth="1"/>
    <col min="5" max="5" width="1.25" customWidth="1"/>
    <col min="7" max="7" width="8.75" bestFit="1" customWidth="1"/>
    <col min="8" max="8" width="9.625" bestFit="1" customWidth="1"/>
    <col min="9" max="9" width="8.75" bestFit="1" customWidth="1"/>
    <col min="10" max="10" width="9.125" bestFit="1" customWidth="1"/>
    <col min="11" max="11" width="8.75" bestFit="1" customWidth="1"/>
    <col min="12" max="12" width="9.75" bestFit="1" customWidth="1"/>
    <col min="13" max="13" width="8.75" bestFit="1" customWidth="1"/>
    <col min="14" max="14" width="9.125" bestFit="1" customWidth="1"/>
    <col min="15" max="15" width="8.75" bestFit="1" customWidth="1"/>
    <col min="16" max="16" width="7.625" customWidth="1"/>
  </cols>
  <sheetData>
    <row r="1" spans="1:16" ht="28.5" x14ac:dyDescent="0.45">
      <c r="A1" s="686" t="s">
        <v>188</v>
      </c>
      <c r="B1" s="687"/>
      <c r="C1" s="73"/>
      <c r="D1" s="73"/>
      <c r="E1" s="73"/>
      <c r="F1" s="751" t="s">
        <v>474</v>
      </c>
      <c r="G1" s="752"/>
      <c r="H1" s="752"/>
      <c r="I1" s="752"/>
      <c r="J1" s="753"/>
      <c r="K1" s="2"/>
      <c r="N1" s="73"/>
      <c r="O1" s="73"/>
      <c r="P1" s="73"/>
    </row>
    <row r="2" spans="1:16" ht="18.75" customHeight="1" thickBot="1" x14ac:dyDescent="0.5">
      <c r="A2" s="688"/>
      <c r="B2" s="689"/>
      <c r="C2" s="4"/>
      <c r="D2" s="432" t="s">
        <v>305</v>
      </c>
      <c r="E2" s="3"/>
      <c r="F2" s="754"/>
      <c r="G2" s="755"/>
      <c r="H2" s="755"/>
      <c r="I2" s="755"/>
      <c r="J2" s="756"/>
      <c r="K2" s="2"/>
      <c r="N2" s="3"/>
      <c r="O2" s="3"/>
      <c r="P2" s="3"/>
    </row>
    <row r="3" spans="1:16" ht="29.25" thickBot="1" x14ac:dyDescent="0.3">
      <c r="A3" s="5"/>
      <c r="B3" s="5" t="s">
        <v>340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74" t="s">
        <v>308</v>
      </c>
      <c r="G4" s="10" t="s">
        <v>325</v>
      </c>
      <c r="H4" s="74" t="s">
        <v>310</v>
      </c>
      <c r="I4" s="10" t="s">
        <v>325</v>
      </c>
      <c r="J4" s="74" t="s">
        <v>311</v>
      </c>
      <c r="K4" s="10" t="s">
        <v>325</v>
      </c>
      <c r="L4" s="74" t="s">
        <v>312</v>
      </c>
      <c r="M4" s="10" t="s">
        <v>325</v>
      </c>
      <c r="N4" s="74" t="s">
        <v>313</v>
      </c>
      <c r="O4" s="10" t="s">
        <v>325</v>
      </c>
      <c r="P4" s="7" t="s">
        <v>98</v>
      </c>
    </row>
    <row r="5" spans="1:16" ht="16.5" thickBot="1" x14ac:dyDescent="0.3">
      <c r="A5" s="75">
        <v>10000015</v>
      </c>
      <c r="B5" s="11" t="s">
        <v>1</v>
      </c>
      <c r="C5" s="73"/>
      <c r="D5" s="76">
        <v>1</v>
      </c>
      <c r="E5" s="73"/>
      <c r="F5" s="77"/>
      <c r="G5" s="77"/>
      <c r="H5" s="77"/>
      <c r="I5" s="77"/>
      <c r="J5" s="77"/>
      <c r="K5" s="77"/>
      <c r="L5" s="77"/>
      <c r="M5" s="77"/>
      <c r="N5" s="77"/>
      <c r="O5" s="77"/>
      <c r="P5" s="78">
        <f t="shared" ref="P5:P59" si="0">SUM(F5:O5)</f>
        <v>0</v>
      </c>
    </row>
    <row r="6" spans="1:16" ht="16.5" thickBot="1" x14ac:dyDescent="0.3">
      <c r="A6" s="79">
        <v>10000102</v>
      </c>
      <c r="B6" s="12" t="s">
        <v>2</v>
      </c>
      <c r="C6" s="73"/>
      <c r="D6" s="80">
        <v>0</v>
      </c>
      <c r="E6" s="73"/>
      <c r="F6" s="77"/>
      <c r="G6" s="77"/>
      <c r="H6" s="77"/>
      <c r="I6" s="77"/>
      <c r="J6" s="77"/>
      <c r="K6" s="77"/>
      <c r="L6" s="77"/>
      <c r="M6" s="77"/>
      <c r="N6" s="77"/>
      <c r="O6" s="77"/>
      <c r="P6" s="78">
        <f t="shared" si="0"/>
        <v>0</v>
      </c>
    </row>
    <row r="7" spans="1:16" ht="16.5" thickBot="1" x14ac:dyDescent="0.3">
      <c r="A7" s="79">
        <v>1000006</v>
      </c>
      <c r="B7" s="12" t="s">
        <v>4</v>
      </c>
      <c r="C7" s="73"/>
      <c r="D7" s="80">
        <v>60</v>
      </c>
      <c r="E7" s="73"/>
      <c r="F7" s="77"/>
      <c r="G7" s="77"/>
      <c r="H7" s="77"/>
      <c r="I7" s="77"/>
      <c r="J7" s="77">
        <v>100</v>
      </c>
      <c r="K7" s="77"/>
      <c r="L7" s="77">
        <v>100</v>
      </c>
      <c r="M7" s="77"/>
      <c r="N7" s="77"/>
      <c r="O7" s="77"/>
      <c r="P7" s="553">
        <f t="shared" si="0"/>
        <v>200</v>
      </c>
    </row>
    <row r="8" spans="1:16" ht="16.5" thickBot="1" x14ac:dyDescent="0.3">
      <c r="A8" s="79">
        <v>1000007</v>
      </c>
      <c r="B8" s="12" t="s">
        <v>5</v>
      </c>
      <c r="C8" s="73"/>
      <c r="D8" s="80">
        <v>30</v>
      </c>
      <c r="E8" s="73"/>
      <c r="F8" s="77"/>
      <c r="G8" s="77"/>
      <c r="H8" s="77"/>
      <c r="I8" s="77"/>
      <c r="J8" s="77">
        <v>100</v>
      </c>
      <c r="K8" s="77"/>
      <c r="L8" s="77">
        <v>100</v>
      </c>
      <c r="M8" s="77"/>
      <c r="N8" s="77"/>
      <c r="O8" s="77"/>
      <c r="P8" s="553">
        <f t="shared" si="0"/>
        <v>200</v>
      </c>
    </row>
    <row r="9" spans="1:16" ht="16.5" thickBot="1" x14ac:dyDescent="0.3">
      <c r="A9" s="81">
        <v>1000001</v>
      </c>
      <c r="B9" s="12" t="s">
        <v>8</v>
      </c>
      <c r="C9" s="73"/>
      <c r="D9" s="80">
        <v>3</v>
      </c>
      <c r="E9" s="73"/>
      <c r="F9" s="77"/>
      <c r="G9" s="77"/>
      <c r="H9" s="77"/>
      <c r="I9" s="77"/>
      <c r="J9" s="77">
        <v>6</v>
      </c>
      <c r="K9" s="77"/>
      <c r="L9" s="77">
        <v>6</v>
      </c>
      <c r="M9" s="77"/>
      <c r="N9" s="77"/>
      <c r="O9" s="77"/>
      <c r="P9" s="553">
        <f t="shared" si="0"/>
        <v>12</v>
      </c>
    </row>
    <row r="10" spans="1:16" ht="16.5" thickBot="1" x14ac:dyDescent="0.3">
      <c r="A10" s="81">
        <v>1000002</v>
      </c>
      <c r="B10" s="12" t="s">
        <v>9</v>
      </c>
      <c r="C10" s="73"/>
      <c r="D10" s="80">
        <v>1</v>
      </c>
      <c r="E10" s="73"/>
      <c r="F10" s="77"/>
      <c r="G10" s="77"/>
      <c r="H10" s="77"/>
      <c r="I10" s="77"/>
      <c r="J10" s="77">
        <v>2</v>
      </c>
      <c r="K10" s="77"/>
      <c r="L10" s="77">
        <v>2</v>
      </c>
      <c r="M10" s="77"/>
      <c r="N10" s="77"/>
      <c r="O10" s="77"/>
      <c r="P10" s="553">
        <f t="shared" si="0"/>
        <v>4</v>
      </c>
    </row>
    <row r="11" spans="1:16" ht="16.5" thickBot="1" x14ac:dyDescent="0.3">
      <c r="A11" s="81">
        <v>1000004</v>
      </c>
      <c r="B11" s="12" t="s">
        <v>10</v>
      </c>
      <c r="C11" s="73"/>
      <c r="D11" s="80">
        <v>1</v>
      </c>
      <c r="E11" s="73"/>
      <c r="F11" s="77"/>
      <c r="G11" s="77"/>
      <c r="H11" s="77"/>
      <c r="I11" s="77"/>
      <c r="J11" s="77">
        <v>2</v>
      </c>
      <c r="K11" s="77"/>
      <c r="L11" s="77">
        <v>2</v>
      </c>
      <c r="M11" s="77"/>
      <c r="N11" s="77"/>
      <c r="O11" s="77"/>
      <c r="P11" s="553">
        <f t="shared" si="0"/>
        <v>4</v>
      </c>
    </row>
    <row r="12" spans="1:16" ht="16.5" thickBot="1" x14ac:dyDescent="0.3">
      <c r="A12" s="81">
        <v>1000067</v>
      </c>
      <c r="B12" s="12" t="s">
        <v>11</v>
      </c>
      <c r="C12" s="73"/>
      <c r="D12" s="80">
        <v>0</v>
      </c>
      <c r="E12" s="73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8">
        <f t="shared" si="0"/>
        <v>0</v>
      </c>
    </row>
    <row r="13" spans="1:16" ht="16.5" thickBot="1" x14ac:dyDescent="0.3">
      <c r="A13" s="81">
        <v>1000054</v>
      </c>
      <c r="B13" s="12" t="s">
        <v>12</v>
      </c>
      <c r="C13" s="73"/>
      <c r="D13" s="80">
        <v>5</v>
      </c>
      <c r="E13" s="73"/>
      <c r="F13" s="77"/>
      <c r="G13" s="77"/>
      <c r="H13" s="77"/>
      <c r="I13" s="77"/>
      <c r="J13" s="77">
        <v>5</v>
      </c>
      <c r="K13" s="77"/>
      <c r="L13" s="77">
        <v>5</v>
      </c>
      <c r="M13" s="77"/>
      <c r="N13" s="77"/>
      <c r="O13" s="77"/>
      <c r="P13" s="553">
        <f t="shared" si="0"/>
        <v>10</v>
      </c>
    </row>
    <row r="14" spans="1:16" ht="16.5" thickBot="1" x14ac:dyDescent="0.3">
      <c r="A14" s="81">
        <v>1000017</v>
      </c>
      <c r="B14" s="12" t="s">
        <v>14</v>
      </c>
      <c r="C14" s="73"/>
      <c r="D14" s="80">
        <v>10</v>
      </c>
      <c r="E14" s="73"/>
      <c r="F14" s="77"/>
      <c r="G14" s="77"/>
      <c r="H14" s="77"/>
      <c r="I14" s="77"/>
      <c r="J14" s="77">
        <v>10</v>
      </c>
      <c r="K14" s="77"/>
      <c r="L14" s="77">
        <v>10</v>
      </c>
      <c r="M14" s="77"/>
      <c r="N14" s="77"/>
      <c r="O14" s="77"/>
      <c r="P14" s="553">
        <f t="shared" si="0"/>
        <v>20</v>
      </c>
    </row>
    <row r="15" spans="1:16" ht="16.5" thickBot="1" x14ac:dyDescent="0.3">
      <c r="A15" s="81">
        <v>1000016</v>
      </c>
      <c r="B15" s="12" t="s">
        <v>15</v>
      </c>
      <c r="C15" s="73"/>
      <c r="D15" s="80">
        <v>3</v>
      </c>
      <c r="E15" s="73"/>
      <c r="F15" s="77"/>
      <c r="G15" s="77"/>
      <c r="H15" s="77"/>
      <c r="I15" s="77"/>
      <c r="J15" s="77">
        <v>5</v>
      </c>
      <c r="K15" s="77"/>
      <c r="L15" s="77"/>
      <c r="M15" s="77"/>
      <c r="N15" s="77"/>
      <c r="O15" s="77"/>
      <c r="P15" s="553">
        <f t="shared" si="0"/>
        <v>5</v>
      </c>
    </row>
    <row r="16" spans="1:16" ht="16.5" thickBot="1" x14ac:dyDescent="0.3">
      <c r="A16" s="81">
        <v>1000041</v>
      </c>
      <c r="B16" s="13" t="s">
        <v>16</v>
      </c>
      <c r="C16" s="73"/>
      <c r="D16" s="80">
        <v>1</v>
      </c>
      <c r="E16" s="73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8">
        <f t="shared" si="0"/>
        <v>0</v>
      </c>
    </row>
    <row r="17" spans="1:16" ht="16.5" thickBot="1" x14ac:dyDescent="0.3">
      <c r="A17" s="81">
        <v>1000049</v>
      </c>
      <c r="B17" s="12" t="s">
        <v>21</v>
      </c>
      <c r="C17" s="73"/>
      <c r="D17" s="80">
        <v>0</v>
      </c>
      <c r="E17" s="73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8">
        <f t="shared" si="0"/>
        <v>0</v>
      </c>
    </row>
    <row r="18" spans="1:16" ht="16.5" thickBot="1" x14ac:dyDescent="0.3">
      <c r="A18" s="81">
        <v>1000050</v>
      </c>
      <c r="B18" s="12" t="s">
        <v>22</v>
      </c>
      <c r="C18" s="73"/>
      <c r="D18" s="80">
        <v>0</v>
      </c>
      <c r="E18" s="73"/>
      <c r="F18" s="77"/>
      <c r="G18" s="77"/>
      <c r="H18" s="77"/>
      <c r="I18" s="77"/>
      <c r="J18" s="77">
        <v>3</v>
      </c>
      <c r="K18" s="77"/>
      <c r="L18" s="77">
        <v>3</v>
      </c>
      <c r="M18" s="77"/>
      <c r="N18" s="77"/>
      <c r="O18" s="77"/>
      <c r="P18" s="78">
        <f t="shared" si="0"/>
        <v>6</v>
      </c>
    </row>
    <row r="19" spans="1:16" ht="16.5" thickBot="1" x14ac:dyDescent="0.3">
      <c r="A19" s="81">
        <v>1000045</v>
      </c>
      <c r="B19" s="12" t="s">
        <v>23</v>
      </c>
      <c r="C19" s="73"/>
      <c r="D19" s="80"/>
      <c r="E19" s="73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8">
        <f t="shared" si="0"/>
        <v>0</v>
      </c>
    </row>
    <row r="20" spans="1:16" ht="16.5" thickBot="1" x14ac:dyDescent="0.3">
      <c r="A20" s="81">
        <v>1000031</v>
      </c>
      <c r="B20" s="12" t="s">
        <v>25</v>
      </c>
      <c r="C20" s="73"/>
      <c r="D20" s="80"/>
      <c r="E20" s="73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>
        <f t="shared" si="0"/>
        <v>0</v>
      </c>
    </row>
    <row r="21" spans="1:16" ht="16.5" thickBot="1" x14ac:dyDescent="0.3">
      <c r="A21" s="81">
        <v>1000025</v>
      </c>
      <c r="B21" s="12" t="s">
        <v>32</v>
      </c>
      <c r="C21" s="73"/>
      <c r="D21" s="80"/>
      <c r="E21" s="73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8">
        <f t="shared" si="0"/>
        <v>0</v>
      </c>
    </row>
    <row r="22" spans="1:16" ht="16.5" thickBot="1" x14ac:dyDescent="0.3">
      <c r="A22" s="81">
        <v>1000027</v>
      </c>
      <c r="B22" s="12" t="s">
        <v>33</v>
      </c>
      <c r="C22" s="73"/>
      <c r="D22" s="80"/>
      <c r="E22" s="73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8">
        <f t="shared" si="0"/>
        <v>0</v>
      </c>
    </row>
    <row r="23" spans="1:16" ht="16.5" thickBot="1" x14ac:dyDescent="0.3">
      <c r="A23" s="81">
        <v>1000100</v>
      </c>
      <c r="B23" s="12" t="s">
        <v>34</v>
      </c>
      <c r="C23" s="73"/>
      <c r="D23" s="80"/>
      <c r="E23" s="73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8">
        <f t="shared" si="0"/>
        <v>0</v>
      </c>
    </row>
    <row r="24" spans="1:16" ht="16.5" thickBot="1" x14ac:dyDescent="0.3">
      <c r="A24" s="81">
        <v>1000073</v>
      </c>
      <c r="B24" s="12" t="s">
        <v>36</v>
      </c>
      <c r="C24" s="73"/>
      <c r="D24" s="80"/>
      <c r="E24" s="73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8">
        <f t="shared" si="0"/>
        <v>0</v>
      </c>
    </row>
    <row r="25" spans="1:16" ht="16.5" thickBot="1" x14ac:dyDescent="0.3">
      <c r="A25" s="81">
        <v>1000146</v>
      </c>
      <c r="B25" s="12" t="s">
        <v>39</v>
      </c>
      <c r="C25" s="73"/>
      <c r="D25" s="80"/>
      <c r="E25" s="73"/>
      <c r="F25" s="77"/>
      <c r="G25" s="77"/>
      <c r="H25" s="77"/>
      <c r="I25" s="77"/>
      <c r="J25" s="77">
        <v>40</v>
      </c>
      <c r="K25" s="77"/>
      <c r="L25" s="77">
        <v>40</v>
      </c>
      <c r="M25" s="77"/>
      <c r="N25" s="77"/>
      <c r="O25" s="77"/>
      <c r="P25" s="553">
        <f t="shared" si="0"/>
        <v>80</v>
      </c>
    </row>
    <row r="26" spans="1:16" ht="16.5" thickBot="1" x14ac:dyDescent="0.3">
      <c r="A26" s="81">
        <v>10248</v>
      </c>
      <c r="B26" s="12" t="s">
        <v>183</v>
      </c>
      <c r="C26" s="73"/>
      <c r="D26" s="80"/>
      <c r="E26" s="73"/>
      <c r="F26" s="77"/>
      <c r="G26" s="77"/>
      <c r="H26" s="77"/>
      <c r="I26" s="77"/>
      <c r="J26" s="77">
        <v>12</v>
      </c>
      <c r="K26" s="77"/>
      <c r="L26" s="77">
        <v>12</v>
      </c>
      <c r="M26" s="77"/>
      <c r="N26" s="77"/>
      <c r="O26" s="77"/>
      <c r="P26" s="553">
        <f t="shared" si="0"/>
        <v>24</v>
      </c>
    </row>
    <row r="27" spans="1:16" ht="16.5" thickBot="1" x14ac:dyDescent="0.3">
      <c r="A27" s="81">
        <v>1000090</v>
      </c>
      <c r="B27" s="12" t="s">
        <v>40</v>
      </c>
      <c r="C27" s="73"/>
      <c r="D27" s="80"/>
      <c r="E27" s="73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8">
        <f t="shared" si="0"/>
        <v>0</v>
      </c>
    </row>
    <row r="28" spans="1:16" ht="16.5" thickBot="1" x14ac:dyDescent="0.3">
      <c r="A28" s="81">
        <v>1000052</v>
      </c>
      <c r="B28" s="12" t="s">
        <v>41</v>
      </c>
      <c r="C28" s="73"/>
      <c r="D28" s="80"/>
      <c r="E28" s="73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8">
        <f t="shared" si="0"/>
        <v>0</v>
      </c>
    </row>
    <row r="29" spans="1:16" ht="16.5" thickBot="1" x14ac:dyDescent="0.3">
      <c r="A29" s="81">
        <v>1000089</v>
      </c>
      <c r="B29" s="12" t="s">
        <v>42</v>
      </c>
      <c r="C29" s="73"/>
      <c r="D29" s="80"/>
      <c r="E29" s="73"/>
      <c r="F29" s="77"/>
      <c r="G29" s="77"/>
      <c r="H29" s="77"/>
      <c r="I29" s="77"/>
      <c r="J29" s="77">
        <v>3</v>
      </c>
      <c r="K29" s="77"/>
      <c r="L29" s="77">
        <v>2</v>
      </c>
      <c r="M29" s="77"/>
      <c r="N29" s="77"/>
      <c r="O29" s="77"/>
      <c r="P29" s="553">
        <f t="shared" si="0"/>
        <v>5</v>
      </c>
    </row>
    <row r="30" spans="1:16" ht="16.5" thickBot="1" x14ac:dyDescent="0.3">
      <c r="A30" s="81">
        <v>1000051</v>
      </c>
      <c r="B30" s="12" t="s">
        <v>43</v>
      </c>
      <c r="C30" s="73"/>
      <c r="D30" s="80"/>
      <c r="E30" s="73"/>
      <c r="F30" s="77"/>
      <c r="G30" s="77"/>
      <c r="H30" s="77"/>
      <c r="I30" s="77"/>
      <c r="J30" s="77">
        <v>2</v>
      </c>
      <c r="K30" s="77"/>
      <c r="L30" s="77">
        <v>2</v>
      </c>
      <c r="M30" s="77"/>
      <c r="N30" s="77"/>
      <c r="O30" s="77"/>
      <c r="P30" s="553">
        <f t="shared" si="0"/>
        <v>4</v>
      </c>
    </row>
    <row r="31" spans="1:16" ht="16.5" thickBot="1" x14ac:dyDescent="0.3">
      <c r="A31" s="81">
        <v>1000048</v>
      </c>
      <c r="B31" s="12" t="s">
        <v>45</v>
      </c>
      <c r="C31" s="73"/>
      <c r="D31" s="80"/>
      <c r="E31" s="73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>
        <f t="shared" si="0"/>
        <v>0</v>
      </c>
    </row>
    <row r="32" spans="1:16" ht="16.5" thickBot="1" x14ac:dyDescent="0.3">
      <c r="A32" s="81">
        <v>1000076</v>
      </c>
      <c r="B32" s="12" t="s">
        <v>46</v>
      </c>
      <c r="C32" s="73"/>
      <c r="D32" s="80"/>
      <c r="E32" s="73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8">
        <f t="shared" si="0"/>
        <v>0</v>
      </c>
    </row>
    <row r="33" spans="1:16" ht="16.5" thickBot="1" x14ac:dyDescent="0.3">
      <c r="A33" s="81">
        <v>1000057</v>
      </c>
      <c r="B33" s="12" t="s">
        <v>70</v>
      </c>
      <c r="C33" s="73"/>
      <c r="D33" s="80"/>
      <c r="E33" s="73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8">
        <f t="shared" si="0"/>
        <v>0</v>
      </c>
    </row>
    <row r="34" spans="1:16" ht="16.5" thickBot="1" x14ac:dyDescent="0.3">
      <c r="A34" s="81">
        <v>10248</v>
      </c>
      <c r="B34" s="12" t="s">
        <v>183</v>
      </c>
      <c r="C34" s="73"/>
      <c r="D34" s="80"/>
      <c r="E34" s="73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>
        <f t="shared" si="0"/>
        <v>0</v>
      </c>
    </row>
    <row r="35" spans="1:16" ht="16.5" thickBot="1" x14ac:dyDescent="0.3">
      <c r="A35" s="81">
        <v>1000070</v>
      </c>
      <c r="B35" s="12" t="s">
        <v>13</v>
      </c>
      <c r="C35" s="73"/>
      <c r="D35" s="80"/>
      <c r="E35" s="73"/>
      <c r="F35" s="77"/>
      <c r="G35" s="77"/>
      <c r="H35" s="77"/>
      <c r="I35" s="77"/>
      <c r="J35" s="77">
        <v>2</v>
      </c>
      <c r="K35" s="77"/>
      <c r="L35" s="77">
        <v>2</v>
      </c>
      <c r="M35" s="77"/>
      <c r="N35" s="77"/>
      <c r="O35" s="77"/>
      <c r="P35" s="553">
        <f t="shared" si="0"/>
        <v>4</v>
      </c>
    </row>
    <row r="36" spans="1:16" ht="16.5" thickBot="1" x14ac:dyDescent="0.3">
      <c r="A36" s="81">
        <v>1000008</v>
      </c>
      <c r="B36" s="12" t="s">
        <v>7</v>
      </c>
      <c r="C36" s="73"/>
      <c r="D36" s="80"/>
      <c r="E36" s="73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8">
        <f t="shared" si="0"/>
        <v>0</v>
      </c>
    </row>
    <row r="37" spans="1:16" ht="16.5" thickBot="1" x14ac:dyDescent="0.3">
      <c r="A37" s="81">
        <v>1000034</v>
      </c>
      <c r="B37" s="12" t="s">
        <v>28</v>
      </c>
      <c r="C37" s="73"/>
      <c r="D37" s="80"/>
      <c r="E37" s="73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>
        <f t="shared" si="0"/>
        <v>0</v>
      </c>
    </row>
    <row r="38" spans="1:16" ht="16.5" thickBot="1" x14ac:dyDescent="0.3">
      <c r="A38" s="81">
        <v>1000075</v>
      </c>
      <c r="B38" s="12" t="s">
        <v>47</v>
      </c>
      <c r="C38" s="73"/>
      <c r="D38" s="80"/>
      <c r="E38" s="73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8">
        <f t="shared" si="0"/>
        <v>0</v>
      </c>
    </row>
    <row r="39" spans="1:16" ht="16.5" thickBot="1" x14ac:dyDescent="0.3">
      <c r="A39" s="81">
        <v>1000147</v>
      </c>
      <c r="B39" s="12" t="s">
        <v>52</v>
      </c>
      <c r="C39" s="73"/>
      <c r="D39" s="80"/>
      <c r="E39" s="73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>
        <f t="shared" si="0"/>
        <v>0</v>
      </c>
    </row>
    <row r="40" spans="1:16" ht="16.5" thickBot="1" x14ac:dyDescent="0.3">
      <c r="A40" s="81">
        <v>1000084</v>
      </c>
      <c r="B40" s="12" t="s">
        <v>38</v>
      </c>
      <c r="C40" s="73"/>
      <c r="D40" s="80"/>
      <c r="E40" s="73"/>
      <c r="F40" s="77"/>
      <c r="G40" s="77"/>
      <c r="H40" s="77"/>
      <c r="I40" s="77"/>
      <c r="J40" s="77">
        <v>16</v>
      </c>
      <c r="K40" s="77"/>
      <c r="L40" s="77">
        <v>16</v>
      </c>
      <c r="M40" s="77"/>
      <c r="N40" s="77"/>
      <c r="O40" s="77"/>
      <c r="P40" s="553">
        <f t="shared" si="0"/>
        <v>32</v>
      </c>
    </row>
    <row r="41" spans="1:16" ht="16.5" thickBot="1" x14ac:dyDescent="0.3">
      <c r="A41" s="81">
        <v>1000033</v>
      </c>
      <c r="B41" s="12" t="s">
        <v>27</v>
      </c>
      <c r="C41" s="73"/>
      <c r="D41" s="80"/>
      <c r="E41" s="73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>
        <f t="shared" si="0"/>
        <v>0</v>
      </c>
    </row>
    <row r="42" spans="1:16" ht="16.5" thickBot="1" x14ac:dyDescent="0.3">
      <c r="A42" s="81">
        <v>1000009</v>
      </c>
      <c r="B42" s="12" t="s">
        <v>19</v>
      </c>
      <c r="C42" s="73"/>
      <c r="D42" s="80"/>
      <c r="E42" s="73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8">
        <f t="shared" si="0"/>
        <v>0</v>
      </c>
    </row>
    <row r="43" spans="1:16" ht="16.5" thickBot="1" x14ac:dyDescent="0.3">
      <c r="A43" s="81">
        <v>1000029</v>
      </c>
      <c r="B43" s="12" t="s">
        <v>30</v>
      </c>
      <c r="C43" s="73"/>
      <c r="D43" s="80"/>
      <c r="E43" s="73"/>
      <c r="F43" s="77"/>
      <c r="G43" s="77"/>
      <c r="H43" s="77"/>
      <c r="I43" s="77"/>
      <c r="J43" s="77">
        <v>3</v>
      </c>
      <c r="K43" s="77"/>
      <c r="L43" s="77">
        <v>3</v>
      </c>
      <c r="M43" s="77"/>
      <c r="N43" s="77"/>
      <c r="O43" s="77"/>
      <c r="P43" s="553">
        <f t="shared" si="0"/>
        <v>6</v>
      </c>
    </row>
    <row r="44" spans="1:16" ht="16.5" thickBot="1" x14ac:dyDescent="0.3">
      <c r="A44" s="81">
        <v>1000011</v>
      </c>
      <c r="B44" s="12" t="s">
        <v>18</v>
      </c>
      <c r="C44" s="73"/>
      <c r="D44" s="80"/>
      <c r="E44" s="73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8">
        <f t="shared" si="0"/>
        <v>0</v>
      </c>
    </row>
    <row r="45" spans="1:16" ht="16.5" thickBot="1" x14ac:dyDescent="0.3">
      <c r="A45" s="81">
        <v>1000065</v>
      </c>
      <c r="B45" s="12" t="s">
        <v>63</v>
      </c>
      <c r="C45" s="73"/>
      <c r="D45" s="80"/>
      <c r="E45" s="73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8">
        <f t="shared" si="0"/>
        <v>0</v>
      </c>
    </row>
    <row r="46" spans="1:16" ht="16.5" thickBot="1" x14ac:dyDescent="0.3">
      <c r="A46" s="81">
        <v>1000104</v>
      </c>
      <c r="B46" s="12" t="s">
        <v>57</v>
      </c>
      <c r="C46" s="73"/>
      <c r="D46" s="80"/>
      <c r="E46" s="73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8">
        <f t="shared" si="0"/>
        <v>0</v>
      </c>
    </row>
    <row r="47" spans="1:16" ht="16.5" thickBot="1" x14ac:dyDescent="0.3">
      <c r="A47" s="81">
        <v>1000214</v>
      </c>
      <c r="B47" s="12" t="s">
        <v>49</v>
      </c>
      <c r="C47" s="73"/>
      <c r="D47" s="80"/>
      <c r="E47" s="73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8">
        <f t="shared" si="0"/>
        <v>0</v>
      </c>
    </row>
    <row r="48" spans="1:16" ht="16.5" thickBot="1" x14ac:dyDescent="0.3">
      <c r="A48" s="81">
        <v>1000012</v>
      </c>
      <c r="B48" s="12" t="s">
        <v>20</v>
      </c>
      <c r="C48" s="73"/>
      <c r="D48" s="80"/>
      <c r="E48" s="73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8">
        <f t="shared" si="0"/>
        <v>0</v>
      </c>
    </row>
    <row r="49" spans="1:16" ht="16.5" thickBot="1" x14ac:dyDescent="0.3">
      <c r="A49" s="81">
        <v>1000383</v>
      </c>
      <c r="B49" s="12" t="s">
        <v>264</v>
      </c>
      <c r="C49" s="73"/>
      <c r="D49" s="80"/>
      <c r="E49" s="73"/>
      <c r="F49" s="77"/>
      <c r="G49" s="77"/>
      <c r="H49" s="77"/>
      <c r="I49" s="77"/>
      <c r="J49" s="77">
        <v>96</v>
      </c>
      <c r="K49" s="77"/>
      <c r="L49" s="77">
        <v>96</v>
      </c>
      <c r="M49" s="77"/>
      <c r="N49" s="77"/>
      <c r="O49" s="77"/>
      <c r="P49" s="553">
        <f t="shared" si="0"/>
        <v>192</v>
      </c>
    </row>
    <row r="50" spans="1:16" ht="16.5" thickBot="1" x14ac:dyDescent="0.3">
      <c r="A50" s="81">
        <v>1000486</v>
      </c>
      <c r="B50" s="12" t="s">
        <v>263</v>
      </c>
      <c r="C50" s="73"/>
      <c r="D50" s="80"/>
      <c r="E50" s="73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8">
        <f t="shared" si="0"/>
        <v>0</v>
      </c>
    </row>
    <row r="51" spans="1:16" ht="16.5" thickBot="1" x14ac:dyDescent="0.3">
      <c r="A51" s="81">
        <v>1000154</v>
      </c>
      <c r="B51" s="12" t="s">
        <v>85</v>
      </c>
      <c r="C51" s="73"/>
      <c r="D51" s="80"/>
      <c r="E51" s="73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8">
        <f t="shared" si="0"/>
        <v>0</v>
      </c>
    </row>
    <row r="52" spans="1:16" ht="16.5" thickBot="1" x14ac:dyDescent="0.3">
      <c r="A52" s="81">
        <v>1000092</v>
      </c>
      <c r="B52" s="12" t="s">
        <v>51</v>
      </c>
      <c r="C52" s="73"/>
      <c r="D52" s="80"/>
      <c r="E52" s="73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8">
        <f t="shared" si="0"/>
        <v>0</v>
      </c>
    </row>
    <row r="53" spans="1:16" ht="16.5" thickBot="1" x14ac:dyDescent="0.3">
      <c r="A53" s="81">
        <v>1000057</v>
      </c>
      <c r="B53" s="12" t="s">
        <v>70</v>
      </c>
      <c r="C53" s="73"/>
      <c r="D53" s="80"/>
      <c r="E53" s="73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8">
        <f t="shared" si="0"/>
        <v>0</v>
      </c>
    </row>
    <row r="54" spans="1:16" ht="16.5" thickBot="1" x14ac:dyDescent="0.3">
      <c r="A54" s="81">
        <v>1000080</v>
      </c>
      <c r="B54" s="12" t="s">
        <v>275</v>
      </c>
      <c r="C54" s="73"/>
      <c r="D54" s="80"/>
      <c r="E54" s="73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8">
        <f t="shared" si="0"/>
        <v>0</v>
      </c>
    </row>
    <row r="55" spans="1:16" ht="16.5" thickBot="1" x14ac:dyDescent="0.3">
      <c r="A55" s="81">
        <v>1000436</v>
      </c>
      <c r="B55" s="12" t="s">
        <v>276</v>
      </c>
      <c r="C55" s="73"/>
      <c r="D55" s="80"/>
      <c r="E55" s="73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8">
        <f t="shared" si="0"/>
        <v>0</v>
      </c>
    </row>
    <row r="56" spans="1:16" ht="16.5" thickBot="1" x14ac:dyDescent="0.3">
      <c r="A56" s="36">
        <v>1000550</v>
      </c>
      <c r="B56" s="12" t="s">
        <v>277</v>
      </c>
      <c r="D56" s="35"/>
      <c r="E56" s="215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8">
        <f t="shared" si="0"/>
        <v>0</v>
      </c>
    </row>
    <row r="57" spans="1:16" ht="16.5" thickBot="1" x14ac:dyDescent="0.3">
      <c r="A57" s="36">
        <v>1000551</v>
      </c>
      <c r="B57" s="12" t="s">
        <v>278</v>
      </c>
      <c r="D57" s="35"/>
      <c r="E57" s="215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8">
        <f t="shared" si="0"/>
        <v>0</v>
      </c>
    </row>
    <row r="58" spans="1:16" ht="16.5" thickBot="1" x14ac:dyDescent="0.3">
      <c r="A58" s="207">
        <v>1000552</v>
      </c>
      <c r="B58" s="246" t="s">
        <v>279</v>
      </c>
      <c r="D58" s="38"/>
      <c r="E58" s="215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8">
        <f t="shared" si="0"/>
        <v>0</v>
      </c>
    </row>
    <row r="59" spans="1:16" ht="16.5" thickBot="1" x14ac:dyDescent="0.3">
      <c r="A59" s="233">
        <v>1000085</v>
      </c>
      <c r="B59" s="12" t="s">
        <v>50</v>
      </c>
      <c r="D59" s="38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8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50FC-FF57-4100-90B3-E9B1B1CADAEA}">
  <sheetPr>
    <tabColor rgb="FFFF0000"/>
    <pageSetUpPr fitToPage="1"/>
  </sheetPr>
  <dimension ref="A1:P50"/>
  <sheetViews>
    <sheetView zoomScale="70" zoomScaleNormal="70" workbookViewId="0">
      <selection activeCell="P18" sqref="P18:P19"/>
    </sheetView>
  </sheetViews>
  <sheetFormatPr baseColWidth="10" defaultColWidth="10.875" defaultRowHeight="15" x14ac:dyDescent="0.25"/>
  <cols>
    <col min="1" max="1" width="9.75" style="27" bestFit="1" customWidth="1"/>
    <col min="2" max="2" width="31.375" style="27" customWidth="1"/>
    <col min="3" max="3" width="0.875" style="27" customWidth="1"/>
    <col min="4" max="4" width="10.75" style="27" customWidth="1"/>
    <col min="5" max="5" width="4.25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6.5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6.625" style="27" customWidth="1"/>
    <col min="14" max="14" width="9.125" style="27" bestFit="1" customWidth="1"/>
    <col min="15" max="15" width="6.25" style="27" customWidth="1"/>
    <col min="16" max="16384" width="10.875" style="27"/>
  </cols>
  <sheetData>
    <row r="1" spans="1:16" ht="15" customHeight="1" x14ac:dyDescent="0.45">
      <c r="A1" s="686" t="s">
        <v>144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 s="747" t="s">
        <v>170</v>
      </c>
      <c r="M1" s="749" t="s">
        <v>444</v>
      </c>
    </row>
    <row r="2" spans="1:16" s="3" customFormat="1" ht="21" customHeight="1" thickBot="1" x14ac:dyDescent="0.5">
      <c r="A2" s="688"/>
      <c r="B2" s="689"/>
      <c r="C2" s="18"/>
      <c r="D2" s="433" t="s">
        <v>305</v>
      </c>
      <c r="F2" s="754"/>
      <c r="G2" s="755"/>
      <c r="H2" s="755"/>
      <c r="I2" s="755"/>
      <c r="J2" s="756"/>
      <c r="K2" s="2"/>
      <c r="L2" s="774"/>
      <c r="M2" s="750"/>
    </row>
    <row r="3" spans="1:16" s="3" customFormat="1" ht="20.25" customHeight="1" thickBot="1" x14ac:dyDescent="0.3">
      <c r="A3" s="5"/>
      <c r="B3" s="5" t="s">
        <v>342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343</v>
      </c>
      <c r="G4" s="20" t="s">
        <v>325</v>
      </c>
      <c r="H4" s="19" t="s">
        <v>344</v>
      </c>
      <c r="I4" s="20" t="s">
        <v>325</v>
      </c>
      <c r="J4" s="19" t="s">
        <v>345</v>
      </c>
      <c r="K4" s="20" t="s">
        <v>325</v>
      </c>
      <c r="L4" s="19" t="s">
        <v>346</v>
      </c>
      <c r="M4" s="20" t="s">
        <v>325</v>
      </c>
      <c r="N4" s="19" t="s">
        <v>347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60</v>
      </c>
      <c r="F5" s="29">
        <v>50</v>
      </c>
      <c r="G5" s="29"/>
      <c r="H5" s="29"/>
      <c r="I5" s="29"/>
      <c r="J5" s="29"/>
      <c r="K5" s="29"/>
      <c r="L5" s="29"/>
      <c r="M5" s="29"/>
      <c r="N5" s="29"/>
      <c r="O5" s="29"/>
      <c r="P5" s="418">
        <f t="shared" ref="P5:P48" si="0">SUM(F5:O5)</f>
        <v>50</v>
      </c>
    </row>
    <row r="6" spans="1:16" ht="15.75" thickBot="1" x14ac:dyDescent="0.3">
      <c r="A6" s="35">
        <v>1000007</v>
      </c>
      <c r="B6" s="12" t="s">
        <v>5</v>
      </c>
      <c r="C6" s="41"/>
      <c r="D6" s="47">
        <v>35</v>
      </c>
      <c r="F6" s="29">
        <v>50</v>
      </c>
      <c r="G6" s="29"/>
      <c r="H6" s="29"/>
      <c r="I6" s="29"/>
      <c r="J6" s="29"/>
      <c r="K6" s="29"/>
      <c r="L6" s="29"/>
      <c r="M6" s="29"/>
      <c r="N6" s="29"/>
      <c r="O6" s="29"/>
      <c r="P6" s="418">
        <f t="shared" si="0"/>
        <v>50</v>
      </c>
    </row>
    <row r="7" spans="1:16" ht="15.75" thickBot="1" x14ac:dyDescent="0.3">
      <c r="A7" s="35">
        <v>1000001</v>
      </c>
      <c r="B7" s="12" t="s">
        <v>8</v>
      </c>
      <c r="C7" s="41"/>
      <c r="D7" s="47">
        <v>1</v>
      </c>
      <c r="F7" s="29">
        <v>4</v>
      </c>
      <c r="G7" s="29"/>
      <c r="H7" s="29"/>
      <c r="I7" s="29"/>
      <c r="J7" s="29"/>
      <c r="K7" s="29"/>
      <c r="L7" s="29"/>
      <c r="M7" s="29"/>
      <c r="N7" s="29"/>
      <c r="O7" s="29"/>
      <c r="P7" s="418">
        <f t="shared" si="0"/>
        <v>4</v>
      </c>
    </row>
    <row r="8" spans="1:16" ht="15.75" thickBot="1" x14ac:dyDescent="0.3">
      <c r="A8" s="35">
        <v>1000002</v>
      </c>
      <c r="B8" s="12" t="s">
        <v>9</v>
      </c>
      <c r="C8" s="41"/>
      <c r="D8" s="47">
        <v>1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30">
        <f t="shared" si="0"/>
        <v>0</v>
      </c>
    </row>
    <row r="9" spans="1:16" ht="15.75" thickBot="1" x14ac:dyDescent="0.3">
      <c r="A9" s="35">
        <v>1000004</v>
      </c>
      <c r="B9" s="12" t="s">
        <v>10</v>
      </c>
      <c r="C9" s="41"/>
      <c r="D9" s="47">
        <v>1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30">
        <f t="shared" si="0"/>
        <v>0</v>
      </c>
    </row>
    <row r="10" spans="1:16" ht="15.75" thickBot="1" x14ac:dyDescent="0.3">
      <c r="A10" s="35">
        <v>1000067</v>
      </c>
      <c r="B10" s="12" t="s">
        <v>11</v>
      </c>
      <c r="C10" s="41"/>
      <c r="D10" s="47">
        <v>0</v>
      </c>
      <c r="F10" s="29">
        <v>1</v>
      </c>
      <c r="G10" s="29"/>
      <c r="H10" s="29"/>
      <c r="I10" s="29"/>
      <c r="J10" s="29"/>
      <c r="K10" s="29"/>
      <c r="L10" s="29"/>
      <c r="M10" s="29"/>
      <c r="N10" s="29"/>
      <c r="O10" s="29"/>
      <c r="P10" s="418">
        <f t="shared" si="0"/>
        <v>1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5</v>
      </c>
      <c r="F11" s="29">
        <v>10</v>
      </c>
      <c r="G11" s="29"/>
      <c r="H11" s="29"/>
      <c r="I11" s="29"/>
      <c r="J11" s="29"/>
      <c r="K11" s="29"/>
      <c r="L11" s="29"/>
      <c r="M11" s="29"/>
      <c r="N11" s="29"/>
      <c r="O11" s="29"/>
      <c r="P11" s="418">
        <f t="shared" si="0"/>
        <v>10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5</v>
      </c>
      <c r="F13" s="29">
        <v>20</v>
      </c>
      <c r="G13" s="29"/>
      <c r="H13" s="29"/>
      <c r="I13" s="29"/>
      <c r="J13" s="29"/>
      <c r="K13" s="29"/>
      <c r="L13" s="29"/>
      <c r="M13" s="29"/>
      <c r="N13" s="29"/>
      <c r="O13" s="29"/>
      <c r="P13" s="418">
        <f t="shared" si="0"/>
        <v>20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F14" s="29">
        <v>5</v>
      </c>
      <c r="G14" s="29"/>
      <c r="H14" s="29"/>
      <c r="I14" s="29"/>
      <c r="J14" s="29"/>
      <c r="K14" s="29"/>
      <c r="L14" s="29"/>
      <c r="M14" s="29"/>
      <c r="N14" s="29"/>
      <c r="O14" s="29"/>
      <c r="P14" s="418">
        <f t="shared" si="0"/>
        <v>5</v>
      </c>
    </row>
    <row r="15" spans="1:16" ht="15.75" thickBot="1" x14ac:dyDescent="0.3">
      <c r="A15" s="35">
        <v>1000041</v>
      </c>
      <c r="B15" s="12" t="s">
        <v>16</v>
      </c>
      <c r="C15" s="41"/>
      <c r="D15" s="47">
        <v>1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>
        <f t="shared" si="0"/>
        <v>0</v>
      </c>
    </row>
    <row r="16" spans="1:16" ht="15.75" thickBot="1" x14ac:dyDescent="0.3">
      <c r="A16" s="35">
        <v>1000010</v>
      </c>
      <c r="B16" s="13" t="s">
        <v>17</v>
      </c>
      <c r="C16" s="41"/>
      <c r="D16" s="47">
        <v>1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>
        <f t="shared" si="0"/>
        <v>0</v>
      </c>
    </row>
    <row r="17" spans="1:16" ht="15.75" thickBot="1" x14ac:dyDescent="0.3">
      <c r="A17" s="35">
        <v>1000012</v>
      </c>
      <c r="B17" s="12" t="s">
        <v>20</v>
      </c>
      <c r="C17" s="41"/>
      <c r="D17" s="47">
        <v>1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>
        <f t="shared" si="0"/>
        <v>0</v>
      </c>
    </row>
    <row r="18" spans="1:16" ht="15.75" thickBot="1" x14ac:dyDescent="0.3">
      <c r="A18" s="35">
        <v>1000049</v>
      </c>
      <c r="B18" s="12" t="s">
        <v>21</v>
      </c>
      <c r="C18" s="41"/>
      <c r="D18" s="47">
        <v>1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>
        <f t="shared" si="0"/>
        <v>0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>
        <f t="shared" si="0"/>
        <v>0</v>
      </c>
    </row>
    <row r="20" spans="1:16" ht="15.75" thickBot="1" x14ac:dyDescent="0.3">
      <c r="A20" s="35">
        <v>1000030</v>
      </c>
      <c r="B20" s="12" t="s">
        <v>24</v>
      </c>
      <c r="C20" s="41"/>
      <c r="D20" s="47">
        <v>1</v>
      </c>
      <c r="F20" s="29">
        <v>2</v>
      </c>
      <c r="G20" s="29"/>
      <c r="H20" s="29"/>
      <c r="I20" s="29"/>
      <c r="J20" s="29"/>
      <c r="K20" s="29"/>
      <c r="L20" s="29"/>
      <c r="M20" s="29"/>
      <c r="N20" s="29"/>
      <c r="O20" s="29"/>
      <c r="P20" s="418">
        <f t="shared" si="0"/>
        <v>2</v>
      </c>
    </row>
    <row r="21" spans="1:16" ht="15.75" thickBot="1" x14ac:dyDescent="0.3">
      <c r="A21" s="35">
        <v>1000025</v>
      </c>
      <c r="B21" s="12" t="s">
        <v>32</v>
      </c>
      <c r="C21" s="41"/>
      <c r="D21" s="47">
        <v>1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>
        <f t="shared" si="0"/>
        <v>0</v>
      </c>
    </row>
    <row r="22" spans="1:16" ht="15.75" thickBot="1" x14ac:dyDescent="0.3">
      <c r="A22" s="35">
        <v>1000100</v>
      </c>
      <c r="B22" s="12" t="s">
        <v>34</v>
      </c>
      <c r="C22" s="41"/>
      <c r="D22" s="47">
        <v>0</v>
      </c>
      <c r="F22" s="29">
        <v>1</v>
      </c>
      <c r="G22" s="29"/>
      <c r="H22" s="29"/>
      <c r="I22" s="29"/>
      <c r="J22" s="29"/>
      <c r="K22" s="29"/>
      <c r="L22" s="29"/>
      <c r="M22" s="29"/>
      <c r="N22" s="29"/>
      <c r="O22" s="29"/>
      <c r="P22" s="418">
        <f t="shared" si="0"/>
        <v>1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3</v>
      </c>
      <c r="F23" s="29">
        <v>12</v>
      </c>
      <c r="G23" s="29"/>
      <c r="H23" s="29"/>
      <c r="I23" s="29"/>
      <c r="J23" s="29"/>
      <c r="K23" s="29"/>
      <c r="L23" s="29"/>
      <c r="M23" s="29"/>
      <c r="N23" s="29"/>
      <c r="O23" s="29"/>
      <c r="P23" s="418">
        <f t="shared" si="0"/>
        <v>12</v>
      </c>
    </row>
    <row r="24" spans="1:16" ht="15.75" thickBot="1" x14ac:dyDescent="0.3">
      <c r="A24" s="35">
        <v>1000146</v>
      </c>
      <c r="B24" s="12" t="s">
        <v>39</v>
      </c>
      <c r="C24" s="41"/>
      <c r="D24" s="47">
        <v>5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>
        <f t="shared" si="0"/>
        <v>0</v>
      </c>
    </row>
    <row r="25" spans="1:16" ht="15.75" thickBot="1" x14ac:dyDescent="0.3">
      <c r="A25" s="35">
        <v>10248</v>
      </c>
      <c r="B25" s="12" t="s">
        <v>183</v>
      </c>
      <c r="C25" s="41"/>
      <c r="D25" s="47">
        <v>0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>
        <f t="shared" si="0"/>
        <v>0</v>
      </c>
    </row>
    <row r="26" spans="1:16" ht="15.75" thickBot="1" x14ac:dyDescent="0.3">
      <c r="A26" s="35">
        <v>1000052</v>
      </c>
      <c r="B26" s="12" t="s">
        <v>41</v>
      </c>
      <c r="C26" s="41"/>
      <c r="D26" s="47">
        <v>1</v>
      </c>
      <c r="F26" s="29">
        <v>2</v>
      </c>
      <c r="G26" s="29"/>
      <c r="H26" s="29"/>
      <c r="I26" s="29"/>
      <c r="J26" s="29"/>
      <c r="K26" s="29"/>
      <c r="L26" s="29"/>
      <c r="M26" s="29"/>
      <c r="N26" s="29"/>
      <c r="O26" s="29"/>
      <c r="P26" s="418">
        <f t="shared" si="0"/>
        <v>2</v>
      </c>
    </row>
    <row r="27" spans="1:16" ht="15.75" thickBot="1" x14ac:dyDescent="0.3">
      <c r="A27" s="35">
        <v>1000089</v>
      </c>
      <c r="B27" s="12" t="s">
        <v>42</v>
      </c>
      <c r="C27" s="41"/>
      <c r="D27" s="47">
        <v>1</v>
      </c>
      <c r="F27" s="29">
        <v>3</v>
      </c>
      <c r="G27" s="29"/>
      <c r="H27" s="29"/>
      <c r="I27" s="29"/>
      <c r="J27" s="29"/>
      <c r="K27" s="29"/>
      <c r="L27" s="29"/>
      <c r="M27" s="29"/>
      <c r="N27" s="29"/>
      <c r="O27" s="29"/>
      <c r="P27" s="418">
        <f t="shared" si="0"/>
        <v>3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0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>
        <f t="shared" si="0"/>
        <v>0</v>
      </c>
    </row>
    <row r="29" spans="1:16" ht="15.75" thickBot="1" x14ac:dyDescent="0.3">
      <c r="A29" s="35">
        <v>1000073</v>
      </c>
      <c r="B29" s="12" t="s">
        <v>36</v>
      </c>
      <c r="C29" s="41"/>
      <c r="D29" s="47"/>
      <c r="F29" s="29">
        <v>1</v>
      </c>
      <c r="G29" s="29"/>
      <c r="H29" s="29"/>
      <c r="I29" s="29"/>
      <c r="J29" s="29"/>
      <c r="K29" s="29"/>
      <c r="L29" s="29"/>
      <c r="M29" s="29"/>
      <c r="N29" s="29"/>
      <c r="O29" s="29"/>
      <c r="P29" s="418">
        <f t="shared" si="0"/>
        <v>1</v>
      </c>
    </row>
    <row r="30" spans="1:16" s="15" customFormat="1" ht="15.95" customHeight="1" thickBot="1" x14ac:dyDescent="0.3">
      <c r="A30" s="35">
        <v>1000027</v>
      </c>
      <c r="B30" s="12" t="s">
        <v>33</v>
      </c>
      <c r="C30" s="41"/>
      <c r="D30" s="47"/>
      <c r="E30" s="27"/>
      <c r="F30" s="29">
        <v>3</v>
      </c>
      <c r="G30" s="29"/>
      <c r="H30" s="29"/>
      <c r="I30" s="29"/>
      <c r="J30" s="29"/>
      <c r="K30" s="29"/>
      <c r="L30" s="29"/>
      <c r="M30" s="29"/>
      <c r="N30" s="29"/>
      <c r="O30" s="29"/>
      <c r="P30" s="418">
        <f t="shared" si="0"/>
        <v>3</v>
      </c>
    </row>
    <row r="31" spans="1:16" ht="15.75" thickBot="1" x14ac:dyDescent="0.3">
      <c r="A31" s="35">
        <v>1000154</v>
      </c>
      <c r="B31" s="12" t="s">
        <v>85</v>
      </c>
      <c r="C31" s="41"/>
      <c r="D31" s="4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>
        <f t="shared" si="0"/>
        <v>0</v>
      </c>
    </row>
    <row r="32" spans="1:16" ht="15.75" thickBot="1" x14ac:dyDescent="0.3">
      <c r="A32" s="35">
        <v>1000051</v>
      </c>
      <c r="B32" s="12" t="s">
        <v>43</v>
      </c>
      <c r="C32" s="41"/>
      <c r="D32" s="4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>
        <f t="shared" si="0"/>
        <v>0</v>
      </c>
    </row>
    <row r="33" spans="1:16" ht="15.75" thickBot="1" x14ac:dyDescent="0.3">
      <c r="A33" s="35">
        <v>1000085</v>
      </c>
      <c r="B33" s="12" t="s">
        <v>50</v>
      </c>
      <c r="C33" s="41"/>
      <c r="D33" s="4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>
        <f t="shared" si="0"/>
        <v>0</v>
      </c>
    </row>
    <row r="34" spans="1:16" ht="15.75" thickBot="1" x14ac:dyDescent="0.3">
      <c r="A34" s="35">
        <v>1000009</v>
      </c>
      <c r="B34" s="12" t="s">
        <v>19</v>
      </c>
      <c r="C34" s="41"/>
      <c r="D34" s="4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>
        <f t="shared" si="0"/>
        <v>0</v>
      </c>
    </row>
    <row r="35" spans="1:16" ht="15.75" thickBot="1" x14ac:dyDescent="0.3">
      <c r="A35" s="35">
        <v>10000102</v>
      </c>
      <c r="B35" s="12" t="s">
        <v>2</v>
      </c>
      <c r="C35" s="41"/>
      <c r="D35" s="4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>
        <f t="shared" si="0"/>
        <v>0</v>
      </c>
    </row>
    <row r="36" spans="1:16" ht="15.75" thickBot="1" x14ac:dyDescent="0.3">
      <c r="A36" s="35">
        <v>1000034</v>
      </c>
      <c r="B36" s="12" t="s">
        <v>28</v>
      </c>
      <c r="C36" s="41"/>
      <c r="D36" s="4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30">
        <f t="shared" si="0"/>
        <v>0</v>
      </c>
    </row>
    <row r="37" spans="1:16" ht="15.75" thickBot="1" x14ac:dyDescent="0.3">
      <c r="A37" s="35">
        <v>1000092</v>
      </c>
      <c r="B37" s="12" t="s">
        <v>51</v>
      </c>
      <c r="C37" s="41"/>
      <c r="D37" s="4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0">
        <f t="shared" si="0"/>
        <v>0</v>
      </c>
    </row>
    <row r="38" spans="1:16" ht="15.75" thickBot="1" x14ac:dyDescent="0.3">
      <c r="A38" s="35">
        <v>1000075</v>
      </c>
      <c r="B38" s="12" t="s">
        <v>47</v>
      </c>
      <c r="C38" s="41"/>
      <c r="D38" s="47"/>
      <c r="F38" s="29">
        <v>1</v>
      </c>
      <c r="G38" s="29"/>
      <c r="H38" s="29"/>
      <c r="I38" s="29"/>
      <c r="J38" s="29"/>
      <c r="K38" s="29"/>
      <c r="L38" s="29"/>
      <c r="M38" s="29"/>
      <c r="N38" s="29"/>
      <c r="O38" s="29"/>
      <c r="P38" s="418">
        <f t="shared" si="0"/>
        <v>1</v>
      </c>
    </row>
    <row r="39" spans="1:16" ht="15.75" thickBot="1" x14ac:dyDescent="0.3">
      <c r="A39" s="35">
        <v>1000383</v>
      </c>
      <c r="B39" s="12" t="s">
        <v>264</v>
      </c>
      <c r="C39" s="41"/>
      <c r="D39" s="4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30">
        <f t="shared" si="0"/>
        <v>0</v>
      </c>
    </row>
    <row r="40" spans="1:16" ht="15.75" thickBot="1" x14ac:dyDescent="0.3">
      <c r="A40" s="35">
        <v>1000045</v>
      </c>
      <c r="B40" s="12" t="s">
        <v>23</v>
      </c>
      <c r="C40" s="41"/>
      <c r="D40" s="4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0">
        <f t="shared" si="0"/>
        <v>0</v>
      </c>
    </row>
    <row r="41" spans="1:16" ht="15.75" thickBot="1" x14ac:dyDescent="0.3">
      <c r="A41" s="35">
        <v>1000035</v>
      </c>
      <c r="B41" s="12" t="s">
        <v>29</v>
      </c>
      <c r="C41" s="41"/>
      <c r="D41" s="47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0">
        <f t="shared" si="0"/>
        <v>0</v>
      </c>
    </row>
    <row r="42" spans="1:16" ht="15.75" thickBot="1" x14ac:dyDescent="0.3">
      <c r="A42" s="35">
        <v>1000214</v>
      </c>
      <c r="B42" s="12" t="s">
        <v>49</v>
      </c>
      <c r="C42" s="41"/>
      <c r="D42" s="47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0">
        <f t="shared" si="0"/>
        <v>0</v>
      </c>
    </row>
    <row r="43" spans="1:16" ht="15.75" thickBot="1" x14ac:dyDescent="0.3">
      <c r="A43" s="35">
        <v>1000412</v>
      </c>
      <c r="B43" s="12" t="s">
        <v>195</v>
      </c>
      <c r="C43" s="41"/>
      <c r="D43" s="47"/>
      <c r="F43" s="29">
        <v>2</v>
      </c>
      <c r="G43" s="29"/>
      <c r="H43" s="29"/>
      <c r="I43" s="29"/>
      <c r="J43" s="29"/>
      <c r="K43" s="29"/>
      <c r="L43" s="29"/>
      <c r="M43" s="29"/>
      <c r="N43" s="29"/>
      <c r="O43" s="29"/>
      <c r="P43" s="418">
        <f t="shared" si="0"/>
        <v>2</v>
      </c>
    </row>
    <row r="44" spans="1:16" ht="15.75" thickBot="1" x14ac:dyDescent="0.3">
      <c r="A44" s="35">
        <v>1000031</v>
      </c>
      <c r="B44" s="12" t="s">
        <v>25</v>
      </c>
      <c r="C44" s="41"/>
      <c r="D44" s="47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0">
        <f t="shared" si="0"/>
        <v>0</v>
      </c>
    </row>
    <row r="45" spans="1:16" ht="15.75" thickBot="1" x14ac:dyDescent="0.3">
      <c r="A45" s="35">
        <v>1000436</v>
      </c>
      <c r="B45" s="12" t="s">
        <v>276</v>
      </c>
      <c r="C45" s="41"/>
      <c r="D45" s="4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>
        <f t="shared" si="0"/>
        <v>0</v>
      </c>
    </row>
    <row r="46" spans="1:16" ht="15.75" thickBot="1" x14ac:dyDescent="0.3">
      <c r="A46" s="35">
        <v>1000550</v>
      </c>
      <c r="B46" s="12" t="s">
        <v>277</v>
      </c>
      <c r="C46" s="41"/>
      <c r="D46" s="47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0">
        <f t="shared" si="0"/>
        <v>0</v>
      </c>
    </row>
    <row r="47" spans="1:16" ht="15.75" thickBot="1" x14ac:dyDescent="0.3">
      <c r="A47" s="35">
        <v>1000551</v>
      </c>
      <c r="B47" s="12" t="s">
        <v>278</v>
      </c>
      <c r="C47" s="41"/>
      <c r="D47" s="4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0">
        <f t="shared" si="0"/>
        <v>0</v>
      </c>
    </row>
    <row r="48" spans="1:16" ht="15.75" thickBot="1" x14ac:dyDescent="0.3">
      <c r="A48" s="35">
        <v>1000552</v>
      </c>
      <c r="B48" s="12" t="s">
        <v>279</v>
      </c>
      <c r="C48" s="41"/>
      <c r="D48" s="47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5">
        <f t="shared" si="0"/>
        <v>0</v>
      </c>
    </row>
    <row r="49" spans="1:16" ht="15.75" thickBot="1" x14ac:dyDescent="0.3">
      <c r="A49" s="243">
        <v>1000080</v>
      </c>
      <c r="B49" s="251" t="s">
        <v>275</v>
      </c>
      <c r="C49" s="215"/>
      <c r="D49" s="38"/>
      <c r="E49" s="215"/>
      <c r="F49" s="29">
        <v>48</v>
      </c>
      <c r="G49" s="29"/>
      <c r="H49" s="29"/>
      <c r="I49" s="29"/>
      <c r="J49" s="29"/>
      <c r="K49" s="29"/>
      <c r="L49" s="29"/>
      <c r="M49" s="29"/>
      <c r="N49" s="29"/>
      <c r="O49" s="29"/>
      <c r="P49" s="627">
        <f>SUM(F49:O49)</f>
        <v>48</v>
      </c>
    </row>
    <row r="50" spans="1:16" ht="15.75" thickBot="1" x14ac:dyDescent="0.3">
      <c r="A50" s="168">
        <v>10000015</v>
      </c>
      <c r="B50" s="11" t="s">
        <v>1</v>
      </c>
      <c r="D50" s="38"/>
      <c r="F50" s="29">
        <v>5</v>
      </c>
      <c r="G50" s="29"/>
      <c r="H50" s="29"/>
      <c r="I50" s="29"/>
      <c r="J50" s="29"/>
      <c r="K50" s="29"/>
      <c r="L50" s="29"/>
      <c r="M50" s="29"/>
      <c r="N50" s="29"/>
      <c r="O50" s="29"/>
      <c r="P50" s="627">
        <f>SUM(F50:O50)</f>
        <v>5</v>
      </c>
    </row>
  </sheetData>
  <mergeCells count="4">
    <mergeCell ref="A1:B2"/>
    <mergeCell ref="F1:J2"/>
    <mergeCell ref="L1:L2"/>
    <mergeCell ref="M1:M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8FA2-D0EB-40B2-AE8B-CC6567319223}">
  <sheetPr>
    <tabColor rgb="FFFF0000"/>
    <pageSetUpPr fitToPage="1"/>
  </sheetPr>
  <dimension ref="A1:P51"/>
  <sheetViews>
    <sheetView workbookViewId="0">
      <selection activeCell="R16" sqref="R16"/>
    </sheetView>
  </sheetViews>
  <sheetFormatPr baseColWidth="10" defaultColWidth="10.875" defaultRowHeight="15" x14ac:dyDescent="0.25"/>
  <cols>
    <col min="1" max="1" width="7.875" style="161" bestFit="1" customWidth="1"/>
    <col min="2" max="2" width="31.375" style="161" customWidth="1"/>
    <col min="3" max="3" width="0.875" style="161" customWidth="1"/>
    <col min="4" max="4" width="8.5" style="161" bestFit="1" customWidth="1"/>
    <col min="5" max="5" width="1" style="161" customWidth="1"/>
    <col min="6" max="6" width="9.125" style="161" bestFit="1" customWidth="1"/>
    <col min="7" max="7" width="5.5" style="161" customWidth="1"/>
    <col min="8" max="8" width="9.125" style="161" bestFit="1" customWidth="1"/>
    <col min="9" max="9" width="5.25" style="161" customWidth="1"/>
    <col min="10" max="10" width="9.125" style="161" bestFit="1" customWidth="1"/>
    <col min="11" max="11" width="5.375" style="161" customWidth="1"/>
    <col min="12" max="12" width="9.125" style="161" bestFit="1" customWidth="1"/>
    <col min="13" max="13" width="4.625" style="161" customWidth="1"/>
    <col min="14" max="14" width="9.125" style="161" bestFit="1" customWidth="1"/>
    <col min="15" max="15" width="4.875" style="161" customWidth="1"/>
    <col min="16" max="16384" width="10.875" style="161"/>
  </cols>
  <sheetData>
    <row r="1" spans="1:16" ht="17.25" customHeight="1" x14ac:dyDescent="0.45">
      <c r="A1" s="686" t="s">
        <v>243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305</v>
      </c>
      <c r="F2" s="754"/>
      <c r="G2" s="755"/>
      <c r="H2" s="755"/>
      <c r="I2" s="755"/>
      <c r="J2" s="756"/>
      <c r="K2" s="2"/>
    </row>
    <row r="3" spans="1:16" s="3" customFormat="1" ht="17.25" customHeight="1" thickBot="1" x14ac:dyDescent="0.3">
      <c r="A3" s="5"/>
      <c r="B3" s="420" t="s">
        <v>348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161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168">
        <v>10000015</v>
      </c>
      <c r="B5" s="11" t="s">
        <v>1</v>
      </c>
      <c r="C5" s="175"/>
      <c r="D5" s="166">
        <v>5</v>
      </c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8">
        <f t="shared" ref="P5:P51" si="0">SUM(F5:O5)</f>
        <v>0</v>
      </c>
    </row>
    <row r="6" spans="1:16" ht="15.75" thickBot="1" x14ac:dyDescent="0.3">
      <c r="A6" s="172">
        <v>1000006</v>
      </c>
      <c r="B6" s="12" t="s">
        <v>4</v>
      </c>
      <c r="C6" s="175"/>
      <c r="D6" s="170">
        <v>200</v>
      </c>
      <c r="F6" s="167"/>
      <c r="G6" s="167"/>
      <c r="H6" s="167"/>
      <c r="I6" s="167"/>
      <c r="J6" s="167">
        <v>100</v>
      </c>
      <c r="K6" s="167"/>
      <c r="L6" s="167"/>
      <c r="M6" s="167"/>
      <c r="N6" s="167"/>
      <c r="O6" s="167"/>
      <c r="P6" s="437">
        <f t="shared" si="0"/>
        <v>100</v>
      </c>
    </row>
    <row r="7" spans="1:16" ht="15.75" thickBot="1" x14ac:dyDescent="0.3">
      <c r="A7" s="172">
        <v>1000007</v>
      </c>
      <c r="B7" s="12" t="s">
        <v>5</v>
      </c>
      <c r="C7" s="175"/>
      <c r="D7" s="170">
        <v>200</v>
      </c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8">
        <f t="shared" si="0"/>
        <v>0</v>
      </c>
    </row>
    <row r="8" spans="1:16" ht="15.75" thickBot="1" x14ac:dyDescent="0.3">
      <c r="A8" s="172">
        <v>1000008</v>
      </c>
      <c r="B8" s="12" t="s">
        <v>7</v>
      </c>
      <c r="C8" s="175"/>
      <c r="D8" s="170">
        <v>15</v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8">
        <f t="shared" si="0"/>
        <v>0</v>
      </c>
    </row>
    <row r="9" spans="1:16" ht="15.75" thickBot="1" x14ac:dyDescent="0.3">
      <c r="A9" s="172">
        <v>1000001</v>
      </c>
      <c r="B9" s="12" t="s">
        <v>8</v>
      </c>
      <c r="C9" s="175"/>
      <c r="D9" s="170">
        <v>2</v>
      </c>
      <c r="F9" s="167"/>
      <c r="G9" s="167"/>
      <c r="H9" s="167"/>
      <c r="I9" s="167"/>
      <c r="J9" s="167">
        <v>3</v>
      </c>
      <c r="K9" s="167"/>
      <c r="L9" s="167"/>
      <c r="M9" s="167"/>
      <c r="N9" s="167"/>
      <c r="O9" s="167"/>
      <c r="P9" s="437">
        <f t="shared" si="0"/>
        <v>3</v>
      </c>
    </row>
    <row r="10" spans="1:16" ht="15.75" thickBot="1" x14ac:dyDescent="0.3">
      <c r="A10" s="172">
        <v>1000002</v>
      </c>
      <c r="B10" s="12" t="s">
        <v>9</v>
      </c>
      <c r="C10" s="175"/>
      <c r="D10" s="170">
        <v>1</v>
      </c>
      <c r="F10" s="167"/>
      <c r="G10" s="167"/>
      <c r="H10" s="167"/>
      <c r="I10" s="167"/>
      <c r="J10" s="167">
        <v>1</v>
      </c>
      <c r="K10" s="167"/>
      <c r="L10" s="167"/>
      <c r="M10" s="167"/>
      <c r="N10" s="167"/>
      <c r="O10" s="167"/>
      <c r="P10" s="437">
        <f t="shared" si="0"/>
        <v>1</v>
      </c>
    </row>
    <row r="11" spans="1:16" ht="15.75" thickBot="1" x14ac:dyDescent="0.3">
      <c r="A11" s="172">
        <v>1000067</v>
      </c>
      <c r="B11" s="12" t="s">
        <v>11</v>
      </c>
      <c r="C11" s="175"/>
      <c r="D11" s="170">
        <v>1</v>
      </c>
      <c r="F11" s="167"/>
      <c r="G11" s="167"/>
      <c r="H11" s="167"/>
      <c r="I11" s="167"/>
      <c r="J11" s="167">
        <v>1</v>
      </c>
      <c r="K11" s="167"/>
      <c r="L11" s="167"/>
      <c r="M11" s="167"/>
      <c r="N11" s="167"/>
      <c r="O11" s="167"/>
      <c r="P11" s="437">
        <f t="shared" si="0"/>
        <v>1</v>
      </c>
    </row>
    <row r="12" spans="1:16" ht="15.75" thickBot="1" x14ac:dyDescent="0.3">
      <c r="A12" s="172">
        <v>1000054</v>
      </c>
      <c r="B12" s="12" t="s">
        <v>12</v>
      </c>
      <c r="C12" s="175"/>
      <c r="D12" s="170">
        <v>30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8">
        <f t="shared" si="0"/>
        <v>0</v>
      </c>
    </row>
    <row r="13" spans="1:16" ht="15.75" thickBot="1" x14ac:dyDescent="0.3">
      <c r="A13" s="172">
        <v>1000070</v>
      </c>
      <c r="B13" s="12" t="s">
        <v>13</v>
      </c>
      <c r="C13" s="175"/>
      <c r="D13" s="170">
        <v>1</v>
      </c>
      <c r="F13" s="167"/>
      <c r="G13" s="167"/>
      <c r="H13" s="167"/>
      <c r="I13" s="167"/>
      <c r="J13" s="167">
        <v>1</v>
      </c>
      <c r="K13" s="167"/>
      <c r="L13" s="167"/>
      <c r="M13" s="167"/>
      <c r="N13" s="167"/>
      <c r="O13" s="167"/>
      <c r="P13" s="437">
        <f t="shared" si="0"/>
        <v>1</v>
      </c>
    </row>
    <row r="14" spans="1:16" ht="15.75" thickBot="1" x14ac:dyDescent="0.3">
      <c r="A14" s="172">
        <v>1000017</v>
      </c>
      <c r="B14" s="12" t="s">
        <v>14</v>
      </c>
      <c r="C14" s="175"/>
      <c r="D14" s="170">
        <v>20</v>
      </c>
      <c r="F14" s="167"/>
      <c r="G14" s="167"/>
      <c r="H14" s="167"/>
      <c r="I14" s="167"/>
      <c r="J14" s="167">
        <v>10</v>
      </c>
      <c r="K14" s="167"/>
      <c r="L14" s="167"/>
      <c r="M14" s="167"/>
      <c r="N14" s="167"/>
      <c r="O14" s="167"/>
      <c r="P14" s="437">
        <f t="shared" si="0"/>
        <v>10</v>
      </c>
    </row>
    <row r="15" spans="1:16" ht="15.75" thickBot="1" x14ac:dyDescent="0.3">
      <c r="A15" s="172">
        <v>1000016</v>
      </c>
      <c r="B15" s="12" t="s">
        <v>15</v>
      </c>
      <c r="C15" s="175"/>
      <c r="D15" s="170">
        <v>5</v>
      </c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8">
        <f t="shared" si="0"/>
        <v>0</v>
      </c>
    </row>
    <row r="16" spans="1:16" ht="15.75" thickBot="1" x14ac:dyDescent="0.3">
      <c r="A16" s="172">
        <v>1000041</v>
      </c>
      <c r="B16" s="13" t="s">
        <v>16</v>
      </c>
      <c r="C16" s="175"/>
      <c r="D16" s="170">
        <v>5</v>
      </c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8">
        <f t="shared" si="0"/>
        <v>0</v>
      </c>
    </row>
    <row r="17" spans="1:16" ht="15.75" thickBot="1" x14ac:dyDescent="0.3">
      <c r="A17" s="172">
        <v>1000049</v>
      </c>
      <c r="B17" s="12" t="s">
        <v>21</v>
      </c>
      <c r="C17" s="175"/>
      <c r="D17" s="170">
        <v>2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8">
        <f t="shared" si="0"/>
        <v>0</v>
      </c>
    </row>
    <row r="18" spans="1:16" ht="15.75" thickBot="1" x14ac:dyDescent="0.3">
      <c r="A18" s="172">
        <v>1000050</v>
      </c>
      <c r="B18" s="14" t="s">
        <v>22</v>
      </c>
      <c r="C18" s="175"/>
      <c r="D18" s="170">
        <v>2</v>
      </c>
      <c r="F18" s="167"/>
      <c r="G18" s="167"/>
      <c r="H18" s="167"/>
      <c r="I18" s="167"/>
      <c r="J18" s="167">
        <v>1</v>
      </c>
      <c r="K18" s="167"/>
      <c r="L18" s="167"/>
      <c r="M18" s="167"/>
      <c r="N18" s="167"/>
      <c r="O18" s="167"/>
      <c r="P18" s="437">
        <f t="shared" si="0"/>
        <v>1</v>
      </c>
    </row>
    <row r="19" spans="1:16" ht="15.75" thickBot="1" x14ac:dyDescent="0.3">
      <c r="A19" s="172">
        <v>1000031</v>
      </c>
      <c r="B19" s="12" t="s">
        <v>25</v>
      </c>
      <c r="C19" s="175"/>
      <c r="D19" s="170">
        <v>0</v>
      </c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>
        <f t="shared" si="0"/>
        <v>0</v>
      </c>
    </row>
    <row r="20" spans="1:16" ht="15.75" thickBot="1" x14ac:dyDescent="0.3">
      <c r="A20" s="172">
        <v>1000025</v>
      </c>
      <c r="B20" s="12" t="s">
        <v>32</v>
      </c>
      <c r="C20" s="175"/>
      <c r="D20" s="170">
        <v>5</v>
      </c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8">
        <f t="shared" si="0"/>
        <v>0</v>
      </c>
    </row>
    <row r="21" spans="1:16" ht="15.75" thickBot="1" x14ac:dyDescent="0.3">
      <c r="A21" s="172">
        <v>1000101</v>
      </c>
      <c r="B21" s="12" t="s">
        <v>35</v>
      </c>
      <c r="C21" s="175"/>
      <c r="D21" s="170">
        <v>0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>
        <f t="shared" si="0"/>
        <v>0</v>
      </c>
    </row>
    <row r="22" spans="1:16" ht="15.75" thickBot="1" x14ac:dyDescent="0.3">
      <c r="A22" s="172">
        <v>1000082</v>
      </c>
      <c r="B22" s="12" t="s">
        <v>37</v>
      </c>
      <c r="C22" s="175"/>
      <c r="D22" s="170">
        <v>45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8">
        <f t="shared" si="0"/>
        <v>0</v>
      </c>
    </row>
    <row r="23" spans="1:16" ht="15.75" thickBot="1" x14ac:dyDescent="0.3">
      <c r="A23" s="172">
        <v>1000146</v>
      </c>
      <c r="B23" s="12" t="s">
        <v>39</v>
      </c>
      <c r="C23" s="175"/>
      <c r="D23" s="170">
        <v>90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8">
        <f t="shared" si="0"/>
        <v>0</v>
      </c>
    </row>
    <row r="24" spans="1:16" ht="15.75" thickBot="1" x14ac:dyDescent="0.3">
      <c r="A24" s="172">
        <v>10248</v>
      </c>
      <c r="B24" s="12" t="s">
        <v>183</v>
      </c>
      <c r="C24" s="175"/>
      <c r="D24" s="170">
        <v>0</v>
      </c>
      <c r="F24" s="167"/>
      <c r="G24" s="167"/>
      <c r="H24" s="167"/>
      <c r="I24" s="167"/>
      <c r="J24" s="167">
        <v>6</v>
      </c>
      <c r="K24" s="167"/>
      <c r="L24" s="167"/>
      <c r="M24" s="167"/>
      <c r="N24" s="167"/>
      <c r="O24" s="167"/>
      <c r="P24" s="437">
        <f t="shared" si="0"/>
        <v>6</v>
      </c>
    </row>
    <row r="25" spans="1:16" ht="15.75" thickBot="1" x14ac:dyDescent="0.3">
      <c r="A25" s="172">
        <v>1000090</v>
      </c>
      <c r="B25" s="12" t="s">
        <v>40</v>
      </c>
      <c r="C25" s="175"/>
      <c r="D25" s="170">
        <v>3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8">
        <f t="shared" si="0"/>
        <v>0</v>
      </c>
    </row>
    <row r="26" spans="1:16" ht="15.75" thickBot="1" x14ac:dyDescent="0.3">
      <c r="A26" s="172">
        <v>1000052</v>
      </c>
      <c r="B26" s="12" t="s">
        <v>41</v>
      </c>
      <c r="C26" s="175"/>
      <c r="D26" s="170">
        <v>4</v>
      </c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8">
        <f t="shared" si="0"/>
        <v>0</v>
      </c>
    </row>
    <row r="27" spans="1:16" ht="15.75" thickBot="1" x14ac:dyDescent="0.3">
      <c r="A27" s="172">
        <v>1000089</v>
      </c>
      <c r="B27" s="12" t="s">
        <v>42</v>
      </c>
      <c r="C27" s="175"/>
      <c r="D27" s="170">
        <v>4</v>
      </c>
      <c r="F27" s="167"/>
      <c r="G27" s="167"/>
      <c r="H27" s="167"/>
      <c r="I27" s="167"/>
      <c r="J27" s="167">
        <v>2</v>
      </c>
      <c r="K27" s="167"/>
      <c r="L27" s="167"/>
      <c r="M27" s="167"/>
      <c r="N27" s="167"/>
      <c r="O27" s="167"/>
      <c r="P27" s="437">
        <f t="shared" si="0"/>
        <v>2</v>
      </c>
    </row>
    <row r="28" spans="1:16" ht="15.75" thickBot="1" x14ac:dyDescent="0.3">
      <c r="A28" s="172">
        <v>1000051</v>
      </c>
      <c r="B28" s="12" t="s">
        <v>43</v>
      </c>
      <c r="C28" s="175"/>
      <c r="D28" s="170">
        <v>1</v>
      </c>
      <c r="F28" s="167"/>
      <c r="G28" s="167"/>
      <c r="H28" s="167"/>
      <c r="I28" s="167"/>
      <c r="J28" s="167">
        <v>1</v>
      </c>
      <c r="K28" s="167"/>
      <c r="L28" s="167"/>
      <c r="M28" s="167"/>
      <c r="N28" s="167"/>
      <c r="O28" s="167"/>
      <c r="P28" s="437">
        <f t="shared" si="0"/>
        <v>1</v>
      </c>
    </row>
    <row r="29" spans="1:16" ht="15.75" thickBot="1" x14ac:dyDescent="0.3">
      <c r="A29" s="172">
        <v>1000048</v>
      </c>
      <c r="B29" s="12" t="s">
        <v>45</v>
      </c>
      <c r="C29" s="175"/>
      <c r="D29" s="170">
        <v>0</v>
      </c>
      <c r="F29" s="167"/>
      <c r="G29" s="167"/>
      <c r="H29" s="167"/>
      <c r="I29" s="167"/>
      <c r="J29" s="167">
        <v>1</v>
      </c>
      <c r="K29" s="167"/>
      <c r="L29" s="167"/>
      <c r="M29" s="167"/>
      <c r="N29" s="167"/>
      <c r="O29" s="167"/>
      <c r="P29" s="437">
        <f t="shared" si="0"/>
        <v>1</v>
      </c>
    </row>
    <row r="30" spans="1:16" ht="15.75" thickBot="1" x14ac:dyDescent="0.3">
      <c r="A30" s="172">
        <v>1000148</v>
      </c>
      <c r="B30" s="12" t="s">
        <v>53</v>
      </c>
      <c r="C30" s="175"/>
      <c r="D30" s="170">
        <v>0</v>
      </c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8">
        <f t="shared" si="0"/>
        <v>0</v>
      </c>
    </row>
    <row r="31" spans="1:16" ht="15.75" thickBot="1" x14ac:dyDescent="0.3">
      <c r="A31" s="172">
        <v>1000142</v>
      </c>
      <c r="B31" s="12" t="s">
        <v>54</v>
      </c>
      <c r="C31" s="175"/>
      <c r="D31" s="170">
        <v>1</v>
      </c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8">
        <f t="shared" si="0"/>
        <v>0</v>
      </c>
    </row>
    <row r="32" spans="1:16" ht="15.75" thickBot="1" x14ac:dyDescent="0.3">
      <c r="A32" s="172">
        <v>1000035</v>
      </c>
      <c r="B32" s="12" t="s">
        <v>29</v>
      </c>
      <c r="C32" s="175"/>
      <c r="D32" s="170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8">
        <f t="shared" si="0"/>
        <v>0</v>
      </c>
    </row>
    <row r="33" spans="1:16" s="15" customFormat="1" ht="15.95" customHeight="1" thickBot="1" x14ac:dyDescent="0.3">
      <c r="A33" s="172">
        <v>1000214</v>
      </c>
      <c r="B33" s="12" t="s">
        <v>49</v>
      </c>
      <c r="C33" s="175"/>
      <c r="D33" s="170"/>
      <c r="E33" s="161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8">
        <f t="shared" si="0"/>
        <v>0</v>
      </c>
    </row>
    <row r="34" spans="1:16" ht="15.75" thickBot="1" x14ac:dyDescent="0.3">
      <c r="A34" s="172">
        <v>1000085</v>
      </c>
      <c r="B34" s="12" t="s">
        <v>50</v>
      </c>
      <c r="C34" s="175"/>
      <c r="D34" s="170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8">
        <f t="shared" si="0"/>
        <v>0</v>
      </c>
    </row>
    <row r="35" spans="1:16" ht="15.75" thickBot="1" x14ac:dyDescent="0.3">
      <c r="A35" s="172">
        <v>1000033</v>
      </c>
      <c r="B35" s="12" t="s">
        <v>27</v>
      </c>
      <c r="C35" s="175"/>
      <c r="D35" s="170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8">
        <f t="shared" si="0"/>
        <v>0</v>
      </c>
    </row>
    <row r="36" spans="1:16" ht="15.75" thickBot="1" x14ac:dyDescent="0.3">
      <c r="A36" s="172">
        <v>1000029</v>
      </c>
      <c r="B36" s="12" t="s">
        <v>30</v>
      </c>
      <c r="C36" s="175"/>
      <c r="D36" s="170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8">
        <f t="shared" si="0"/>
        <v>0</v>
      </c>
    </row>
    <row r="37" spans="1:16" ht="15.75" thickBot="1" x14ac:dyDescent="0.3">
      <c r="A37" s="172">
        <v>1000076</v>
      </c>
      <c r="B37" s="12" t="s">
        <v>46</v>
      </c>
      <c r="C37" s="175"/>
      <c r="D37" s="170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8">
        <f t="shared" si="0"/>
        <v>0</v>
      </c>
    </row>
    <row r="38" spans="1:16" ht="15.75" thickBot="1" x14ac:dyDescent="0.3">
      <c r="A38" s="172">
        <v>1000004</v>
      </c>
      <c r="B38" s="12" t="s">
        <v>10</v>
      </c>
      <c r="C38" s="175"/>
      <c r="D38" s="170"/>
      <c r="F38" s="167"/>
      <c r="G38" s="167"/>
      <c r="H38" s="167"/>
      <c r="I38" s="167"/>
      <c r="J38" s="167">
        <v>2</v>
      </c>
      <c r="K38" s="167"/>
      <c r="L38" s="167"/>
      <c r="M38" s="167"/>
      <c r="N38" s="167"/>
      <c r="O38" s="167"/>
      <c r="P38" s="437">
        <f t="shared" si="0"/>
        <v>2</v>
      </c>
    </row>
    <row r="39" spans="1:16" ht="15.75" thickBot="1" x14ac:dyDescent="0.3">
      <c r="A39" s="172">
        <v>1000486</v>
      </c>
      <c r="B39" s="12" t="s">
        <v>263</v>
      </c>
      <c r="C39" s="175"/>
      <c r="D39" s="170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8">
        <f t="shared" si="0"/>
        <v>0</v>
      </c>
    </row>
    <row r="40" spans="1:16" ht="15.75" thickBot="1" x14ac:dyDescent="0.3">
      <c r="A40" s="172">
        <v>1000147</v>
      </c>
      <c r="B40" s="12" t="s">
        <v>52</v>
      </c>
      <c r="C40" s="175"/>
      <c r="D40" s="170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8">
        <f t="shared" si="0"/>
        <v>0</v>
      </c>
    </row>
    <row r="41" spans="1:16" ht="15.75" thickBot="1" x14ac:dyDescent="0.3">
      <c r="A41" s="172">
        <v>1000100</v>
      </c>
      <c r="B41" s="12" t="s">
        <v>34</v>
      </c>
      <c r="C41" s="175"/>
      <c r="D41" s="170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8">
        <f t="shared" si="0"/>
        <v>0</v>
      </c>
    </row>
    <row r="42" spans="1:16" ht="15.75" thickBot="1" x14ac:dyDescent="0.3">
      <c r="A42" s="172">
        <v>1000034</v>
      </c>
      <c r="B42" s="12" t="s">
        <v>28</v>
      </c>
      <c r="C42" s="175"/>
      <c r="D42" s="170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8">
        <f t="shared" si="0"/>
        <v>0</v>
      </c>
    </row>
    <row r="43" spans="1:16" ht="15.75" thickBot="1" x14ac:dyDescent="0.3">
      <c r="A43" s="172">
        <v>1000084</v>
      </c>
      <c r="B43" s="12" t="s">
        <v>194</v>
      </c>
      <c r="C43" s="175"/>
      <c r="D43" s="170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8">
        <f t="shared" si="0"/>
        <v>0</v>
      </c>
    </row>
    <row r="44" spans="1:16" ht="15.75" thickBot="1" x14ac:dyDescent="0.3">
      <c r="A44" s="172">
        <v>1000045</v>
      </c>
      <c r="B44" s="12" t="s">
        <v>23</v>
      </c>
      <c r="C44" s="175"/>
      <c r="D44" s="170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8">
        <f t="shared" si="0"/>
        <v>0</v>
      </c>
    </row>
    <row r="45" spans="1:16" ht="15.75" thickBot="1" x14ac:dyDescent="0.3">
      <c r="A45" s="172">
        <v>1000030</v>
      </c>
      <c r="B45" s="12" t="s">
        <v>24</v>
      </c>
      <c r="C45" s="175"/>
      <c r="D45" s="170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>
        <f t="shared" si="0"/>
        <v>0</v>
      </c>
    </row>
    <row r="46" spans="1:16" ht="15.75" thickBot="1" x14ac:dyDescent="0.3">
      <c r="A46" s="172">
        <v>1000080</v>
      </c>
      <c r="B46" s="12" t="s">
        <v>275</v>
      </c>
      <c r="C46" s="175"/>
      <c r="D46" s="170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8">
        <f t="shared" si="0"/>
        <v>0</v>
      </c>
    </row>
    <row r="47" spans="1:16" ht="15.75" thickBot="1" x14ac:dyDescent="0.3">
      <c r="A47" s="172">
        <v>1000436</v>
      </c>
      <c r="B47" s="12" t="s">
        <v>276</v>
      </c>
      <c r="C47" s="175"/>
      <c r="D47" s="170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8">
        <f t="shared" si="0"/>
        <v>0</v>
      </c>
    </row>
    <row r="48" spans="1:16" ht="15.75" thickBot="1" x14ac:dyDescent="0.3">
      <c r="A48" s="172">
        <v>1000550</v>
      </c>
      <c r="B48" s="12" t="s">
        <v>277</v>
      </c>
      <c r="C48" s="175"/>
      <c r="D48" s="170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8">
        <f t="shared" si="0"/>
        <v>0</v>
      </c>
    </row>
    <row r="49" spans="1:16" ht="15.75" thickBot="1" x14ac:dyDescent="0.3">
      <c r="A49" s="172">
        <v>1000551</v>
      </c>
      <c r="B49" s="12" t="s">
        <v>278</v>
      </c>
      <c r="C49" s="175"/>
      <c r="D49" s="170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8">
        <f t="shared" si="0"/>
        <v>0</v>
      </c>
    </row>
    <row r="50" spans="1:16" ht="16.5" thickBot="1" x14ac:dyDescent="0.3">
      <c r="A50" s="207">
        <v>1000552</v>
      </c>
      <c r="B50" s="246" t="s">
        <v>279</v>
      </c>
      <c r="C50"/>
      <c r="D50" s="38"/>
      <c r="E50" s="215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8">
        <f t="shared" si="0"/>
        <v>0</v>
      </c>
    </row>
    <row r="51" spans="1:16" ht="15.75" thickBot="1" x14ac:dyDescent="0.3">
      <c r="A51" s="35">
        <v>1000073</v>
      </c>
      <c r="B51" s="12" t="s">
        <v>36</v>
      </c>
      <c r="D51" s="38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8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C163-3985-4F68-82B4-06229DFA90EC}">
  <sheetPr>
    <tabColor rgb="FFFF0000"/>
    <pageSetUpPr fitToPage="1"/>
  </sheetPr>
  <dimension ref="A1:P62"/>
  <sheetViews>
    <sheetView zoomScale="70" zoomScaleNormal="70" workbookViewId="0">
      <selection activeCell="R30" sqref="R30"/>
    </sheetView>
  </sheetViews>
  <sheetFormatPr baseColWidth="10" defaultRowHeight="15.75" x14ac:dyDescent="0.25"/>
  <cols>
    <col min="1" max="1" width="9.5" customWidth="1"/>
    <col min="2" max="2" width="34" customWidth="1"/>
    <col min="3" max="3" width="1" customWidth="1"/>
    <col min="4" max="4" width="11.375" customWidth="1"/>
    <col min="5" max="5" width="0.875" customWidth="1"/>
  </cols>
  <sheetData>
    <row r="1" spans="1:16" ht="28.5" x14ac:dyDescent="0.45">
      <c r="A1" s="775" t="s">
        <v>467</v>
      </c>
      <c r="B1" s="776"/>
      <c r="C1" s="18"/>
      <c r="D1" s="779" t="s">
        <v>309</v>
      </c>
      <c r="E1" s="227"/>
      <c r="F1" s="751" t="s">
        <v>474</v>
      </c>
      <c r="G1" s="752"/>
      <c r="H1" s="752"/>
      <c r="I1" s="752"/>
      <c r="J1" s="753"/>
      <c r="K1" s="2"/>
      <c r="L1" s="227"/>
      <c r="M1" s="227"/>
      <c r="N1" s="227"/>
      <c r="O1" s="227"/>
      <c r="P1" s="227"/>
    </row>
    <row r="2" spans="1:16" ht="30.75" customHeight="1" thickBot="1" x14ac:dyDescent="0.5">
      <c r="A2" s="777"/>
      <c r="B2" s="778"/>
      <c r="C2" s="18"/>
      <c r="D2" s="779"/>
      <c r="E2" s="3"/>
      <c r="F2" s="754"/>
      <c r="G2" s="755"/>
      <c r="H2" s="755"/>
      <c r="I2" s="755"/>
      <c r="J2" s="756"/>
      <c r="K2" s="2"/>
      <c r="L2" s="3"/>
      <c r="M2" s="3"/>
      <c r="N2" s="3"/>
      <c r="O2" s="3"/>
      <c r="P2" s="3"/>
    </row>
    <row r="3" spans="1:16" ht="22.5" customHeight="1" thickBot="1" x14ac:dyDescent="0.3">
      <c r="A3" s="5"/>
      <c r="B3" s="5"/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227"/>
      <c r="F4" s="19" t="s">
        <v>107</v>
      </c>
      <c r="G4" s="20" t="s">
        <v>113</v>
      </c>
      <c r="H4" s="19" t="s">
        <v>108</v>
      </c>
      <c r="I4" s="20" t="s">
        <v>114</v>
      </c>
      <c r="J4" s="19" t="s">
        <v>109</v>
      </c>
      <c r="K4" s="20" t="s">
        <v>115</v>
      </c>
      <c r="L4" s="19" t="s">
        <v>110</v>
      </c>
      <c r="M4" s="20" t="s">
        <v>116</v>
      </c>
      <c r="N4" s="19" t="s">
        <v>111</v>
      </c>
      <c r="O4" s="20" t="s">
        <v>117</v>
      </c>
      <c r="P4" s="21" t="s">
        <v>98</v>
      </c>
    </row>
    <row r="5" spans="1:16" x14ac:dyDescent="0.25">
      <c r="A5" s="228">
        <v>10000102</v>
      </c>
      <c r="B5" s="11" t="s">
        <v>2</v>
      </c>
      <c r="C5" s="229"/>
      <c r="D5" s="239">
        <v>0</v>
      </c>
      <c r="E5" s="227"/>
      <c r="F5" s="231"/>
      <c r="G5" s="232"/>
      <c r="H5" s="235"/>
      <c r="I5" s="232"/>
      <c r="J5" s="231"/>
      <c r="K5" s="232"/>
      <c r="L5" s="231"/>
      <c r="M5" s="232"/>
      <c r="N5" s="231"/>
      <c r="O5" s="232"/>
      <c r="P5" s="228">
        <f t="shared" ref="P5:P60" si="0">SUM(F5:O5)</f>
        <v>0</v>
      </c>
    </row>
    <row r="6" spans="1:16" x14ac:dyDescent="0.25">
      <c r="A6" s="233">
        <v>1000006</v>
      </c>
      <c r="B6" s="12" t="s">
        <v>4</v>
      </c>
      <c r="C6" s="229"/>
      <c r="D6" s="240">
        <v>85</v>
      </c>
      <c r="E6" s="227"/>
      <c r="F6" s="235"/>
      <c r="G6" s="236"/>
      <c r="H6" s="235"/>
      <c r="I6" s="236"/>
      <c r="J6" s="235"/>
      <c r="K6" s="236"/>
      <c r="L6" s="235"/>
      <c r="M6" s="236"/>
      <c r="N6" s="235"/>
      <c r="O6" s="236"/>
      <c r="P6" s="233">
        <f t="shared" si="0"/>
        <v>0</v>
      </c>
    </row>
    <row r="7" spans="1:16" x14ac:dyDescent="0.25">
      <c r="A7" s="233">
        <v>1000007</v>
      </c>
      <c r="B7" s="12" t="s">
        <v>5</v>
      </c>
      <c r="C7" s="229"/>
      <c r="D7" s="240">
        <v>90</v>
      </c>
      <c r="E7" s="227"/>
      <c r="F7" s="235"/>
      <c r="G7" s="236"/>
      <c r="H7" s="235"/>
      <c r="I7" s="236"/>
      <c r="J7" s="235"/>
      <c r="K7" s="236"/>
      <c r="L7" s="235">
        <v>50</v>
      </c>
      <c r="M7" s="236"/>
      <c r="N7" s="235"/>
      <c r="O7" s="236"/>
      <c r="P7" s="628">
        <f t="shared" si="0"/>
        <v>50</v>
      </c>
    </row>
    <row r="8" spans="1:16" x14ac:dyDescent="0.25">
      <c r="A8" s="233">
        <v>1000008</v>
      </c>
      <c r="B8" s="12" t="s">
        <v>7</v>
      </c>
      <c r="C8" s="229"/>
      <c r="D8" s="240">
        <v>75</v>
      </c>
      <c r="E8" s="227"/>
      <c r="F8" s="235"/>
      <c r="G8" s="236"/>
      <c r="H8" s="235"/>
      <c r="I8" s="236"/>
      <c r="J8" s="235"/>
      <c r="K8" s="236"/>
      <c r="L8" s="235"/>
      <c r="M8" s="236"/>
      <c r="N8" s="235"/>
      <c r="O8" s="236"/>
      <c r="P8" s="233">
        <f t="shared" si="0"/>
        <v>0</v>
      </c>
    </row>
    <row r="9" spans="1:16" x14ac:dyDescent="0.25">
      <c r="A9" s="233">
        <v>1000001</v>
      </c>
      <c r="B9" s="12" t="s">
        <v>8</v>
      </c>
      <c r="C9" s="229"/>
      <c r="D9" s="240">
        <v>2</v>
      </c>
      <c r="E9" s="227"/>
      <c r="F9" s="235"/>
      <c r="G9" s="236"/>
      <c r="H9" s="235"/>
      <c r="I9" s="236"/>
      <c r="J9" s="235"/>
      <c r="K9" s="236"/>
      <c r="L9" s="235">
        <v>2</v>
      </c>
      <c r="M9" s="236"/>
      <c r="N9" s="235"/>
      <c r="O9" s="236"/>
      <c r="P9" s="628">
        <f t="shared" si="0"/>
        <v>2</v>
      </c>
    </row>
    <row r="10" spans="1:16" x14ac:dyDescent="0.25">
      <c r="A10" s="233">
        <v>1000002</v>
      </c>
      <c r="B10" s="12" t="s">
        <v>9</v>
      </c>
      <c r="C10" s="229"/>
      <c r="D10" s="240">
        <v>1</v>
      </c>
      <c r="E10" s="227"/>
      <c r="F10" s="235"/>
      <c r="G10" s="236"/>
      <c r="H10" s="235"/>
      <c r="I10" s="236"/>
      <c r="J10" s="235"/>
      <c r="K10" s="236"/>
      <c r="L10" s="235">
        <v>1</v>
      </c>
      <c r="M10" s="236"/>
      <c r="N10" s="235"/>
      <c r="O10" s="236"/>
      <c r="P10" s="628">
        <f t="shared" si="0"/>
        <v>1</v>
      </c>
    </row>
    <row r="11" spans="1:16" x14ac:dyDescent="0.25">
      <c r="A11" s="233">
        <v>1000067</v>
      </c>
      <c r="B11" s="12" t="s">
        <v>11</v>
      </c>
      <c r="C11" s="229"/>
      <c r="D11" s="240">
        <v>0</v>
      </c>
      <c r="E11" s="227"/>
      <c r="F11" s="235"/>
      <c r="G11" s="236"/>
      <c r="H11" s="235"/>
      <c r="I11" s="236"/>
      <c r="J11" s="235"/>
      <c r="K11" s="236"/>
      <c r="L11" s="235"/>
      <c r="M11" s="236"/>
      <c r="N11" s="235"/>
      <c r="O11" s="236"/>
      <c r="P11" s="233">
        <f t="shared" si="0"/>
        <v>0</v>
      </c>
    </row>
    <row r="12" spans="1:16" x14ac:dyDescent="0.25">
      <c r="A12" s="233">
        <v>1000054</v>
      </c>
      <c r="B12" s="12" t="s">
        <v>12</v>
      </c>
      <c r="C12" s="229"/>
      <c r="D12" s="240">
        <v>8</v>
      </c>
      <c r="E12" s="227"/>
      <c r="F12" s="235"/>
      <c r="G12" s="236"/>
      <c r="H12" s="235"/>
      <c r="I12" s="236"/>
      <c r="J12" s="235"/>
      <c r="K12" s="236"/>
      <c r="L12" s="235">
        <v>10</v>
      </c>
      <c r="M12" s="236"/>
      <c r="N12" s="235"/>
      <c r="O12" s="236"/>
      <c r="P12" s="628">
        <f t="shared" si="0"/>
        <v>10</v>
      </c>
    </row>
    <row r="13" spans="1:16" x14ac:dyDescent="0.25">
      <c r="A13" s="233">
        <v>1000070</v>
      </c>
      <c r="B13" s="12" t="s">
        <v>13</v>
      </c>
      <c r="C13" s="229"/>
      <c r="D13" s="240">
        <v>0</v>
      </c>
      <c r="E13" s="227"/>
      <c r="F13" s="235"/>
      <c r="G13" s="236"/>
      <c r="H13" s="235"/>
      <c r="I13" s="236"/>
      <c r="J13" s="235"/>
      <c r="K13" s="236"/>
      <c r="L13" s="235">
        <v>1</v>
      </c>
      <c r="M13" s="236"/>
      <c r="N13" s="235"/>
      <c r="O13" s="236"/>
      <c r="P13" s="628">
        <f t="shared" si="0"/>
        <v>1</v>
      </c>
    </row>
    <row r="14" spans="1:16" x14ac:dyDescent="0.25">
      <c r="A14" s="233">
        <v>1000017</v>
      </c>
      <c r="B14" s="12" t="s">
        <v>14</v>
      </c>
      <c r="C14" s="229"/>
      <c r="D14" s="240">
        <v>40</v>
      </c>
      <c r="E14" s="227"/>
      <c r="F14" s="235"/>
      <c r="G14" s="236"/>
      <c r="H14" s="235"/>
      <c r="I14" s="236"/>
      <c r="J14" s="235"/>
      <c r="K14" s="236"/>
      <c r="L14" s="235"/>
      <c r="M14" s="236"/>
      <c r="N14" s="235"/>
      <c r="O14" s="236"/>
      <c r="P14" s="233">
        <f t="shared" si="0"/>
        <v>0</v>
      </c>
    </row>
    <row r="15" spans="1:16" ht="16.5" thickBot="1" x14ac:dyDescent="0.3">
      <c r="A15" s="233">
        <v>1000016</v>
      </c>
      <c r="B15" s="13" t="s">
        <v>15</v>
      </c>
      <c r="C15" s="229"/>
      <c r="D15" s="240">
        <v>5</v>
      </c>
      <c r="E15" s="227"/>
      <c r="F15" s="235"/>
      <c r="G15" s="236"/>
      <c r="H15" s="235"/>
      <c r="I15" s="236"/>
      <c r="J15" s="235"/>
      <c r="K15" s="236"/>
      <c r="L15" s="235">
        <v>5</v>
      </c>
      <c r="M15" s="236"/>
      <c r="N15" s="235"/>
      <c r="O15" s="236"/>
      <c r="P15" s="628">
        <f t="shared" si="0"/>
        <v>5</v>
      </c>
    </row>
    <row r="16" spans="1:16" ht="16.5" thickBot="1" x14ac:dyDescent="0.3">
      <c r="A16" s="233">
        <v>1000041</v>
      </c>
      <c r="B16" s="64" t="s">
        <v>16</v>
      </c>
      <c r="C16" s="229"/>
      <c r="D16" s="240">
        <v>5</v>
      </c>
      <c r="E16" s="227"/>
      <c r="F16" s="235"/>
      <c r="G16" s="236"/>
      <c r="H16" s="235"/>
      <c r="I16" s="236"/>
      <c r="J16" s="235"/>
      <c r="K16" s="236"/>
      <c r="L16" s="235"/>
      <c r="M16" s="236"/>
      <c r="N16" s="235"/>
      <c r="O16" s="236"/>
      <c r="P16" s="233">
        <f t="shared" si="0"/>
        <v>0</v>
      </c>
    </row>
    <row r="17" spans="1:16" x14ac:dyDescent="0.25">
      <c r="A17" s="233">
        <v>1000009</v>
      </c>
      <c r="B17" s="14" t="s">
        <v>19</v>
      </c>
      <c r="C17" s="229"/>
      <c r="D17" s="240">
        <v>1</v>
      </c>
      <c r="E17" s="227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3">
        <f t="shared" si="0"/>
        <v>0</v>
      </c>
    </row>
    <row r="18" spans="1:16" x14ac:dyDescent="0.25">
      <c r="A18" s="233">
        <v>1000049</v>
      </c>
      <c r="B18" s="14" t="s">
        <v>21</v>
      </c>
      <c r="C18" s="229"/>
      <c r="D18" s="240">
        <v>1</v>
      </c>
      <c r="E18" s="227"/>
      <c r="F18" s="235"/>
      <c r="G18" s="236"/>
      <c r="H18" s="235"/>
      <c r="I18" s="236"/>
      <c r="J18" s="235"/>
      <c r="K18" s="236"/>
      <c r="L18" s="235"/>
      <c r="M18" s="236"/>
      <c r="N18" s="235"/>
      <c r="O18" s="236"/>
      <c r="P18" s="233">
        <f t="shared" si="0"/>
        <v>0</v>
      </c>
    </row>
    <row r="19" spans="1:16" x14ac:dyDescent="0.25">
      <c r="A19" s="233">
        <v>1000050</v>
      </c>
      <c r="B19" s="12" t="s">
        <v>22</v>
      </c>
      <c r="C19" s="229"/>
      <c r="D19" s="240">
        <v>0</v>
      </c>
      <c r="E19" s="227"/>
      <c r="F19" s="235"/>
      <c r="G19" s="236"/>
      <c r="H19" s="235"/>
      <c r="I19" s="236"/>
      <c r="J19" s="235"/>
      <c r="K19" s="236"/>
      <c r="L19" s="235"/>
      <c r="M19" s="236"/>
      <c r="N19" s="235"/>
      <c r="O19" s="236"/>
      <c r="P19" s="233">
        <f t="shared" si="0"/>
        <v>0</v>
      </c>
    </row>
    <row r="20" spans="1:16" x14ac:dyDescent="0.25">
      <c r="A20" s="233">
        <v>1000045</v>
      </c>
      <c r="B20" s="12" t="s">
        <v>23</v>
      </c>
      <c r="C20" s="229"/>
      <c r="D20" s="240">
        <v>0</v>
      </c>
      <c r="E20" s="227"/>
      <c r="F20" s="235"/>
      <c r="G20" s="236"/>
      <c r="H20" s="235"/>
      <c r="I20" s="236"/>
      <c r="J20" s="235"/>
      <c r="K20" s="236"/>
      <c r="L20" s="235"/>
      <c r="M20" s="236"/>
      <c r="N20" s="235"/>
      <c r="O20" s="236"/>
      <c r="P20" s="233">
        <f t="shared" si="0"/>
        <v>0</v>
      </c>
    </row>
    <row r="21" spans="1:16" x14ac:dyDescent="0.25">
      <c r="A21" s="233">
        <v>1000031</v>
      </c>
      <c r="B21" s="12" t="s">
        <v>25</v>
      </c>
      <c r="C21" s="229"/>
      <c r="D21" s="240">
        <v>2</v>
      </c>
      <c r="E21" s="227"/>
      <c r="F21" s="235"/>
      <c r="G21" s="236"/>
      <c r="H21" s="235"/>
      <c r="I21" s="236"/>
      <c r="J21" s="235"/>
      <c r="K21" s="236"/>
      <c r="L21" s="235"/>
      <c r="M21" s="236"/>
      <c r="N21" s="235"/>
      <c r="O21" s="236"/>
      <c r="P21" s="233">
        <f t="shared" si="0"/>
        <v>0</v>
      </c>
    </row>
    <row r="22" spans="1:16" x14ac:dyDescent="0.25">
      <c r="A22" s="233">
        <v>1000032</v>
      </c>
      <c r="B22" s="12" t="s">
        <v>26</v>
      </c>
      <c r="C22" s="229"/>
      <c r="D22" s="240">
        <v>1</v>
      </c>
      <c r="E22" s="227"/>
      <c r="F22" s="235"/>
      <c r="G22" s="236"/>
      <c r="H22" s="235"/>
      <c r="I22" s="236"/>
      <c r="J22" s="235"/>
      <c r="K22" s="236"/>
      <c r="L22" s="235"/>
      <c r="M22" s="236"/>
      <c r="N22" s="235"/>
      <c r="O22" s="236"/>
      <c r="P22" s="233">
        <f t="shared" si="0"/>
        <v>0</v>
      </c>
    </row>
    <row r="23" spans="1:16" x14ac:dyDescent="0.25">
      <c r="A23" s="233">
        <v>1000027</v>
      </c>
      <c r="B23" s="12" t="s">
        <v>33</v>
      </c>
      <c r="C23" s="229"/>
      <c r="D23" s="240">
        <v>2</v>
      </c>
      <c r="E23" s="227"/>
      <c r="F23" s="235"/>
      <c r="G23" s="236"/>
      <c r="H23" s="235"/>
      <c r="I23" s="236"/>
      <c r="J23" s="235"/>
      <c r="K23" s="236"/>
      <c r="L23" s="235"/>
      <c r="M23" s="236"/>
      <c r="N23" s="235"/>
      <c r="O23" s="236"/>
      <c r="P23" s="233">
        <f t="shared" si="0"/>
        <v>0</v>
      </c>
    </row>
    <row r="24" spans="1:16" x14ac:dyDescent="0.25">
      <c r="A24" s="233">
        <v>1000100</v>
      </c>
      <c r="B24" s="12" t="s">
        <v>34</v>
      </c>
      <c r="C24" s="229"/>
      <c r="D24" s="240">
        <v>0</v>
      </c>
      <c r="E24" s="227"/>
      <c r="F24" s="235"/>
      <c r="G24" s="236"/>
      <c r="H24" s="235"/>
      <c r="I24" s="236"/>
      <c r="J24" s="235"/>
      <c r="K24" s="236"/>
      <c r="L24" s="235"/>
      <c r="M24" s="236"/>
      <c r="N24" s="235"/>
      <c r="O24" s="236"/>
      <c r="P24" s="233">
        <f t="shared" si="0"/>
        <v>0</v>
      </c>
    </row>
    <row r="25" spans="1:16" x14ac:dyDescent="0.25">
      <c r="A25" s="233">
        <v>1000101</v>
      </c>
      <c r="B25" s="12" t="s">
        <v>35</v>
      </c>
      <c r="C25" s="229"/>
      <c r="D25" s="240">
        <v>0</v>
      </c>
      <c r="E25" s="15"/>
      <c r="F25" s="235"/>
      <c r="G25" s="236"/>
      <c r="H25" s="235"/>
      <c r="I25" s="236"/>
      <c r="J25" s="235"/>
      <c r="K25" s="236"/>
      <c r="L25" s="235"/>
      <c r="M25" s="236"/>
      <c r="N25" s="235"/>
      <c r="O25" s="237"/>
      <c r="P25" s="238">
        <f t="shared" si="0"/>
        <v>0</v>
      </c>
    </row>
    <row r="26" spans="1:16" x14ac:dyDescent="0.25">
      <c r="A26" s="238">
        <v>1000073</v>
      </c>
      <c r="B26" s="13" t="s">
        <v>36</v>
      </c>
      <c r="C26" s="229"/>
      <c r="D26" s="240">
        <v>0</v>
      </c>
      <c r="E26" s="227"/>
      <c r="F26" s="235"/>
      <c r="G26" s="236"/>
      <c r="H26" s="235"/>
      <c r="I26" s="236"/>
      <c r="J26" s="235"/>
      <c r="K26" s="236"/>
      <c r="L26" s="235"/>
      <c r="M26" s="236"/>
      <c r="N26" s="235"/>
      <c r="O26" s="237"/>
      <c r="P26" s="238">
        <f t="shared" si="0"/>
        <v>0</v>
      </c>
    </row>
    <row r="27" spans="1:16" x14ac:dyDescent="0.25">
      <c r="A27" s="233">
        <v>1000082</v>
      </c>
      <c r="B27" s="12" t="s">
        <v>37</v>
      </c>
      <c r="C27" s="229"/>
      <c r="D27" s="240">
        <v>50</v>
      </c>
      <c r="E27" s="227"/>
      <c r="F27" s="235"/>
      <c r="G27" s="236"/>
      <c r="H27" s="235"/>
      <c r="I27" s="236"/>
      <c r="J27" s="235"/>
      <c r="K27" s="236"/>
      <c r="L27" s="235"/>
      <c r="M27" s="236"/>
      <c r="N27" s="235"/>
      <c r="O27" s="236"/>
      <c r="P27" s="238">
        <f t="shared" si="0"/>
        <v>0</v>
      </c>
    </row>
    <row r="28" spans="1:16" x14ac:dyDescent="0.25">
      <c r="A28" s="233">
        <v>1000084</v>
      </c>
      <c r="B28" s="12" t="s">
        <v>38</v>
      </c>
      <c r="C28" s="229"/>
      <c r="D28" s="240">
        <v>10</v>
      </c>
      <c r="E28" s="227"/>
      <c r="F28" s="235"/>
      <c r="G28" s="236"/>
      <c r="H28" s="235"/>
      <c r="I28" s="236"/>
      <c r="J28" s="235"/>
      <c r="K28" s="236"/>
      <c r="L28" s="235">
        <v>8</v>
      </c>
      <c r="M28" s="236"/>
      <c r="N28" s="235"/>
      <c r="O28" s="236"/>
      <c r="P28" s="628">
        <f t="shared" si="0"/>
        <v>8</v>
      </c>
    </row>
    <row r="29" spans="1:16" x14ac:dyDescent="0.25">
      <c r="A29" s="233">
        <v>1000486</v>
      </c>
      <c r="B29" s="12" t="s">
        <v>263</v>
      </c>
      <c r="C29" s="229"/>
      <c r="D29" s="240">
        <v>8</v>
      </c>
      <c r="E29" s="227"/>
      <c r="F29" s="235"/>
      <c r="G29" s="236"/>
      <c r="H29" s="235"/>
      <c r="I29" s="236"/>
      <c r="J29" s="235"/>
      <c r="K29" s="236"/>
      <c r="L29" s="235"/>
      <c r="M29" s="236"/>
      <c r="N29" s="235"/>
      <c r="O29" s="236"/>
      <c r="P29" s="233">
        <f t="shared" si="0"/>
        <v>0</v>
      </c>
    </row>
    <row r="30" spans="1:16" x14ac:dyDescent="0.25">
      <c r="A30" s="233">
        <v>10248</v>
      </c>
      <c r="B30" s="12" t="s">
        <v>183</v>
      </c>
      <c r="C30" s="229"/>
      <c r="D30" s="240">
        <v>0</v>
      </c>
      <c r="E30" s="227"/>
      <c r="F30" s="235"/>
      <c r="G30" s="236"/>
      <c r="H30" s="235"/>
      <c r="I30" s="236"/>
      <c r="J30" s="235"/>
      <c r="K30" s="236"/>
      <c r="L30" s="235"/>
      <c r="M30" s="236"/>
      <c r="N30" s="235"/>
      <c r="O30" s="236"/>
      <c r="P30" s="233">
        <f t="shared" si="0"/>
        <v>0</v>
      </c>
    </row>
    <row r="31" spans="1:16" x14ac:dyDescent="0.25">
      <c r="A31" s="233">
        <v>1000090</v>
      </c>
      <c r="B31" s="12" t="s">
        <v>40</v>
      </c>
      <c r="C31" s="229"/>
      <c r="D31" s="240">
        <v>3</v>
      </c>
      <c r="E31" s="227"/>
      <c r="F31" s="235"/>
      <c r="G31" s="236"/>
      <c r="H31" s="235"/>
      <c r="I31" s="236"/>
      <c r="J31" s="235"/>
      <c r="K31" s="236"/>
      <c r="L31" s="235"/>
      <c r="M31" s="236"/>
      <c r="N31" s="235"/>
      <c r="O31" s="236"/>
      <c r="P31" s="233">
        <f t="shared" si="0"/>
        <v>0</v>
      </c>
    </row>
    <row r="32" spans="1:16" x14ac:dyDescent="0.25">
      <c r="A32" s="233">
        <v>1000052</v>
      </c>
      <c r="B32" s="12" t="s">
        <v>41</v>
      </c>
      <c r="C32" s="229"/>
      <c r="D32" s="240">
        <v>2</v>
      </c>
      <c r="E32" s="227"/>
      <c r="F32" s="235"/>
      <c r="G32" s="236"/>
      <c r="H32" s="235"/>
      <c r="I32" s="236"/>
      <c r="J32" s="235"/>
      <c r="K32" s="236"/>
      <c r="L32" s="235">
        <v>1</v>
      </c>
      <c r="M32" s="236"/>
      <c r="N32" s="235"/>
      <c r="O32" s="236"/>
      <c r="P32" s="628">
        <f t="shared" si="0"/>
        <v>1</v>
      </c>
    </row>
    <row r="33" spans="1:16" x14ac:dyDescent="0.25">
      <c r="A33" s="233">
        <v>1000089</v>
      </c>
      <c r="B33" s="12" t="s">
        <v>42</v>
      </c>
      <c r="C33" s="229"/>
      <c r="D33" s="240">
        <v>2</v>
      </c>
      <c r="E33" s="227"/>
      <c r="F33" s="235"/>
      <c r="G33" s="236"/>
      <c r="H33" s="235"/>
      <c r="I33" s="236"/>
      <c r="J33" s="235"/>
      <c r="K33" s="236"/>
      <c r="L33" s="235">
        <v>2</v>
      </c>
      <c r="M33" s="236"/>
      <c r="N33" s="235"/>
      <c r="O33" s="236"/>
      <c r="P33" s="628">
        <f t="shared" si="0"/>
        <v>2</v>
      </c>
    </row>
    <row r="34" spans="1:16" x14ac:dyDescent="0.25">
      <c r="A34" s="233">
        <v>1000051</v>
      </c>
      <c r="B34" s="12" t="s">
        <v>43</v>
      </c>
      <c r="C34" s="229"/>
      <c r="D34" s="240">
        <v>1</v>
      </c>
      <c r="E34" s="227"/>
      <c r="F34" s="235"/>
      <c r="G34" s="236"/>
      <c r="H34" s="235"/>
      <c r="I34" s="236"/>
      <c r="J34" s="235"/>
      <c r="K34" s="236"/>
      <c r="L34" s="235">
        <v>1</v>
      </c>
      <c r="M34" s="236"/>
      <c r="N34" s="235"/>
      <c r="O34" s="236"/>
      <c r="P34" s="628">
        <f t="shared" si="0"/>
        <v>1</v>
      </c>
    </row>
    <row r="35" spans="1:16" x14ac:dyDescent="0.25">
      <c r="A35" s="233">
        <v>1000048</v>
      </c>
      <c r="B35" s="12" t="s">
        <v>45</v>
      </c>
      <c r="C35" s="229"/>
      <c r="D35" s="240">
        <v>0</v>
      </c>
      <c r="E35" s="227"/>
      <c r="F35" s="235"/>
      <c r="G35" s="236"/>
      <c r="H35" s="235"/>
      <c r="I35" s="236"/>
      <c r="J35" s="235"/>
      <c r="K35" s="236"/>
      <c r="L35" s="235"/>
      <c r="M35" s="236"/>
      <c r="N35" s="235"/>
      <c r="O35" s="236"/>
      <c r="P35" s="233">
        <f t="shared" si="0"/>
        <v>0</v>
      </c>
    </row>
    <row r="36" spans="1:16" x14ac:dyDescent="0.25">
      <c r="A36" s="233">
        <v>1000076</v>
      </c>
      <c r="B36" s="12" t="s">
        <v>46</v>
      </c>
      <c r="C36" s="229"/>
      <c r="D36" s="240">
        <v>0</v>
      </c>
      <c r="E36" s="227"/>
      <c r="F36" s="235"/>
      <c r="G36" s="236"/>
      <c r="H36" s="235"/>
      <c r="I36" s="236"/>
      <c r="J36" s="235"/>
      <c r="K36" s="236"/>
      <c r="L36" s="235"/>
      <c r="M36" s="236"/>
      <c r="N36" s="235"/>
      <c r="O36" s="236"/>
      <c r="P36" s="233">
        <f t="shared" si="0"/>
        <v>0</v>
      </c>
    </row>
    <row r="37" spans="1:16" x14ac:dyDescent="0.25">
      <c r="A37" s="233">
        <v>1000085</v>
      </c>
      <c r="B37" s="12" t="s">
        <v>50</v>
      </c>
      <c r="C37" s="229"/>
      <c r="D37" s="240">
        <v>0</v>
      </c>
      <c r="E37" s="227"/>
      <c r="F37" s="235"/>
      <c r="G37" s="236"/>
      <c r="H37" s="235"/>
      <c r="I37" s="236"/>
      <c r="J37" s="235"/>
      <c r="K37" s="236"/>
      <c r="L37" s="235"/>
      <c r="M37" s="236"/>
      <c r="N37" s="235"/>
      <c r="O37" s="236"/>
      <c r="P37" s="233">
        <f t="shared" si="0"/>
        <v>0</v>
      </c>
    </row>
    <row r="38" spans="1:16" x14ac:dyDescent="0.25">
      <c r="A38" s="233">
        <v>1000147</v>
      </c>
      <c r="B38" s="12" t="s">
        <v>52</v>
      </c>
      <c r="C38" s="229"/>
      <c r="D38" s="240">
        <v>0</v>
      </c>
      <c r="E38" s="227"/>
      <c r="F38" s="235"/>
      <c r="G38" s="236"/>
      <c r="H38" s="235"/>
      <c r="I38" s="236"/>
      <c r="J38" s="235"/>
      <c r="K38" s="236"/>
      <c r="L38" s="235"/>
      <c r="M38" s="236"/>
      <c r="N38" s="235"/>
      <c r="O38" s="236"/>
      <c r="P38" s="233">
        <f t="shared" si="0"/>
        <v>0</v>
      </c>
    </row>
    <row r="39" spans="1:16" x14ac:dyDescent="0.25">
      <c r="A39" s="233">
        <v>1000142</v>
      </c>
      <c r="B39" s="12" t="s">
        <v>54</v>
      </c>
      <c r="C39" s="229"/>
      <c r="D39" s="240">
        <v>0</v>
      </c>
      <c r="E39" s="227"/>
      <c r="F39" s="235"/>
      <c r="G39" s="236"/>
      <c r="H39" s="235"/>
      <c r="I39" s="236"/>
      <c r="J39" s="235"/>
      <c r="K39" s="236"/>
      <c r="L39" s="235"/>
      <c r="M39" s="236"/>
      <c r="N39" s="235"/>
      <c r="O39" s="236"/>
      <c r="P39" s="233">
        <f t="shared" si="0"/>
        <v>0</v>
      </c>
    </row>
    <row r="40" spans="1:16" x14ac:dyDescent="0.25">
      <c r="A40" s="233">
        <v>1000087</v>
      </c>
      <c r="B40" s="12" t="s">
        <v>69</v>
      </c>
      <c r="C40" s="229"/>
      <c r="D40" s="240">
        <v>0</v>
      </c>
      <c r="E40" s="227"/>
      <c r="F40" s="235"/>
      <c r="G40" s="236"/>
      <c r="H40" s="235"/>
      <c r="I40" s="236"/>
      <c r="J40" s="235"/>
      <c r="K40" s="236"/>
      <c r="L40" s="235"/>
      <c r="M40" s="236"/>
      <c r="N40" s="235"/>
      <c r="O40" s="236"/>
      <c r="P40" s="233">
        <f t="shared" si="0"/>
        <v>0</v>
      </c>
    </row>
    <row r="41" spans="1:16" x14ac:dyDescent="0.25">
      <c r="A41" s="233">
        <v>1000057</v>
      </c>
      <c r="B41" s="12" t="s">
        <v>70</v>
      </c>
      <c r="C41" s="229"/>
      <c r="D41" s="240">
        <v>0</v>
      </c>
      <c r="E41" s="227"/>
      <c r="F41" s="235"/>
      <c r="G41" s="236"/>
      <c r="H41" s="235"/>
      <c r="I41" s="236"/>
      <c r="J41" s="235"/>
      <c r="K41" s="236"/>
      <c r="L41" s="235"/>
      <c r="M41" s="236"/>
      <c r="N41" s="235"/>
      <c r="O41" s="236"/>
      <c r="P41" s="233">
        <f t="shared" si="0"/>
        <v>0</v>
      </c>
    </row>
    <row r="42" spans="1:16" x14ac:dyDescent="0.25">
      <c r="A42" s="233">
        <v>1000073</v>
      </c>
      <c r="B42" s="12" t="s">
        <v>36</v>
      </c>
      <c r="C42" s="229"/>
      <c r="D42" s="240">
        <v>0</v>
      </c>
      <c r="E42" s="227"/>
      <c r="F42" s="235"/>
      <c r="G42" s="236"/>
      <c r="H42" s="235"/>
      <c r="I42" s="236"/>
      <c r="J42" s="235"/>
      <c r="K42" s="236"/>
      <c r="L42" s="235"/>
      <c r="M42" s="236"/>
      <c r="N42" s="235"/>
      <c r="O42" s="236"/>
      <c r="P42" s="233">
        <f t="shared" si="0"/>
        <v>0</v>
      </c>
    </row>
    <row r="43" spans="1:16" x14ac:dyDescent="0.25">
      <c r="A43" s="233">
        <v>1000004</v>
      </c>
      <c r="B43" s="12" t="s">
        <v>10</v>
      </c>
      <c r="C43" s="229"/>
      <c r="D43" s="240"/>
      <c r="E43" s="227"/>
      <c r="F43" s="235"/>
      <c r="G43" s="236"/>
      <c r="H43" s="235"/>
      <c r="I43" s="236"/>
      <c r="J43" s="235"/>
      <c r="K43" s="236"/>
      <c r="L43" s="235"/>
      <c r="M43" s="236"/>
      <c r="N43" s="235"/>
      <c r="O43" s="236"/>
      <c r="P43" s="233">
        <f t="shared" si="0"/>
        <v>0</v>
      </c>
    </row>
    <row r="44" spans="1:16" x14ac:dyDescent="0.25">
      <c r="A44" s="233">
        <v>1000214</v>
      </c>
      <c r="B44" s="12" t="s">
        <v>49</v>
      </c>
      <c r="C44" s="229"/>
      <c r="D44" s="240"/>
      <c r="E44" s="227"/>
      <c r="F44" s="235"/>
      <c r="G44" s="236"/>
      <c r="H44" s="235"/>
      <c r="I44" s="236"/>
      <c r="J44" s="235"/>
      <c r="K44" s="236"/>
      <c r="L44" s="235"/>
      <c r="M44" s="236"/>
      <c r="N44" s="235"/>
      <c r="O44" s="236"/>
      <c r="P44" s="233">
        <f t="shared" si="0"/>
        <v>0</v>
      </c>
    </row>
    <row r="45" spans="1:16" x14ac:dyDescent="0.25">
      <c r="A45" s="233">
        <v>1000030</v>
      </c>
      <c r="B45" s="12" t="s">
        <v>24</v>
      </c>
      <c r="C45" s="229"/>
      <c r="D45" s="240"/>
      <c r="E45" s="227"/>
      <c r="F45" s="235"/>
      <c r="G45" s="236"/>
      <c r="H45" s="235"/>
      <c r="I45" s="236"/>
      <c r="J45" s="235"/>
      <c r="K45" s="236"/>
      <c r="L45" s="235"/>
      <c r="M45" s="236"/>
      <c r="N45" s="235"/>
      <c r="O45" s="236"/>
      <c r="P45" s="233">
        <f t="shared" si="0"/>
        <v>0</v>
      </c>
    </row>
    <row r="46" spans="1:16" x14ac:dyDescent="0.25">
      <c r="A46" s="233">
        <v>1000033</v>
      </c>
      <c r="B46" s="12" t="s">
        <v>27</v>
      </c>
      <c r="C46" s="229"/>
      <c r="D46" s="240"/>
      <c r="E46" s="227"/>
      <c r="F46" s="235"/>
      <c r="G46" s="236"/>
      <c r="H46" s="235"/>
      <c r="I46" s="236"/>
      <c r="J46" s="235"/>
      <c r="K46" s="236"/>
      <c r="L46" s="235"/>
      <c r="M46" s="236"/>
      <c r="N46" s="235"/>
      <c r="O46" s="236"/>
      <c r="P46" s="233">
        <f t="shared" si="0"/>
        <v>0</v>
      </c>
    </row>
    <row r="47" spans="1:16" x14ac:dyDescent="0.25">
      <c r="A47" s="233">
        <v>1000029</v>
      </c>
      <c r="B47" s="12" t="s">
        <v>30</v>
      </c>
      <c r="C47" s="229"/>
      <c r="D47" s="240"/>
      <c r="E47" s="227"/>
      <c r="F47" s="235"/>
      <c r="G47" s="236"/>
      <c r="H47" s="235"/>
      <c r="I47" s="236"/>
      <c r="J47" s="235"/>
      <c r="K47" s="236"/>
      <c r="L47" s="235"/>
      <c r="M47" s="236"/>
      <c r="N47" s="235"/>
      <c r="O47" s="236"/>
      <c r="P47" s="233">
        <f t="shared" si="0"/>
        <v>0</v>
      </c>
    </row>
    <row r="48" spans="1:16" x14ac:dyDescent="0.25">
      <c r="A48" s="233">
        <v>1000092</v>
      </c>
      <c r="B48" s="12" t="s">
        <v>51</v>
      </c>
      <c r="C48" s="229"/>
      <c r="D48" s="240"/>
      <c r="E48" s="227"/>
      <c r="F48" s="235"/>
      <c r="G48" s="236"/>
      <c r="H48" s="235"/>
      <c r="I48" s="236"/>
      <c r="J48" s="235"/>
      <c r="K48" s="236"/>
      <c r="L48" s="235"/>
      <c r="M48" s="236"/>
      <c r="N48" s="235"/>
      <c r="O48" s="236"/>
      <c r="P48" s="233">
        <f t="shared" si="0"/>
        <v>0</v>
      </c>
    </row>
    <row r="49" spans="1:16" x14ac:dyDescent="0.25">
      <c r="A49" s="233">
        <v>1000117</v>
      </c>
      <c r="B49" s="12" t="s">
        <v>80</v>
      </c>
      <c r="C49" s="229"/>
      <c r="D49" s="240"/>
      <c r="E49" s="227"/>
      <c r="F49" s="235"/>
      <c r="G49" s="236"/>
      <c r="H49" s="235"/>
      <c r="I49" s="236"/>
      <c r="J49" s="235"/>
      <c r="K49" s="236"/>
      <c r="L49" s="235"/>
      <c r="M49" s="236"/>
      <c r="N49" s="235"/>
      <c r="O49" s="236"/>
      <c r="P49" s="233">
        <f t="shared" si="0"/>
        <v>0</v>
      </c>
    </row>
    <row r="50" spans="1:16" x14ac:dyDescent="0.25">
      <c r="A50" s="233">
        <v>1000034</v>
      </c>
      <c r="B50" s="12" t="s">
        <v>28</v>
      </c>
      <c r="C50" s="229"/>
      <c r="D50" s="240"/>
      <c r="E50" s="227"/>
      <c r="F50" s="235"/>
      <c r="G50" s="236"/>
      <c r="H50" s="235"/>
      <c r="I50" s="236"/>
      <c r="J50" s="235"/>
      <c r="K50" s="236"/>
      <c r="L50" s="235"/>
      <c r="M50" s="236"/>
      <c r="N50" s="235"/>
      <c r="O50" s="236"/>
      <c r="P50" s="233">
        <f t="shared" si="0"/>
        <v>0</v>
      </c>
    </row>
    <row r="51" spans="1:16" x14ac:dyDescent="0.25">
      <c r="A51" s="233">
        <v>1000062</v>
      </c>
      <c r="B51" s="12" t="s">
        <v>66</v>
      </c>
      <c r="C51" s="229"/>
      <c r="D51" s="240"/>
      <c r="E51" s="227"/>
      <c r="F51" s="235"/>
      <c r="G51" s="236"/>
      <c r="H51" s="235"/>
      <c r="I51" s="236"/>
      <c r="J51" s="235"/>
      <c r="K51" s="236"/>
      <c r="L51" s="235">
        <v>2</v>
      </c>
      <c r="M51" s="236"/>
      <c r="N51" s="235"/>
      <c r="O51" s="236"/>
      <c r="P51" s="628">
        <f t="shared" si="0"/>
        <v>2</v>
      </c>
    </row>
    <row r="52" spans="1:16" x14ac:dyDescent="0.25">
      <c r="A52" s="233">
        <v>1000472</v>
      </c>
      <c r="B52" s="12" t="s">
        <v>222</v>
      </c>
      <c r="C52" s="229"/>
      <c r="D52" s="240"/>
      <c r="E52" s="227"/>
      <c r="F52" s="235"/>
      <c r="G52" s="236"/>
      <c r="H52" s="235"/>
      <c r="I52" s="236"/>
      <c r="J52" s="235"/>
      <c r="K52" s="236"/>
      <c r="L52" s="235"/>
      <c r="M52" s="236"/>
      <c r="N52" s="235"/>
      <c r="O52" s="236"/>
      <c r="P52" s="233">
        <f t="shared" si="0"/>
        <v>0</v>
      </c>
    </row>
    <row r="53" spans="1:16" x14ac:dyDescent="0.25">
      <c r="A53" s="233">
        <v>1000025</v>
      </c>
      <c r="B53" s="12" t="s">
        <v>32</v>
      </c>
      <c r="C53" s="229"/>
      <c r="D53" s="240"/>
      <c r="E53" s="227"/>
      <c r="F53" s="235"/>
      <c r="G53" s="236"/>
      <c r="H53" s="235"/>
      <c r="I53" s="236"/>
      <c r="J53" s="235"/>
      <c r="K53" s="236"/>
      <c r="L53" s="235"/>
      <c r="M53" s="236"/>
      <c r="N53" s="235"/>
      <c r="O53" s="236"/>
      <c r="P53" s="233">
        <f t="shared" si="0"/>
        <v>0</v>
      </c>
    </row>
    <row r="54" spans="1:16" x14ac:dyDescent="0.25">
      <c r="A54" s="233">
        <v>1000075</v>
      </c>
      <c r="B54" s="12" t="s">
        <v>47</v>
      </c>
      <c r="C54" s="229"/>
      <c r="D54" s="240"/>
      <c r="E54" s="227"/>
      <c r="F54" s="235"/>
      <c r="G54" s="236"/>
      <c r="H54" s="235"/>
      <c r="I54" s="236"/>
      <c r="J54" s="235"/>
      <c r="K54" s="236"/>
      <c r="L54" s="235"/>
      <c r="M54" s="236"/>
      <c r="N54" s="235"/>
      <c r="O54" s="236"/>
      <c r="P54" s="233">
        <f t="shared" si="0"/>
        <v>0</v>
      </c>
    </row>
    <row r="55" spans="1:16" x14ac:dyDescent="0.25">
      <c r="A55" s="233">
        <v>1000383</v>
      </c>
      <c r="B55" s="12" t="s">
        <v>264</v>
      </c>
      <c r="C55" s="229"/>
      <c r="D55" s="240"/>
      <c r="E55" s="227"/>
      <c r="F55" s="235"/>
      <c r="G55" s="236"/>
      <c r="H55" s="235"/>
      <c r="I55" s="236"/>
      <c r="J55" s="235"/>
      <c r="K55" s="236"/>
      <c r="L55" s="235">
        <v>96</v>
      </c>
      <c r="M55" s="236"/>
      <c r="N55" s="235"/>
      <c r="O55" s="236"/>
      <c r="P55" s="628">
        <f t="shared" si="0"/>
        <v>96</v>
      </c>
    </row>
    <row r="56" spans="1:16" x14ac:dyDescent="0.25">
      <c r="A56" s="233">
        <v>1000080</v>
      </c>
      <c r="B56" s="12" t="s">
        <v>275</v>
      </c>
      <c r="C56" s="229"/>
      <c r="D56" s="240"/>
      <c r="E56" s="227"/>
      <c r="F56" s="235"/>
      <c r="G56" s="236"/>
      <c r="H56" s="235"/>
      <c r="I56" s="236"/>
      <c r="J56" s="235"/>
      <c r="K56" s="236"/>
      <c r="L56" s="235"/>
      <c r="M56" s="236"/>
      <c r="N56" s="235"/>
      <c r="O56" s="236"/>
      <c r="P56" s="233">
        <f t="shared" si="0"/>
        <v>0</v>
      </c>
    </row>
    <row r="57" spans="1:16" x14ac:dyDescent="0.25">
      <c r="A57" s="233">
        <v>1000436</v>
      </c>
      <c r="B57" s="12" t="s">
        <v>276</v>
      </c>
      <c r="C57" s="229"/>
      <c r="D57" s="240"/>
      <c r="E57" s="227"/>
      <c r="F57" s="235"/>
      <c r="G57" s="236"/>
      <c r="H57" s="235"/>
      <c r="I57" s="236"/>
      <c r="J57" s="235"/>
      <c r="K57" s="236"/>
      <c r="L57" s="235"/>
      <c r="M57" s="236"/>
      <c r="N57" s="235"/>
      <c r="O57" s="236"/>
      <c r="P57" s="233">
        <f t="shared" si="0"/>
        <v>0</v>
      </c>
    </row>
    <row r="58" spans="1:16" x14ac:dyDescent="0.25">
      <c r="A58" s="233">
        <v>1000550</v>
      </c>
      <c r="B58" s="12" t="s">
        <v>277</v>
      </c>
      <c r="C58" s="229"/>
      <c r="D58" s="240"/>
      <c r="E58" s="227"/>
      <c r="F58" s="235"/>
      <c r="G58" s="236"/>
      <c r="H58" s="235"/>
      <c r="I58" s="236"/>
      <c r="J58" s="235"/>
      <c r="K58" s="236"/>
      <c r="L58" s="235"/>
      <c r="M58" s="236"/>
      <c r="N58" s="235"/>
      <c r="O58" s="236"/>
      <c r="P58" s="233">
        <f t="shared" si="0"/>
        <v>0</v>
      </c>
    </row>
    <row r="59" spans="1:16" x14ac:dyDescent="0.25">
      <c r="A59" s="36">
        <v>1000551</v>
      </c>
      <c r="B59" s="12" t="s">
        <v>278</v>
      </c>
      <c r="D59" s="35"/>
      <c r="E59" s="215"/>
      <c r="F59" s="33"/>
      <c r="G59" s="34"/>
      <c r="H59" s="33"/>
      <c r="I59" s="34"/>
      <c r="J59" s="33"/>
      <c r="K59" s="34"/>
      <c r="L59" s="33"/>
      <c r="M59" s="34"/>
      <c r="N59" s="33"/>
      <c r="O59" s="34"/>
      <c r="P59" s="44">
        <f t="shared" si="0"/>
        <v>0</v>
      </c>
    </row>
    <row r="60" spans="1:16" ht="16.5" thickBot="1" x14ac:dyDescent="0.3">
      <c r="A60" s="207">
        <v>1000552</v>
      </c>
      <c r="B60" s="246" t="s">
        <v>279</v>
      </c>
      <c r="D60" s="38"/>
      <c r="E60" s="215"/>
      <c r="F60" s="39"/>
      <c r="G60" s="40"/>
      <c r="H60" s="39"/>
      <c r="I60" s="40"/>
      <c r="J60" s="39"/>
      <c r="K60" s="40"/>
      <c r="L60" s="39"/>
      <c r="M60" s="40"/>
      <c r="N60" s="39"/>
      <c r="O60" s="40"/>
      <c r="P60" s="38">
        <f t="shared" si="0"/>
        <v>0</v>
      </c>
    </row>
    <row r="61" spans="1:16" ht="16.5" thickBot="1" x14ac:dyDescent="0.3">
      <c r="A61" s="207"/>
      <c r="B61" s="246" t="s">
        <v>499</v>
      </c>
      <c r="D61" s="38"/>
      <c r="F61" s="39"/>
      <c r="G61" s="40"/>
      <c r="H61" s="39"/>
      <c r="I61" s="40"/>
      <c r="J61" s="39"/>
      <c r="K61" s="40"/>
      <c r="L61" s="39">
        <v>1</v>
      </c>
      <c r="M61" s="40"/>
      <c r="N61" s="39"/>
      <c r="O61" s="40"/>
      <c r="P61" s="627">
        <f t="shared" ref="P61:P62" si="1">SUM(F61:O61)</f>
        <v>1</v>
      </c>
    </row>
    <row r="62" spans="1:16" ht="16.5" thickBot="1" x14ac:dyDescent="0.3">
      <c r="A62" s="12">
        <v>10211</v>
      </c>
      <c r="B62" s="12" t="s">
        <v>3</v>
      </c>
      <c r="D62" s="38"/>
      <c r="F62" s="39"/>
      <c r="G62" s="40"/>
      <c r="H62" s="39"/>
      <c r="I62" s="40"/>
      <c r="J62" s="39"/>
      <c r="K62" s="40"/>
      <c r="L62" s="39">
        <v>50</v>
      </c>
      <c r="M62" s="40"/>
      <c r="N62" s="39"/>
      <c r="O62" s="40"/>
      <c r="P62" s="627">
        <f t="shared" si="1"/>
        <v>50</v>
      </c>
    </row>
  </sheetData>
  <mergeCells count="3">
    <mergeCell ref="A1:B2"/>
    <mergeCell ref="D1:D2"/>
    <mergeCell ref="F1:J2"/>
  </mergeCells>
  <pageMargins left="0.25" right="0.25" top="0.75" bottom="0.75" header="0.3" footer="0.3"/>
  <pageSetup paperSize="9" scale="5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FF9C-FB07-4225-AC11-339278BBD73A}">
  <sheetPr>
    <tabColor rgb="FF7030A0"/>
    <pageSetUpPr fitToPage="1"/>
  </sheetPr>
  <dimension ref="A1:P54"/>
  <sheetViews>
    <sheetView topLeftCell="A19" zoomScale="85" zoomScaleNormal="85" workbookViewId="0">
      <selection activeCell="A40" sqref="A40:B40"/>
    </sheetView>
  </sheetViews>
  <sheetFormatPr baseColWidth="10" defaultRowHeight="15.75" x14ac:dyDescent="0.25"/>
  <cols>
    <col min="1" max="1" width="9.25" style="3" bestFit="1" customWidth="1"/>
    <col min="2" max="2" width="33.5" style="3" bestFit="1" customWidth="1"/>
    <col min="3" max="3" width="1.5" style="3" customWidth="1"/>
    <col min="4" max="4" width="7.75" style="3" customWidth="1"/>
    <col min="5" max="5" width="1.125" style="3" customWidth="1"/>
    <col min="6" max="6" width="9.125" style="3" bestFit="1" customWidth="1"/>
    <col min="7" max="7" width="5.5" style="3" customWidth="1"/>
    <col min="8" max="8" width="9.125" style="3" bestFit="1" customWidth="1"/>
    <col min="9" max="9" width="5.5" style="3" customWidth="1"/>
    <col min="10" max="10" width="9.125" style="3" bestFit="1" customWidth="1"/>
    <col min="11" max="11" width="5.5" style="3" customWidth="1"/>
    <col min="12" max="12" width="9.75" style="3" bestFit="1" customWidth="1"/>
    <col min="13" max="13" width="5.75" style="3" customWidth="1"/>
    <col min="14" max="14" width="9.125" style="3" bestFit="1" customWidth="1"/>
    <col min="15" max="15" width="5.125" style="3" customWidth="1"/>
    <col min="16" max="16384" width="11" style="3"/>
  </cols>
  <sheetData>
    <row r="1" spans="1:16" ht="23.25" customHeight="1" x14ac:dyDescent="0.45">
      <c r="A1" s="686" t="s">
        <v>184</v>
      </c>
      <c r="B1" s="687"/>
      <c r="C1" s="485"/>
      <c r="D1" s="485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</row>
    <row r="2" spans="1:16" ht="18" customHeight="1" thickBot="1" x14ac:dyDescent="0.5">
      <c r="A2" s="688"/>
      <c r="B2" s="689"/>
      <c r="C2" s="4"/>
      <c r="D2" s="430" t="s">
        <v>362</v>
      </c>
      <c r="F2" s="754"/>
      <c r="G2" s="755"/>
      <c r="H2" s="755"/>
      <c r="I2" s="755"/>
      <c r="J2" s="756"/>
      <c r="K2" s="2"/>
    </row>
    <row r="3" spans="1:16" ht="24" customHeight="1" thickBot="1" x14ac:dyDescent="0.3">
      <c r="A3" s="5"/>
      <c r="B3" s="5" t="s">
        <v>349</v>
      </c>
      <c r="C3" s="4"/>
    </row>
    <row r="4" spans="1:16" ht="16.5" thickBot="1" x14ac:dyDescent="0.3">
      <c r="A4" s="6" t="s">
        <v>0</v>
      </c>
      <c r="B4" s="52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6.5" thickBot="1" x14ac:dyDescent="0.3">
      <c r="A5" s="11">
        <v>10000015</v>
      </c>
      <c r="B5" s="11" t="s">
        <v>1</v>
      </c>
      <c r="C5" s="485"/>
      <c r="D5" s="497"/>
      <c r="E5" s="485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6">
        <f t="shared" ref="P5:P54" si="0">SUM(F5:O5)</f>
        <v>0</v>
      </c>
    </row>
    <row r="6" spans="1:16" ht="16.5" thickBot="1" x14ac:dyDescent="0.3">
      <c r="A6" s="12">
        <v>10000102</v>
      </c>
      <c r="B6" s="12" t="s">
        <v>2</v>
      </c>
      <c r="C6" s="485"/>
      <c r="D6" s="498"/>
      <c r="E6" s="485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90">
        <f t="shared" si="0"/>
        <v>0</v>
      </c>
    </row>
    <row r="7" spans="1:16" ht="16.5" thickBot="1" x14ac:dyDescent="0.3">
      <c r="A7" s="12">
        <v>10211</v>
      </c>
      <c r="B7" s="12" t="s">
        <v>3</v>
      </c>
      <c r="C7" s="485"/>
      <c r="D7" s="498"/>
      <c r="E7" s="485"/>
      <c r="F7" s="489">
        <v>200</v>
      </c>
      <c r="G7" s="489"/>
      <c r="H7" s="489">
        <v>200</v>
      </c>
      <c r="I7" s="489"/>
      <c r="J7" s="489">
        <v>200</v>
      </c>
      <c r="K7" s="489"/>
      <c r="L7" s="489">
        <v>200</v>
      </c>
      <c r="M7" s="489"/>
      <c r="N7" s="489">
        <v>200</v>
      </c>
      <c r="O7" s="489"/>
      <c r="P7" s="490">
        <f t="shared" si="0"/>
        <v>1000</v>
      </c>
    </row>
    <row r="8" spans="1:16" ht="16.5" thickBot="1" x14ac:dyDescent="0.3">
      <c r="A8" s="12">
        <v>1000007</v>
      </c>
      <c r="B8" s="12" t="s">
        <v>5</v>
      </c>
      <c r="C8" s="485"/>
      <c r="D8" s="498"/>
      <c r="E8" s="485"/>
      <c r="F8" s="489">
        <v>250</v>
      </c>
      <c r="G8" s="489"/>
      <c r="H8" s="489">
        <v>200</v>
      </c>
      <c r="I8" s="489"/>
      <c r="J8" s="489">
        <v>200</v>
      </c>
      <c r="K8" s="489"/>
      <c r="L8" s="489">
        <v>200</v>
      </c>
      <c r="M8" s="489"/>
      <c r="N8" s="489">
        <v>200</v>
      </c>
      <c r="O8" s="489"/>
      <c r="P8" s="490">
        <f t="shared" si="0"/>
        <v>1050</v>
      </c>
    </row>
    <row r="9" spans="1:16" ht="16.5" thickBot="1" x14ac:dyDescent="0.3">
      <c r="A9" s="12">
        <v>10212</v>
      </c>
      <c r="B9" s="12" t="s">
        <v>6</v>
      </c>
      <c r="C9" s="485"/>
      <c r="D9" s="498"/>
      <c r="E9" s="485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6">
        <f t="shared" si="0"/>
        <v>0</v>
      </c>
    </row>
    <row r="10" spans="1:16" ht="16.5" thickBot="1" x14ac:dyDescent="0.3">
      <c r="A10" s="12">
        <v>1000008</v>
      </c>
      <c r="B10" s="12" t="s">
        <v>7</v>
      </c>
      <c r="C10" s="485"/>
      <c r="D10" s="498"/>
      <c r="E10" s="485"/>
      <c r="F10" s="489">
        <v>50</v>
      </c>
      <c r="G10" s="489"/>
      <c r="H10" s="489">
        <v>50</v>
      </c>
      <c r="I10" s="489"/>
      <c r="J10" s="489">
        <v>50</v>
      </c>
      <c r="K10" s="489"/>
      <c r="L10" s="489">
        <v>50</v>
      </c>
      <c r="M10" s="489"/>
      <c r="N10" s="489">
        <v>50</v>
      </c>
      <c r="O10" s="489"/>
      <c r="P10" s="490">
        <f t="shared" si="0"/>
        <v>250</v>
      </c>
    </row>
    <row r="11" spans="1:16" ht="16.5" thickBot="1" x14ac:dyDescent="0.3">
      <c r="A11" s="12">
        <v>1000001</v>
      </c>
      <c r="B11" s="12" t="s">
        <v>8</v>
      </c>
      <c r="C11" s="485"/>
      <c r="D11" s="498"/>
      <c r="E11" s="485"/>
      <c r="F11" s="489">
        <v>6</v>
      </c>
      <c r="G11" s="489"/>
      <c r="H11" s="489">
        <v>6</v>
      </c>
      <c r="I11" s="489"/>
      <c r="J11" s="489">
        <v>6</v>
      </c>
      <c r="K11" s="489"/>
      <c r="L11" s="489">
        <v>6</v>
      </c>
      <c r="M11" s="489"/>
      <c r="N11" s="489">
        <v>6</v>
      </c>
      <c r="O11" s="489"/>
      <c r="P11" s="490">
        <f t="shared" si="0"/>
        <v>30</v>
      </c>
    </row>
    <row r="12" spans="1:16" ht="16.5" thickBot="1" x14ac:dyDescent="0.3">
      <c r="A12" s="12">
        <v>1000002</v>
      </c>
      <c r="B12" s="12" t="s">
        <v>9</v>
      </c>
      <c r="C12" s="485"/>
      <c r="D12" s="498"/>
      <c r="E12" s="485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86">
        <f t="shared" si="0"/>
        <v>0</v>
      </c>
    </row>
    <row r="13" spans="1:16" ht="16.5" thickBot="1" x14ac:dyDescent="0.3">
      <c r="A13" s="12">
        <v>1000004</v>
      </c>
      <c r="B13" s="12" t="s">
        <v>10</v>
      </c>
      <c r="C13" s="485"/>
      <c r="D13" s="498"/>
      <c r="E13" s="485"/>
      <c r="F13" s="489">
        <v>5</v>
      </c>
      <c r="G13" s="489"/>
      <c r="H13" s="489">
        <v>5</v>
      </c>
      <c r="I13" s="489"/>
      <c r="J13" s="489">
        <v>4</v>
      </c>
      <c r="K13" s="489"/>
      <c r="L13" s="489">
        <v>5</v>
      </c>
      <c r="M13" s="489"/>
      <c r="N13" s="489">
        <v>4</v>
      </c>
      <c r="O13" s="489"/>
      <c r="P13" s="490">
        <f t="shared" si="0"/>
        <v>23</v>
      </c>
    </row>
    <row r="14" spans="1:16" ht="16.5" thickBot="1" x14ac:dyDescent="0.3">
      <c r="A14" s="12">
        <v>1000054</v>
      </c>
      <c r="B14" s="12" t="s">
        <v>12</v>
      </c>
      <c r="C14" s="485"/>
      <c r="D14" s="498"/>
      <c r="E14" s="485"/>
      <c r="F14" s="489">
        <v>10</v>
      </c>
      <c r="G14" s="489"/>
      <c r="H14" s="489">
        <v>10</v>
      </c>
      <c r="I14" s="489"/>
      <c r="J14" s="489">
        <v>10</v>
      </c>
      <c r="K14" s="489"/>
      <c r="L14" s="489">
        <v>10</v>
      </c>
      <c r="M14" s="489"/>
      <c r="N14" s="489">
        <v>10</v>
      </c>
      <c r="O14" s="489"/>
      <c r="P14" s="490">
        <f t="shared" si="0"/>
        <v>50</v>
      </c>
    </row>
    <row r="15" spans="1:16" ht="16.5" thickBot="1" x14ac:dyDescent="0.3">
      <c r="A15" s="12">
        <v>1000070</v>
      </c>
      <c r="B15" s="12" t="s">
        <v>13</v>
      </c>
      <c r="C15" s="485"/>
      <c r="D15" s="498"/>
      <c r="E15" s="485"/>
      <c r="F15" s="489">
        <v>5</v>
      </c>
      <c r="G15" s="489"/>
      <c r="H15" s="489"/>
      <c r="I15" s="489"/>
      <c r="J15" s="489"/>
      <c r="K15" s="489"/>
      <c r="L15" s="489"/>
      <c r="M15" s="489"/>
      <c r="N15" s="489">
        <v>6</v>
      </c>
      <c r="O15" s="489"/>
      <c r="P15" s="490">
        <f t="shared" si="0"/>
        <v>11</v>
      </c>
    </row>
    <row r="16" spans="1:16" ht="16.5" thickBot="1" x14ac:dyDescent="0.3">
      <c r="A16" s="12">
        <v>1000017</v>
      </c>
      <c r="B16" s="12" t="s">
        <v>14</v>
      </c>
      <c r="C16" s="485"/>
      <c r="D16" s="498"/>
      <c r="E16" s="485"/>
      <c r="F16" s="489">
        <v>10</v>
      </c>
      <c r="G16" s="489"/>
      <c r="H16" s="489">
        <v>10</v>
      </c>
      <c r="I16" s="489"/>
      <c r="J16" s="489">
        <v>5</v>
      </c>
      <c r="K16" s="489"/>
      <c r="L16" s="489">
        <v>10</v>
      </c>
      <c r="M16" s="489"/>
      <c r="N16" s="489">
        <v>10</v>
      </c>
      <c r="O16" s="489"/>
      <c r="P16" s="490">
        <f t="shared" si="0"/>
        <v>45</v>
      </c>
    </row>
    <row r="17" spans="1:16" ht="16.5" thickBot="1" x14ac:dyDescent="0.3">
      <c r="A17" s="12">
        <v>1000049</v>
      </c>
      <c r="B17" s="12" t="s">
        <v>21</v>
      </c>
      <c r="C17" s="485"/>
      <c r="D17" s="498"/>
      <c r="E17" s="485"/>
      <c r="F17" s="489">
        <v>1</v>
      </c>
      <c r="G17" s="489"/>
      <c r="H17" s="489">
        <v>4</v>
      </c>
      <c r="I17" s="489"/>
      <c r="J17" s="489">
        <v>3</v>
      </c>
      <c r="K17" s="489"/>
      <c r="L17" s="489">
        <v>4</v>
      </c>
      <c r="M17" s="489"/>
      <c r="N17" s="489"/>
      <c r="O17" s="489"/>
      <c r="P17" s="490">
        <f t="shared" si="0"/>
        <v>12</v>
      </c>
    </row>
    <row r="18" spans="1:16" ht="16.5" thickBot="1" x14ac:dyDescent="0.3">
      <c r="A18" s="12">
        <v>1000033</v>
      </c>
      <c r="B18" s="12" t="s">
        <v>27</v>
      </c>
      <c r="C18" s="485"/>
      <c r="D18" s="498"/>
      <c r="E18" s="485"/>
      <c r="F18" s="489"/>
      <c r="G18" s="489"/>
      <c r="H18" s="489">
        <v>10</v>
      </c>
      <c r="I18" s="489"/>
      <c r="J18" s="489"/>
      <c r="K18" s="489"/>
      <c r="L18" s="489">
        <v>10</v>
      </c>
      <c r="M18" s="489"/>
      <c r="N18" s="489"/>
      <c r="O18" s="489"/>
      <c r="P18" s="490">
        <f t="shared" si="0"/>
        <v>20</v>
      </c>
    </row>
    <row r="19" spans="1:16" ht="16.5" thickBot="1" x14ac:dyDescent="0.3">
      <c r="A19" s="12">
        <v>1000029</v>
      </c>
      <c r="B19" s="12" t="s">
        <v>30</v>
      </c>
      <c r="C19" s="485"/>
      <c r="D19" s="498"/>
      <c r="E19" s="485"/>
      <c r="F19" s="489"/>
      <c r="G19" s="489"/>
      <c r="H19" s="489"/>
      <c r="I19" s="489"/>
      <c r="J19" s="489"/>
      <c r="K19" s="489"/>
      <c r="L19" s="489"/>
      <c r="M19" s="489"/>
      <c r="N19" s="489"/>
      <c r="O19" s="489"/>
      <c r="P19" s="486">
        <f t="shared" si="0"/>
        <v>0</v>
      </c>
    </row>
    <row r="20" spans="1:16" ht="16.5" thickBot="1" x14ac:dyDescent="0.3">
      <c r="A20" s="12">
        <v>1000025</v>
      </c>
      <c r="B20" s="12" t="s">
        <v>32</v>
      </c>
      <c r="C20" s="485"/>
      <c r="D20" s="498"/>
      <c r="E20" s="485"/>
      <c r="F20" s="489">
        <v>5</v>
      </c>
      <c r="G20" s="489"/>
      <c r="H20" s="489">
        <v>5</v>
      </c>
      <c r="I20" s="489"/>
      <c r="J20" s="489">
        <v>5</v>
      </c>
      <c r="K20" s="489"/>
      <c r="L20" s="489">
        <v>5</v>
      </c>
      <c r="M20" s="489"/>
      <c r="N20" s="489"/>
      <c r="O20" s="489"/>
      <c r="P20" s="490">
        <f t="shared" si="0"/>
        <v>20</v>
      </c>
    </row>
    <row r="21" spans="1:16" ht="16.5" thickBot="1" x14ac:dyDescent="0.3">
      <c r="A21" s="12">
        <v>1000100</v>
      </c>
      <c r="B21" s="12" t="s">
        <v>34</v>
      </c>
      <c r="C21" s="485"/>
      <c r="D21" s="498"/>
      <c r="E21" s="485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6">
        <f t="shared" si="0"/>
        <v>0</v>
      </c>
    </row>
    <row r="22" spans="1:16" ht="16.5" thickBot="1" x14ac:dyDescent="0.3">
      <c r="A22" s="12">
        <v>1000101</v>
      </c>
      <c r="B22" s="12" t="s">
        <v>35</v>
      </c>
      <c r="C22" s="485"/>
      <c r="D22" s="498"/>
      <c r="E22" s="485"/>
      <c r="F22" s="489"/>
      <c r="G22" s="489"/>
      <c r="H22" s="489"/>
      <c r="I22" s="489"/>
      <c r="J22" s="489"/>
      <c r="K22" s="489"/>
      <c r="L22" s="489"/>
      <c r="M22" s="489"/>
      <c r="N22" s="489"/>
      <c r="O22" s="489"/>
      <c r="P22" s="486">
        <f t="shared" si="0"/>
        <v>0</v>
      </c>
    </row>
    <row r="23" spans="1:16" ht="16.5" thickBot="1" x14ac:dyDescent="0.3">
      <c r="A23" s="12">
        <v>1000073</v>
      </c>
      <c r="B23" s="12" t="s">
        <v>36</v>
      </c>
      <c r="C23" s="485"/>
      <c r="D23" s="498"/>
      <c r="E23" s="485"/>
      <c r="F23" s="489"/>
      <c r="G23" s="489"/>
      <c r="H23" s="489"/>
      <c r="I23" s="489"/>
      <c r="J23" s="489"/>
      <c r="K23" s="489"/>
      <c r="L23" s="489"/>
      <c r="M23" s="489"/>
      <c r="N23" s="489"/>
      <c r="O23" s="489"/>
      <c r="P23" s="490">
        <f t="shared" si="0"/>
        <v>0</v>
      </c>
    </row>
    <row r="24" spans="1:16" ht="16.5" thickBot="1" x14ac:dyDescent="0.3">
      <c r="A24" s="12">
        <v>1000082</v>
      </c>
      <c r="B24" s="12" t="s">
        <v>37</v>
      </c>
      <c r="C24" s="485"/>
      <c r="D24" s="498"/>
      <c r="E24" s="485"/>
      <c r="F24" s="489">
        <v>40</v>
      </c>
      <c r="G24" s="489"/>
      <c r="H24" s="489">
        <v>40</v>
      </c>
      <c r="I24" s="489"/>
      <c r="J24" s="489">
        <v>40</v>
      </c>
      <c r="K24" s="489"/>
      <c r="L24" s="489">
        <v>40</v>
      </c>
      <c r="M24" s="489"/>
      <c r="N24" s="489">
        <v>40</v>
      </c>
      <c r="O24" s="489"/>
      <c r="P24" s="490">
        <f t="shared" si="0"/>
        <v>200</v>
      </c>
    </row>
    <row r="25" spans="1:16" ht="16.5" thickBot="1" x14ac:dyDescent="0.3">
      <c r="A25" s="12">
        <v>1000090</v>
      </c>
      <c r="B25" s="12" t="s">
        <v>40</v>
      </c>
      <c r="C25" s="485"/>
      <c r="D25" s="498"/>
      <c r="E25" s="485"/>
      <c r="F25" s="489">
        <v>3</v>
      </c>
      <c r="G25" s="489"/>
      <c r="H25" s="489">
        <v>3</v>
      </c>
      <c r="I25" s="489"/>
      <c r="J25" s="489">
        <v>3</v>
      </c>
      <c r="K25" s="489"/>
      <c r="L25" s="489">
        <v>3</v>
      </c>
      <c r="M25" s="489"/>
      <c r="N25" s="489">
        <v>3</v>
      </c>
      <c r="O25" s="489"/>
      <c r="P25" s="490">
        <f t="shared" si="0"/>
        <v>15</v>
      </c>
    </row>
    <row r="26" spans="1:16" ht="16.5" thickBot="1" x14ac:dyDescent="0.3">
      <c r="A26" s="12">
        <v>1000052</v>
      </c>
      <c r="B26" s="12" t="s">
        <v>41</v>
      </c>
      <c r="C26" s="485"/>
      <c r="D26" s="498"/>
      <c r="E26" s="485"/>
      <c r="F26" s="489">
        <v>7</v>
      </c>
      <c r="G26" s="489"/>
      <c r="H26" s="489">
        <v>7</v>
      </c>
      <c r="I26" s="489"/>
      <c r="J26" s="489">
        <v>7</v>
      </c>
      <c r="K26" s="489"/>
      <c r="L26" s="489">
        <v>7</v>
      </c>
      <c r="M26" s="489"/>
      <c r="N26" s="489">
        <v>7</v>
      </c>
      <c r="O26" s="489"/>
      <c r="P26" s="490">
        <f t="shared" si="0"/>
        <v>35</v>
      </c>
    </row>
    <row r="27" spans="1:16" ht="16.5" thickBot="1" x14ac:dyDescent="0.3">
      <c r="A27" s="12">
        <v>1000089</v>
      </c>
      <c r="B27" s="12" t="s">
        <v>42</v>
      </c>
      <c r="C27" s="485"/>
      <c r="D27" s="498"/>
      <c r="E27" s="485"/>
      <c r="F27" s="489">
        <v>7</v>
      </c>
      <c r="G27" s="489"/>
      <c r="H27" s="489">
        <v>7</v>
      </c>
      <c r="I27" s="489"/>
      <c r="J27" s="489">
        <v>7</v>
      </c>
      <c r="K27" s="489"/>
      <c r="L27" s="489">
        <v>7</v>
      </c>
      <c r="M27" s="489"/>
      <c r="N27" s="489">
        <v>7</v>
      </c>
      <c r="O27" s="489"/>
      <c r="P27" s="490">
        <f t="shared" si="0"/>
        <v>35</v>
      </c>
    </row>
    <row r="28" spans="1:16" ht="16.5" thickBot="1" x14ac:dyDescent="0.3">
      <c r="A28" s="12">
        <v>1000051</v>
      </c>
      <c r="B28" s="12" t="s">
        <v>43</v>
      </c>
      <c r="C28" s="485"/>
      <c r="D28" s="498"/>
      <c r="E28" s="485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6">
        <f t="shared" si="0"/>
        <v>0</v>
      </c>
    </row>
    <row r="29" spans="1:16" ht="16.5" thickBot="1" x14ac:dyDescent="0.3">
      <c r="A29" s="12">
        <v>1000048</v>
      </c>
      <c r="B29" s="12" t="s">
        <v>45</v>
      </c>
      <c r="C29" s="485"/>
      <c r="D29" s="498"/>
      <c r="E29" s="485"/>
      <c r="F29" s="489"/>
      <c r="G29" s="489"/>
      <c r="H29" s="489">
        <v>1</v>
      </c>
      <c r="I29" s="489"/>
      <c r="J29" s="489"/>
      <c r="K29" s="489"/>
      <c r="L29" s="489"/>
      <c r="M29" s="489"/>
      <c r="N29" s="489"/>
      <c r="O29" s="489"/>
      <c r="P29" s="490">
        <f t="shared" si="0"/>
        <v>1</v>
      </c>
    </row>
    <row r="30" spans="1:16" ht="16.5" thickBot="1" x14ac:dyDescent="0.3">
      <c r="A30" s="12">
        <v>1000075</v>
      </c>
      <c r="B30" s="12" t="s">
        <v>47</v>
      </c>
      <c r="C30" s="485"/>
      <c r="D30" s="498"/>
      <c r="E30" s="485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6">
        <f t="shared" si="0"/>
        <v>0</v>
      </c>
    </row>
    <row r="31" spans="1:16" ht="16.5" thickBot="1" x14ac:dyDescent="0.3">
      <c r="A31" s="12">
        <v>1000092</v>
      </c>
      <c r="B31" s="12" t="s">
        <v>51</v>
      </c>
      <c r="C31" s="485"/>
      <c r="D31" s="498"/>
      <c r="E31" s="485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6">
        <f t="shared" si="0"/>
        <v>0</v>
      </c>
    </row>
    <row r="32" spans="1:16" ht="16.5" thickBot="1" x14ac:dyDescent="0.3">
      <c r="A32" s="12">
        <v>1000147</v>
      </c>
      <c r="B32" s="12" t="s">
        <v>52</v>
      </c>
      <c r="C32" s="485"/>
      <c r="D32" s="498"/>
      <c r="E32" s="485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6">
        <f t="shared" si="0"/>
        <v>0</v>
      </c>
    </row>
    <row r="33" spans="1:16" ht="16.5" thickBot="1" x14ac:dyDescent="0.3">
      <c r="A33" s="12">
        <v>1000142</v>
      </c>
      <c r="B33" s="12" t="s">
        <v>54</v>
      </c>
      <c r="C33" s="485"/>
      <c r="D33" s="498"/>
      <c r="E33" s="485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6">
        <f t="shared" si="0"/>
        <v>0</v>
      </c>
    </row>
    <row r="34" spans="1:16" ht="16.5" thickBot="1" x14ac:dyDescent="0.3">
      <c r="A34" s="255">
        <v>1000035</v>
      </c>
      <c r="B34" s="255" t="s">
        <v>29</v>
      </c>
      <c r="C34" s="485"/>
      <c r="D34" s="16"/>
      <c r="E34" s="1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6">
        <f t="shared" si="0"/>
        <v>0</v>
      </c>
    </row>
    <row r="35" spans="1:16" ht="16.5" thickBot="1" x14ac:dyDescent="0.3">
      <c r="A35" s="255">
        <v>10249</v>
      </c>
      <c r="B35" s="255" t="s">
        <v>181</v>
      </c>
      <c r="C35" s="485"/>
      <c r="D35" s="16"/>
      <c r="E35" s="1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6">
        <f t="shared" si="0"/>
        <v>0</v>
      </c>
    </row>
    <row r="36" spans="1:16" ht="16.5" thickBot="1" x14ac:dyDescent="0.3">
      <c r="A36" s="255">
        <v>1000016</v>
      </c>
      <c r="B36" s="255" t="s">
        <v>15</v>
      </c>
      <c r="C36" s="485"/>
      <c r="D36" s="16"/>
      <c r="E36" s="15"/>
      <c r="F36" s="489">
        <v>5</v>
      </c>
      <c r="G36" s="489"/>
      <c r="H36" s="489">
        <v>5</v>
      </c>
      <c r="I36" s="489"/>
      <c r="J36" s="489">
        <v>5</v>
      </c>
      <c r="K36" s="489"/>
      <c r="L36" s="489">
        <v>5</v>
      </c>
      <c r="M36" s="489"/>
      <c r="N36" s="489"/>
      <c r="O36" s="489"/>
      <c r="P36" s="490">
        <f t="shared" si="0"/>
        <v>20</v>
      </c>
    </row>
    <row r="37" spans="1:16" ht="16.5" thickBot="1" x14ac:dyDescent="0.3">
      <c r="A37" s="255">
        <v>1000034</v>
      </c>
      <c r="B37" s="255" t="s">
        <v>28</v>
      </c>
      <c r="C37" s="485"/>
      <c r="D37" s="16"/>
      <c r="E37" s="15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6">
        <f t="shared" si="0"/>
        <v>0</v>
      </c>
    </row>
    <row r="38" spans="1:16" ht="16.5" thickBot="1" x14ac:dyDescent="0.3">
      <c r="A38" s="255">
        <v>1000067</v>
      </c>
      <c r="B38" s="255" t="s">
        <v>11</v>
      </c>
      <c r="C38" s="485"/>
      <c r="D38" s="16"/>
      <c r="E38" s="1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6.5" thickBot="1" x14ac:dyDescent="0.3">
      <c r="A39" s="255">
        <v>1000084</v>
      </c>
      <c r="B39" s="255" t="s">
        <v>38</v>
      </c>
      <c r="C39" s="485"/>
      <c r="D39" s="16"/>
      <c r="E39" s="15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6">
        <f t="shared" si="0"/>
        <v>0</v>
      </c>
    </row>
    <row r="40" spans="1:16" ht="16.5" thickBot="1" x14ac:dyDescent="0.3">
      <c r="A40" s="12">
        <v>1000045</v>
      </c>
      <c r="B40" s="12" t="s">
        <v>23</v>
      </c>
      <c r="C40" s="485"/>
      <c r="D40" s="16"/>
      <c r="E40" s="1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90">
        <f t="shared" si="0"/>
        <v>0</v>
      </c>
    </row>
    <row r="41" spans="1:16" ht="16.5" thickBot="1" x14ac:dyDescent="0.3">
      <c r="A41" s="262">
        <v>10248</v>
      </c>
      <c r="B41" s="248" t="s">
        <v>183</v>
      </c>
      <c r="C41" s="500"/>
      <c r="D41" s="16"/>
      <c r="E41" s="111"/>
      <c r="F41" s="489">
        <v>9</v>
      </c>
      <c r="G41" s="489"/>
      <c r="H41" s="489">
        <v>9</v>
      </c>
      <c r="I41" s="489"/>
      <c r="J41" s="489">
        <v>9</v>
      </c>
      <c r="K41" s="489"/>
      <c r="L41" s="489">
        <v>9</v>
      </c>
      <c r="M41" s="489"/>
      <c r="N41" s="489"/>
      <c r="O41" s="489"/>
      <c r="P41" s="490">
        <f t="shared" si="0"/>
        <v>36</v>
      </c>
    </row>
    <row r="42" spans="1:16" ht="16.5" thickBot="1" x14ac:dyDescent="0.3">
      <c r="A42" s="262">
        <v>1000439</v>
      </c>
      <c r="B42" s="248" t="s">
        <v>193</v>
      </c>
      <c r="C42" s="263"/>
      <c r="D42" s="171"/>
      <c r="E42" s="260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6.5" thickBot="1" x14ac:dyDescent="0.3">
      <c r="A43" s="255">
        <v>1000025</v>
      </c>
      <c r="B43" s="255" t="s">
        <v>32</v>
      </c>
      <c r="C43" s="264"/>
      <c r="D43" s="265"/>
      <c r="E43" s="261"/>
      <c r="F43" s="489"/>
      <c r="G43" s="489"/>
      <c r="H43" s="489"/>
      <c r="I43" s="489"/>
      <c r="J43" s="489"/>
      <c r="K43" s="489"/>
      <c r="L43" s="489"/>
      <c r="M43" s="489"/>
      <c r="N43" s="489">
        <v>5</v>
      </c>
      <c r="O43" s="489"/>
      <c r="P43" s="490">
        <f t="shared" si="0"/>
        <v>5</v>
      </c>
    </row>
    <row r="44" spans="1:16" ht="16.5" thickBot="1" x14ac:dyDescent="0.3">
      <c r="A44" s="255">
        <v>1000214</v>
      </c>
      <c r="B44" s="255" t="s">
        <v>49</v>
      </c>
      <c r="C44" s="264"/>
      <c r="D44" s="265"/>
      <c r="E44" s="261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P44" s="486">
        <f t="shared" si="0"/>
        <v>0</v>
      </c>
    </row>
    <row r="45" spans="1:16" ht="16.5" thickBot="1" x14ac:dyDescent="0.3">
      <c r="A45" s="262">
        <v>1000105</v>
      </c>
      <c r="B45" s="248" t="s">
        <v>58</v>
      </c>
      <c r="C45" s="263"/>
      <c r="D45" s="171"/>
      <c r="E45" s="260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6">
        <f t="shared" si="0"/>
        <v>0</v>
      </c>
    </row>
    <row r="46" spans="1:16" ht="16.5" thickBot="1" x14ac:dyDescent="0.3">
      <c r="A46" s="262">
        <v>1000064</v>
      </c>
      <c r="B46" s="248" t="s">
        <v>64</v>
      </c>
      <c r="C46" s="264"/>
      <c r="D46" s="265"/>
      <c r="E46" s="261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6">
        <f t="shared" si="0"/>
        <v>0</v>
      </c>
    </row>
    <row r="47" spans="1:16" ht="16.5" thickBot="1" x14ac:dyDescent="0.3">
      <c r="A47" s="262">
        <v>1000441</v>
      </c>
      <c r="B47" s="248" t="s">
        <v>200</v>
      </c>
      <c r="C47" s="263"/>
      <c r="D47" s="171"/>
      <c r="E47" s="260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6">
        <f t="shared" si="0"/>
        <v>0</v>
      </c>
    </row>
    <row r="48" spans="1:16" ht="16.5" thickBot="1" x14ac:dyDescent="0.3">
      <c r="A48" s="262">
        <v>1000087</v>
      </c>
      <c r="B48" s="248" t="s">
        <v>197</v>
      </c>
      <c r="C48" s="263"/>
      <c r="D48" s="171"/>
      <c r="E48" s="260"/>
      <c r="F48" s="489"/>
      <c r="G48" s="489"/>
      <c r="H48" s="489"/>
      <c r="I48" s="489"/>
      <c r="J48" s="489"/>
      <c r="K48" s="489"/>
      <c r="L48" s="489"/>
      <c r="M48" s="489"/>
      <c r="N48" s="489">
        <v>1</v>
      </c>
      <c r="O48" s="489"/>
      <c r="P48" s="486">
        <f t="shared" si="0"/>
        <v>1</v>
      </c>
    </row>
    <row r="49" spans="1:16" ht="16.5" thickBot="1" x14ac:dyDescent="0.3">
      <c r="A49" s="248">
        <v>1000436</v>
      </c>
      <c r="B49" s="248" t="s">
        <v>276</v>
      </c>
      <c r="C49" s="496"/>
      <c r="D49" s="491"/>
      <c r="E49" s="501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6">
        <f t="shared" si="0"/>
        <v>0</v>
      </c>
    </row>
    <row r="50" spans="1:16" ht="16.5" thickBot="1" x14ac:dyDescent="0.3">
      <c r="A50" s="248">
        <v>1000550</v>
      </c>
      <c r="B50" s="248" t="s">
        <v>277</v>
      </c>
      <c r="C50" s="496"/>
      <c r="D50" s="491"/>
      <c r="E50" s="501"/>
      <c r="F50" s="489"/>
      <c r="G50" s="489"/>
      <c r="H50" s="489"/>
      <c r="I50" s="489"/>
      <c r="J50" s="489"/>
      <c r="K50" s="489"/>
      <c r="L50" s="489"/>
      <c r="M50" s="489"/>
      <c r="N50" s="489"/>
      <c r="O50" s="489"/>
      <c r="P50" s="486">
        <f t="shared" si="0"/>
        <v>0</v>
      </c>
    </row>
    <row r="51" spans="1:16" ht="16.5" thickBot="1" x14ac:dyDescent="0.3">
      <c r="A51" s="248">
        <v>1000551</v>
      </c>
      <c r="B51" s="248" t="s">
        <v>278</v>
      </c>
      <c r="C51" s="496"/>
      <c r="D51" s="491"/>
      <c r="E51" s="501"/>
      <c r="F51" s="489"/>
      <c r="G51" s="489"/>
      <c r="H51" s="489"/>
      <c r="I51" s="489"/>
      <c r="J51" s="489"/>
      <c r="K51" s="489"/>
      <c r="L51" s="489"/>
      <c r="M51" s="489"/>
      <c r="N51" s="489"/>
      <c r="O51" s="489"/>
      <c r="P51" s="486">
        <f t="shared" si="0"/>
        <v>0</v>
      </c>
    </row>
    <row r="52" spans="1:16" ht="16.5" thickBot="1" x14ac:dyDescent="0.3">
      <c r="A52" s="248">
        <v>1000552</v>
      </c>
      <c r="B52" s="248" t="s">
        <v>279</v>
      </c>
      <c r="C52" s="496"/>
      <c r="D52" s="491"/>
      <c r="E52" s="501"/>
      <c r="F52" s="489"/>
      <c r="G52" s="489"/>
      <c r="H52" s="489"/>
      <c r="I52" s="489"/>
      <c r="J52" s="489"/>
      <c r="K52" s="489"/>
      <c r="L52" s="489"/>
      <c r="M52" s="489"/>
      <c r="N52" s="489"/>
      <c r="O52" s="489"/>
      <c r="P52" s="486">
        <f t="shared" si="0"/>
        <v>0</v>
      </c>
    </row>
    <row r="53" spans="1:16" s="200" customFormat="1" thickBot="1" x14ac:dyDescent="0.3">
      <c r="A53" s="495">
        <v>1000080</v>
      </c>
      <c r="B53" s="17" t="s">
        <v>275</v>
      </c>
      <c r="C53" s="487"/>
      <c r="D53" s="502"/>
      <c r="E53" s="485"/>
      <c r="F53" s="489"/>
      <c r="G53" s="489"/>
      <c r="H53" s="489"/>
      <c r="I53" s="489"/>
      <c r="J53" s="489"/>
      <c r="K53" s="489"/>
      <c r="L53" s="489"/>
      <c r="M53" s="489"/>
      <c r="N53" s="489"/>
      <c r="O53" s="489"/>
      <c r="P53" s="486">
        <f t="shared" si="0"/>
        <v>0</v>
      </c>
    </row>
    <row r="54" spans="1:16" ht="16.5" thickBot="1" x14ac:dyDescent="0.3">
      <c r="A54" s="35">
        <v>1000050</v>
      </c>
      <c r="B54" s="55" t="s">
        <v>22</v>
      </c>
      <c r="D54" s="46"/>
      <c r="F54" s="489"/>
      <c r="G54" s="489"/>
      <c r="H54" s="489">
        <v>4</v>
      </c>
      <c r="I54" s="489"/>
      <c r="J54" s="489">
        <v>3</v>
      </c>
      <c r="K54" s="489"/>
      <c r="L54" s="489">
        <v>4</v>
      </c>
      <c r="M54" s="489"/>
      <c r="N54" s="489"/>
      <c r="O54" s="489"/>
      <c r="P54" s="490">
        <f t="shared" si="0"/>
        <v>11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85AD-C67F-48B1-AE00-63123E01D24C}">
  <sheetPr>
    <tabColor rgb="FF7030A0"/>
    <pageSetUpPr fitToPage="1"/>
  </sheetPr>
  <dimension ref="A1:P53"/>
  <sheetViews>
    <sheetView topLeftCell="A22" zoomScale="80" zoomScaleNormal="80" workbookViewId="0">
      <selection activeCell="U51" sqref="U5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0.875" style="27" customWidth="1"/>
    <col min="4" max="4" width="8.375" style="27" bestFit="1" customWidth="1"/>
    <col min="5" max="5" width="1.125" style="27" customWidth="1"/>
    <col min="6" max="6" width="9.125" style="27" bestFit="1" customWidth="1"/>
    <col min="7" max="7" width="5.5" style="27" customWidth="1"/>
    <col min="8" max="8" width="9.125" style="27" bestFit="1" customWidth="1"/>
    <col min="9" max="9" width="5.375" style="27" customWidth="1"/>
    <col min="10" max="10" width="9.125" style="27" bestFit="1" customWidth="1"/>
    <col min="11" max="11" width="5.125" style="27" customWidth="1"/>
    <col min="12" max="12" width="9.125" style="27" bestFit="1" customWidth="1"/>
    <col min="13" max="13" width="8.625" style="27" bestFit="1" customWidth="1"/>
    <col min="14" max="14" width="9.125" style="27" customWidth="1"/>
    <col min="15" max="15" width="6" style="27" customWidth="1"/>
    <col min="16" max="16" width="11.875" style="27" customWidth="1"/>
    <col min="17" max="16384" width="10.875" style="27"/>
  </cols>
  <sheetData>
    <row r="1" spans="1:16" ht="15" customHeight="1" x14ac:dyDescent="0.45">
      <c r="A1" s="686" t="s">
        <v>177</v>
      </c>
      <c r="B1" s="687"/>
      <c r="C1" s="18"/>
      <c r="D1" s="485"/>
      <c r="E1" s="485"/>
      <c r="F1" s="751" t="s">
        <v>474</v>
      </c>
      <c r="G1" s="752"/>
      <c r="H1" s="752"/>
      <c r="I1" s="752"/>
      <c r="J1" s="753"/>
      <c r="K1" s="2"/>
      <c r="L1"/>
      <c r="M1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  <c r="L2"/>
      <c r="M2"/>
    </row>
    <row r="3" spans="1:16" s="3" customFormat="1" ht="19.5" customHeight="1" thickBot="1" x14ac:dyDescent="0.3">
      <c r="A3" s="5"/>
      <c r="B3" s="5" t="s">
        <v>437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486">
        <v>10211</v>
      </c>
      <c r="B5" s="11" t="s">
        <v>3</v>
      </c>
      <c r="C5" s="487"/>
      <c r="D5" s="488">
        <v>200</v>
      </c>
      <c r="E5" s="485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9">
        <f>SUM(F5:O5)</f>
        <v>0</v>
      </c>
    </row>
    <row r="6" spans="1:16" ht="16.5" customHeight="1" thickBot="1" x14ac:dyDescent="0.3">
      <c r="A6" s="491">
        <v>1000006</v>
      </c>
      <c r="B6" s="12" t="s">
        <v>4</v>
      </c>
      <c r="C6" s="487"/>
      <c r="D6" s="492">
        <v>50</v>
      </c>
      <c r="E6" s="485"/>
      <c r="F6" s="489">
        <v>100</v>
      </c>
      <c r="G6" s="489"/>
      <c r="H6" s="489"/>
      <c r="I6" s="489"/>
      <c r="J6" s="489">
        <v>100</v>
      </c>
      <c r="K6" s="489"/>
      <c r="L6" s="489"/>
      <c r="M6" s="489"/>
      <c r="N6" s="489">
        <v>100</v>
      </c>
      <c r="O6" s="489"/>
      <c r="P6" s="555">
        <f t="shared" ref="P6:P52" si="0">SUM(F6:O6)</f>
        <v>300</v>
      </c>
    </row>
    <row r="7" spans="1:16" ht="16.5" customHeight="1" thickBot="1" x14ac:dyDescent="0.3">
      <c r="A7" s="491">
        <v>1000007</v>
      </c>
      <c r="B7" s="12" t="s">
        <v>5</v>
      </c>
      <c r="C7" s="487"/>
      <c r="D7" s="492">
        <v>100</v>
      </c>
      <c r="E7" s="485"/>
      <c r="F7" s="489"/>
      <c r="G7" s="489"/>
      <c r="H7" s="489"/>
      <c r="I7" s="489"/>
      <c r="J7" s="489">
        <v>100</v>
      </c>
      <c r="K7" s="489"/>
      <c r="L7" s="489"/>
      <c r="M7" s="489"/>
      <c r="N7" s="489">
        <v>100</v>
      </c>
      <c r="O7" s="489"/>
      <c r="P7" s="555">
        <f t="shared" si="0"/>
        <v>200</v>
      </c>
    </row>
    <row r="8" spans="1:16" ht="16.5" customHeight="1" thickBot="1" x14ac:dyDescent="0.3">
      <c r="A8" s="491">
        <v>1000001</v>
      </c>
      <c r="B8" s="12" t="s">
        <v>8</v>
      </c>
      <c r="C8" s="487"/>
      <c r="D8" s="492">
        <v>6</v>
      </c>
      <c r="E8" s="485"/>
      <c r="F8" s="489">
        <v>2</v>
      </c>
      <c r="G8" s="489"/>
      <c r="H8" s="489">
        <v>2</v>
      </c>
      <c r="I8" s="489"/>
      <c r="J8" s="489">
        <v>2</v>
      </c>
      <c r="K8" s="489"/>
      <c r="L8" s="489"/>
      <c r="M8" s="489"/>
      <c r="N8" s="489"/>
      <c r="O8" s="489"/>
      <c r="P8" s="555">
        <f t="shared" si="0"/>
        <v>6</v>
      </c>
    </row>
    <row r="9" spans="1:16" ht="16.5" customHeight="1" thickBot="1" x14ac:dyDescent="0.3">
      <c r="A9" s="491">
        <v>1000067</v>
      </c>
      <c r="B9" s="12" t="s">
        <v>11</v>
      </c>
      <c r="C9" s="487"/>
      <c r="D9" s="492">
        <v>1</v>
      </c>
      <c r="E9" s="485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>
        <f t="shared" si="0"/>
        <v>0</v>
      </c>
    </row>
    <row r="10" spans="1:16" ht="16.5" customHeight="1" thickBot="1" x14ac:dyDescent="0.3">
      <c r="A10" s="491">
        <v>1000054</v>
      </c>
      <c r="B10" s="12" t="s">
        <v>12</v>
      </c>
      <c r="C10" s="487"/>
      <c r="D10" s="492">
        <v>10</v>
      </c>
      <c r="E10" s="485"/>
      <c r="F10" s="489"/>
      <c r="G10" s="489"/>
      <c r="H10" s="489">
        <v>10</v>
      </c>
      <c r="I10" s="489"/>
      <c r="J10" s="489">
        <v>5</v>
      </c>
      <c r="K10" s="489"/>
      <c r="L10" s="489">
        <v>20</v>
      </c>
      <c r="M10" s="489"/>
      <c r="N10" s="489">
        <v>20</v>
      </c>
      <c r="O10" s="489"/>
      <c r="P10" s="555">
        <f t="shared" si="0"/>
        <v>55</v>
      </c>
    </row>
    <row r="11" spans="1:16" ht="15.75" thickBot="1" x14ac:dyDescent="0.3">
      <c r="A11" s="491">
        <v>1000017</v>
      </c>
      <c r="B11" s="12" t="s">
        <v>14</v>
      </c>
      <c r="C11" s="487"/>
      <c r="D11" s="492">
        <v>40</v>
      </c>
      <c r="E11" s="485"/>
      <c r="F11" s="489">
        <v>20</v>
      </c>
      <c r="G11" s="489"/>
      <c r="H11" s="489">
        <v>10</v>
      </c>
      <c r="I11" s="489"/>
      <c r="J11" s="489">
        <v>5</v>
      </c>
      <c r="K11" s="489"/>
      <c r="L11" s="489">
        <v>20</v>
      </c>
      <c r="M11" s="489"/>
      <c r="N11" s="489">
        <v>20</v>
      </c>
      <c r="O11" s="489"/>
      <c r="P11" s="555">
        <f t="shared" si="0"/>
        <v>75</v>
      </c>
    </row>
    <row r="12" spans="1:16" s="15" customFormat="1" ht="15.95" customHeight="1" thickBot="1" x14ac:dyDescent="0.3">
      <c r="A12" s="491">
        <v>1000031</v>
      </c>
      <c r="B12" s="12" t="s">
        <v>25</v>
      </c>
      <c r="C12" s="487"/>
      <c r="D12" s="492">
        <v>2</v>
      </c>
      <c r="E12" s="485"/>
      <c r="F12" s="489"/>
      <c r="G12" s="489"/>
      <c r="H12" s="489">
        <v>4</v>
      </c>
      <c r="I12" s="489"/>
      <c r="J12" s="489">
        <v>3</v>
      </c>
      <c r="K12" s="489"/>
      <c r="L12" s="489">
        <v>4</v>
      </c>
      <c r="M12" s="489"/>
      <c r="N12" s="489"/>
      <c r="O12" s="489"/>
      <c r="P12" s="555">
        <f t="shared" si="0"/>
        <v>11</v>
      </c>
    </row>
    <row r="13" spans="1:16" ht="15.75" thickBot="1" x14ac:dyDescent="0.3">
      <c r="A13" s="491">
        <v>1000025</v>
      </c>
      <c r="B13" s="12" t="s">
        <v>32</v>
      </c>
      <c r="C13" s="487"/>
      <c r="D13" s="492">
        <v>10</v>
      </c>
      <c r="E13" s="485"/>
      <c r="F13" s="489">
        <v>5</v>
      </c>
      <c r="G13" s="489"/>
      <c r="H13" s="489"/>
      <c r="I13" s="489"/>
      <c r="J13" s="489"/>
      <c r="K13" s="489"/>
      <c r="L13" s="489"/>
      <c r="M13" s="489"/>
      <c r="N13" s="489">
        <v>5</v>
      </c>
      <c r="O13" s="489"/>
      <c r="P13" s="555">
        <f t="shared" si="0"/>
        <v>10</v>
      </c>
    </row>
    <row r="14" spans="1:16" ht="15.75" thickBot="1" x14ac:dyDescent="0.3">
      <c r="A14" s="491">
        <v>1000082</v>
      </c>
      <c r="B14" s="12" t="s">
        <v>37</v>
      </c>
      <c r="C14" s="487"/>
      <c r="D14" s="492">
        <f>16+8+12</f>
        <v>36</v>
      </c>
      <c r="E14" s="485"/>
      <c r="F14" s="489"/>
      <c r="G14" s="489"/>
      <c r="H14" s="489">
        <v>16</v>
      </c>
      <c r="I14" s="489"/>
      <c r="J14" s="489">
        <v>16</v>
      </c>
      <c r="K14" s="489"/>
      <c r="L14" s="489">
        <v>16</v>
      </c>
      <c r="M14" s="489"/>
      <c r="N14" s="489">
        <v>16</v>
      </c>
      <c r="O14" s="489"/>
      <c r="P14" s="555">
        <f t="shared" si="0"/>
        <v>64</v>
      </c>
    </row>
    <row r="15" spans="1:16" ht="15.75" thickBot="1" x14ac:dyDescent="0.3">
      <c r="A15" s="491">
        <v>1000084</v>
      </c>
      <c r="B15" s="12" t="s">
        <v>38</v>
      </c>
      <c r="C15" s="487"/>
      <c r="D15" s="492">
        <v>4</v>
      </c>
      <c r="E15" s="485"/>
      <c r="F15" s="489">
        <v>12</v>
      </c>
      <c r="G15" s="489"/>
      <c r="H15" s="489"/>
      <c r="I15" s="489"/>
      <c r="J15" s="489">
        <v>12</v>
      </c>
      <c r="K15" s="489"/>
      <c r="L15" s="489">
        <v>12</v>
      </c>
      <c r="M15" s="489"/>
      <c r="N15" s="489">
        <v>8</v>
      </c>
      <c r="O15" s="489"/>
      <c r="P15" s="555">
        <f t="shared" si="0"/>
        <v>44</v>
      </c>
    </row>
    <row r="16" spans="1:16" ht="15.75" thickBot="1" x14ac:dyDescent="0.3">
      <c r="A16" s="491">
        <v>1000146</v>
      </c>
      <c r="B16" s="12" t="s">
        <v>39</v>
      </c>
      <c r="C16" s="487"/>
      <c r="D16" s="492">
        <v>16</v>
      </c>
      <c r="E16" s="485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9">
        <f t="shared" si="0"/>
        <v>0</v>
      </c>
    </row>
    <row r="17" spans="1:16" ht="15.75" thickBot="1" x14ac:dyDescent="0.3">
      <c r="A17" s="491">
        <v>1000090</v>
      </c>
      <c r="B17" s="12" t="s">
        <v>40</v>
      </c>
      <c r="C17" s="487"/>
      <c r="D17" s="492">
        <v>10</v>
      </c>
      <c r="E17" s="485"/>
      <c r="F17" s="489"/>
      <c r="G17" s="489"/>
      <c r="H17" s="489"/>
      <c r="I17" s="489"/>
      <c r="J17" s="489">
        <v>6</v>
      </c>
      <c r="K17" s="489"/>
      <c r="L17" s="489"/>
      <c r="M17" s="489"/>
      <c r="N17" s="489">
        <v>4</v>
      </c>
      <c r="O17" s="489"/>
      <c r="P17" s="555">
        <f t="shared" si="0"/>
        <v>10</v>
      </c>
    </row>
    <row r="18" spans="1:16" ht="15.75" thickBot="1" x14ac:dyDescent="0.3">
      <c r="A18" s="491">
        <v>1000052</v>
      </c>
      <c r="B18" s="12" t="s">
        <v>41</v>
      </c>
      <c r="C18" s="487"/>
      <c r="D18" s="492">
        <v>2</v>
      </c>
      <c r="E18" s="485"/>
      <c r="F18" s="489">
        <v>2</v>
      </c>
      <c r="G18" s="489"/>
      <c r="H18" s="489"/>
      <c r="I18" s="489"/>
      <c r="J18" s="489">
        <v>3</v>
      </c>
      <c r="K18" s="489"/>
      <c r="L18" s="489">
        <v>3</v>
      </c>
      <c r="M18" s="489"/>
      <c r="N18" s="489"/>
      <c r="O18" s="489"/>
      <c r="P18" s="555">
        <f t="shared" si="0"/>
        <v>8</v>
      </c>
    </row>
    <row r="19" spans="1:16" ht="15.75" thickBot="1" x14ac:dyDescent="0.3">
      <c r="A19" s="491">
        <v>1000089</v>
      </c>
      <c r="B19" s="12" t="s">
        <v>42</v>
      </c>
      <c r="C19" s="487"/>
      <c r="D19" s="492">
        <v>2</v>
      </c>
      <c r="E19" s="485"/>
      <c r="F19" s="489">
        <v>3</v>
      </c>
      <c r="G19" s="489"/>
      <c r="H19" s="489">
        <v>3</v>
      </c>
      <c r="I19" s="489"/>
      <c r="J19" s="489">
        <v>3</v>
      </c>
      <c r="K19" s="489"/>
      <c r="L19" s="489"/>
      <c r="M19" s="489"/>
      <c r="N19" s="489">
        <v>3</v>
      </c>
      <c r="O19" s="489"/>
      <c r="P19" s="555">
        <f t="shared" si="0"/>
        <v>12</v>
      </c>
    </row>
    <row r="20" spans="1:16" ht="15.75" thickBot="1" x14ac:dyDescent="0.3">
      <c r="A20" s="491">
        <v>1000008</v>
      </c>
      <c r="B20" s="12" t="s">
        <v>7</v>
      </c>
      <c r="C20" s="487"/>
      <c r="D20" s="492">
        <v>50</v>
      </c>
      <c r="E20" s="485"/>
      <c r="F20" s="489">
        <v>100</v>
      </c>
      <c r="G20" s="489"/>
      <c r="H20" s="489"/>
      <c r="I20" s="489"/>
      <c r="J20" s="489"/>
      <c r="K20" s="489"/>
      <c r="L20" s="489"/>
      <c r="M20" s="489"/>
      <c r="N20" s="489"/>
      <c r="O20" s="489"/>
      <c r="P20" s="555">
        <f t="shared" si="0"/>
        <v>100</v>
      </c>
    </row>
    <row r="21" spans="1:16" ht="15.75" thickBot="1" x14ac:dyDescent="0.3">
      <c r="A21" s="491">
        <v>1000051</v>
      </c>
      <c r="B21" s="12" t="s">
        <v>43</v>
      </c>
      <c r="C21" s="487"/>
      <c r="D21" s="492"/>
      <c r="E21" s="485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9">
        <f t="shared" si="0"/>
        <v>0</v>
      </c>
    </row>
    <row r="22" spans="1:16" ht="15.75" thickBot="1" x14ac:dyDescent="0.3">
      <c r="A22" s="491">
        <v>1000048</v>
      </c>
      <c r="B22" s="12" t="s">
        <v>45</v>
      </c>
      <c r="C22" s="487"/>
      <c r="D22" s="492"/>
      <c r="E22" s="485"/>
      <c r="F22" s="489">
        <v>2</v>
      </c>
      <c r="G22" s="489"/>
      <c r="H22" s="489">
        <v>2</v>
      </c>
      <c r="I22" s="489"/>
      <c r="J22" s="489"/>
      <c r="K22" s="489"/>
      <c r="L22" s="489"/>
      <c r="M22" s="489"/>
      <c r="N22" s="489"/>
      <c r="O22" s="489"/>
      <c r="P22" s="555">
        <f t="shared" si="0"/>
        <v>4</v>
      </c>
    </row>
    <row r="23" spans="1:16" ht="15.75" thickBot="1" x14ac:dyDescent="0.3">
      <c r="A23" s="491">
        <v>1000002</v>
      </c>
      <c r="B23" s="12" t="s">
        <v>9</v>
      </c>
      <c r="C23" s="487"/>
      <c r="D23" s="492"/>
      <c r="E23" s="485"/>
      <c r="F23" s="489"/>
      <c r="G23" s="489"/>
      <c r="H23" s="489">
        <v>1</v>
      </c>
      <c r="I23" s="489"/>
      <c r="J23" s="489"/>
      <c r="K23" s="489"/>
      <c r="L23" s="489"/>
      <c r="M23" s="489"/>
      <c r="N23" s="489"/>
      <c r="O23" s="489"/>
      <c r="P23" s="555">
        <f t="shared" si="0"/>
        <v>1</v>
      </c>
    </row>
    <row r="24" spans="1:16" ht="15.75" thickBot="1" x14ac:dyDescent="0.3">
      <c r="A24" s="491">
        <v>1000016</v>
      </c>
      <c r="B24" s="12" t="s">
        <v>15</v>
      </c>
      <c r="C24" s="487"/>
      <c r="D24" s="492"/>
      <c r="E24" s="485"/>
      <c r="F24" s="489">
        <v>5</v>
      </c>
      <c r="G24" s="489"/>
      <c r="H24" s="489">
        <v>5</v>
      </c>
      <c r="I24" s="489"/>
      <c r="J24" s="489"/>
      <c r="K24" s="489"/>
      <c r="L24" s="489"/>
      <c r="M24" s="489"/>
      <c r="N24" s="489">
        <v>5</v>
      </c>
      <c r="O24" s="489"/>
      <c r="P24" s="555">
        <f t="shared" si="0"/>
        <v>15</v>
      </c>
    </row>
    <row r="25" spans="1:16" ht="15.75" thickBot="1" x14ac:dyDescent="0.3">
      <c r="A25" s="491">
        <v>1000076</v>
      </c>
      <c r="B25" s="12" t="s">
        <v>46</v>
      </c>
      <c r="C25" s="487"/>
      <c r="D25" s="492"/>
      <c r="E25" s="485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9">
        <f t="shared" si="0"/>
        <v>0</v>
      </c>
    </row>
    <row r="26" spans="1:16" ht="15.75" thickBot="1" x14ac:dyDescent="0.3">
      <c r="A26" s="491">
        <v>10000102</v>
      </c>
      <c r="B26" s="12" t="s">
        <v>2</v>
      </c>
      <c r="C26" s="487"/>
      <c r="D26" s="492"/>
      <c r="E26" s="485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>
        <f t="shared" si="0"/>
        <v>0</v>
      </c>
    </row>
    <row r="27" spans="1:16" ht="15.75" thickBot="1" x14ac:dyDescent="0.3">
      <c r="A27" s="491">
        <v>1000100</v>
      </c>
      <c r="B27" s="12" t="s">
        <v>34</v>
      </c>
      <c r="C27" s="487"/>
      <c r="D27" s="492"/>
      <c r="E27" s="485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>
        <f t="shared" si="0"/>
        <v>0</v>
      </c>
    </row>
    <row r="28" spans="1:16" ht="15.75" thickBot="1" x14ac:dyDescent="0.3">
      <c r="A28" s="491">
        <v>1000049</v>
      </c>
      <c r="B28" s="12" t="s">
        <v>21</v>
      </c>
      <c r="C28" s="487"/>
      <c r="D28" s="492"/>
      <c r="E28" s="485"/>
      <c r="F28" s="489"/>
      <c r="G28" s="489"/>
      <c r="H28" s="489">
        <v>2</v>
      </c>
      <c r="I28" s="489"/>
      <c r="J28" s="489"/>
      <c r="K28" s="489"/>
      <c r="L28" s="489">
        <v>2</v>
      </c>
      <c r="M28" s="489"/>
      <c r="N28" s="489"/>
      <c r="O28" s="489"/>
      <c r="P28" s="555">
        <f t="shared" si="0"/>
        <v>4</v>
      </c>
    </row>
    <row r="29" spans="1:16" ht="15.75" thickBot="1" x14ac:dyDescent="0.3">
      <c r="A29" s="491">
        <v>1000142</v>
      </c>
      <c r="B29" s="12" t="s">
        <v>54</v>
      </c>
      <c r="C29" s="487"/>
      <c r="D29" s="492"/>
      <c r="E29" s="485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9">
        <f t="shared" si="0"/>
        <v>0</v>
      </c>
    </row>
    <row r="30" spans="1:16" ht="15.75" thickBot="1" x14ac:dyDescent="0.3">
      <c r="A30" s="491">
        <v>1000070</v>
      </c>
      <c r="B30" s="12" t="s">
        <v>13</v>
      </c>
      <c r="C30" s="487"/>
      <c r="D30" s="492"/>
      <c r="E30" s="485"/>
      <c r="F30" s="489"/>
      <c r="G30" s="489"/>
      <c r="H30" s="489">
        <v>1</v>
      </c>
      <c r="I30" s="489"/>
      <c r="J30" s="489"/>
      <c r="K30" s="489"/>
      <c r="L30" s="489"/>
      <c r="M30" s="489"/>
      <c r="N30" s="489"/>
      <c r="O30" s="489"/>
      <c r="P30" s="555">
        <f t="shared" si="0"/>
        <v>1</v>
      </c>
    </row>
    <row r="31" spans="1:16" ht="15.75" thickBot="1" x14ac:dyDescent="0.3">
      <c r="A31" s="491">
        <v>1000214</v>
      </c>
      <c r="B31" s="12" t="s">
        <v>49</v>
      </c>
      <c r="C31" s="487"/>
      <c r="D31" s="492"/>
      <c r="E31" s="485"/>
      <c r="F31" s="489">
        <v>2</v>
      </c>
      <c r="G31" s="489"/>
      <c r="H31" s="489"/>
      <c r="I31" s="489"/>
      <c r="J31" s="489"/>
      <c r="K31" s="489"/>
      <c r="L31" s="489"/>
      <c r="M31" s="489"/>
      <c r="N31" s="489"/>
      <c r="O31" s="489"/>
      <c r="P31" s="555">
        <f t="shared" si="0"/>
        <v>2</v>
      </c>
    </row>
    <row r="32" spans="1:16" ht="15.75" thickBot="1" x14ac:dyDescent="0.3">
      <c r="A32" s="491">
        <v>1000147</v>
      </c>
      <c r="B32" s="12" t="s">
        <v>52</v>
      </c>
      <c r="C32" s="487"/>
      <c r="D32" s="492"/>
      <c r="E32" s="485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9">
        <f t="shared" si="0"/>
        <v>0</v>
      </c>
    </row>
    <row r="33" spans="1:16" ht="15.75" thickBot="1" x14ac:dyDescent="0.3">
      <c r="A33" s="491">
        <v>1000101</v>
      </c>
      <c r="B33" s="12" t="s">
        <v>35</v>
      </c>
      <c r="C33" s="487"/>
      <c r="D33" s="492"/>
      <c r="E33" s="485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9">
        <f t="shared" si="0"/>
        <v>0</v>
      </c>
    </row>
    <row r="34" spans="1:16" ht="15.75" thickBot="1" x14ac:dyDescent="0.3">
      <c r="A34" s="491">
        <v>1000033</v>
      </c>
      <c r="B34" s="12" t="s">
        <v>27</v>
      </c>
      <c r="C34" s="487"/>
      <c r="D34" s="492"/>
      <c r="E34" s="48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9">
        <f t="shared" si="0"/>
        <v>0</v>
      </c>
    </row>
    <row r="35" spans="1:16" ht="15.75" thickBot="1" x14ac:dyDescent="0.3">
      <c r="A35" s="491">
        <v>10000015</v>
      </c>
      <c r="B35" s="12" t="s">
        <v>1</v>
      </c>
      <c r="C35" s="487"/>
      <c r="D35" s="492"/>
      <c r="E35" s="48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>
        <f t="shared" si="0"/>
        <v>0</v>
      </c>
    </row>
    <row r="36" spans="1:16" ht="15.75" thickBot="1" x14ac:dyDescent="0.3">
      <c r="A36" s="491">
        <v>1000004</v>
      </c>
      <c r="B36" s="12" t="s">
        <v>10</v>
      </c>
      <c r="C36" s="487"/>
      <c r="D36" s="492"/>
      <c r="E36" s="485"/>
      <c r="F36" s="489">
        <v>2</v>
      </c>
      <c r="G36" s="489"/>
      <c r="H36" s="489">
        <v>2</v>
      </c>
      <c r="I36" s="489"/>
      <c r="J36" s="489">
        <v>2</v>
      </c>
      <c r="K36" s="489"/>
      <c r="L36" s="489"/>
      <c r="M36" s="489"/>
      <c r="N36" s="489"/>
      <c r="O36" s="489"/>
      <c r="P36" s="555">
        <f t="shared" si="0"/>
        <v>6</v>
      </c>
    </row>
    <row r="37" spans="1:16" ht="15.75" thickBot="1" x14ac:dyDescent="0.3">
      <c r="A37" s="491">
        <v>1000412</v>
      </c>
      <c r="B37" s="12" t="s">
        <v>195</v>
      </c>
      <c r="C37" s="487"/>
      <c r="D37" s="492"/>
      <c r="E37" s="485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9">
        <f t="shared" si="0"/>
        <v>0</v>
      </c>
    </row>
    <row r="38" spans="1:16" ht="15.75" thickBot="1" x14ac:dyDescent="0.3">
      <c r="A38" s="491">
        <v>1000075</v>
      </c>
      <c r="B38" s="12" t="s">
        <v>47</v>
      </c>
      <c r="C38" s="487"/>
      <c r="D38" s="492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>
        <f t="shared" si="0"/>
        <v>0</v>
      </c>
    </row>
    <row r="39" spans="1:16" ht="15.75" thickBot="1" x14ac:dyDescent="0.3">
      <c r="A39" s="491">
        <v>10248</v>
      </c>
      <c r="B39" s="12" t="s">
        <v>183</v>
      </c>
      <c r="C39" s="487"/>
      <c r="D39" s="492"/>
      <c r="E39" s="485"/>
      <c r="F39" s="489">
        <v>12</v>
      </c>
      <c r="G39" s="489"/>
      <c r="H39" s="489">
        <v>9</v>
      </c>
      <c r="I39" s="489"/>
      <c r="J39" s="489"/>
      <c r="K39" s="489"/>
      <c r="L39" s="489">
        <v>12</v>
      </c>
      <c r="M39" s="489"/>
      <c r="N39" s="489"/>
      <c r="O39" s="489"/>
      <c r="P39" s="555">
        <f t="shared" si="0"/>
        <v>33</v>
      </c>
    </row>
    <row r="40" spans="1:16" ht="15.75" thickBot="1" x14ac:dyDescent="0.3">
      <c r="A40" s="491">
        <v>1000050</v>
      </c>
      <c r="B40" s="12" t="s">
        <v>22</v>
      </c>
      <c r="C40" s="487"/>
      <c r="D40" s="492"/>
      <c r="E40" s="485"/>
      <c r="F40" s="489"/>
      <c r="G40" s="489"/>
      <c r="H40" s="489">
        <v>2</v>
      </c>
      <c r="I40" s="489"/>
      <c r="J40" s="489"/>
      <c r="K40" s="489"/>
      <c r="L40" s="489">
        <v>2</v>
      </c>
      <c r="M40" s="489"/>
      <c r="N40" s="489"/>
      <c r="O40" s="489"/>
      <c r="P40" s="555">
        <f t="shared" si="0"/>
        <v>4</v>
      </c>
    </row>
    <row r="41" spans="1:16" ht="15.75" thickBot="1" x14ac:dyDescent="0.3">
      <c r="A41" s="491">
        <v>1000472</v>
      </c>
      <c r="B41" s="12" t="s">
        <v>222</v>
      </c>
      <c r="C41" s="487"/>
      <c r="D41" s="492"/>
      <c r="E41" s="485"/>
      <c r="F41" s="489"/>
      <c r="G41" s="489"/>
      <c r="H41" s="489"/>
      <c r="I41" s="489"/>
      <c r="J41" s="489"/>
      <c r="K41" s="489"/>
      <c r="L41" s="489"/>
      <c r="M41" s="489"/>
      <c r="N41" s="489"/>
      <c r="O41" s="489"/>
      <c r="P41" s="489">
        <f t="shared" si="0"/>
        <v>0</v>
      </c>
    </row>
    <row r="42" spans="1:16" ht="15.75" thickBot="1" x14ac:dyDescent="0.3">
      <c r="A42" s="491">
        <v>1000205</v>
      </c>
      <c r="B42" s="12" t="s">
        <v>82</v>
      </c>
      <c r="C42" s="487"/>
      <c r="D42" s="492"/>
      <c r="E42" s="485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9">
        <f t="shared" si="0"/>
        <v>0</v>
      </c>
    </row>
    <row r="43" spans="1:16" ht="15.75" thickBot="1" x14ac:dyDescent="0.3">
      <c r="A43" s="491">
        <v>1000030</v>
      </c>
      <c r="B43" s="12" t="s">
        <v>24</v>
      </c>
      <c r="C43" s="487"/>
      <c r="D43" s="492"/>
      <c r="E43" s="485"/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9">
        <f t="shared" si="0"/>
        <v>0</v>
      </c>
    </row>
    <row r="44" spans="1:16" ht="15.75" thickBot="1" x14ac:dyDescent="0.3">
      <c r="A44" s="491">
        <v>1000073</v>
      </c>
      <c r="B44" s="12" t="s">
        <v>36</v>
      </c>
      <c r="C44" s="487"/>
      <c r="D44" s="492"/>
      <c r="E44" s="485"/>
      <c r="F44" s="489"/>
      <c r="G44" s="489"/>
      <c r="H44" s="489">
        <v>2</v>
      </c>
      <c r="I44" s="489"/>
      <c r="J44" s="489"/>
      <c r="K44" s="489"/>
      <c r="L44" s="489"/>
      <c r="M44" s="489"/>
      <c r="N44" s="489"/>
      <c r="O44" s="489"/>
      <c r="P44" s="555">
        <f t="shared" si="0"/>
        <v>2</v>
      </c>
    </row>
    <row r="45" spans="1:16" ht="15.75" thickBot="1" x14ac:dyDescent="0.3">
      <c r="A45" s="491">
        <v>1000080</v>
      </c>
      <c r="B45" s="12" t="s">
        <v>275</v>
      </c>
      <c r="C45" s="487"/>
      <c r="D45" s="492"/>
      <c r="E45" s="485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9">
        <f t="shared" si="0"/>
        <v>0</v>
      </c>
    </row>
    <row r="46" spans="1:16" ht="15.75" thickBot="1" x14ac:dyDescent="0.3">
      <c r="A46" s="491">
        <v>1000436</v>
      </c>
      <c r="B46" s="12" t="s">
        <v>276</v>
      </c>
      <c r="C46" s="487"/>
      <c r="D46" s="492"/>
      <c r="E46" s="485"/>
      <c r="F46" s="489"/>
      <c r="G46" s="489"/>
      <c r="H46" s="489"/>
      <c r="I46" s="489"/>
      <c r="J46" s="489">
        <v>10</v>
      </c>
      <c r="K46" s="489"/>
      <c r="L46" s="489"/>
      <c r="M46" s="489"/>
      <c r="N46" s="489"/>
      <c r="O46" s="489"/>
      <c r="P46" s="555">
        <f t="shared" si="0"/>
        <v>10</v>
      </c>
    </row>
    <row r="47" spans="1:16" ht="15.75" thickBot="1" x14ac:dyDescent="0.3">
      <c r="A47" s="491">
        <v>1000550</v>
      </c>
      <c r="B47" s="12" t="s">
        <v>277</v>
      </c>
      <c r="C47" s="487"/>
      <c r="D47" s="492"/>
      <c r="E47" s="485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>
        <f t="shared" si="0"/>
        <v>0</v>
      </c>
    </row>
    <row r="48" spans="1:16" ht="15.75" thickBot="1" x14ac:dyDescent="0.3">
      <c r="A48" s="491">
        <v>1000551</v>
      </c>
      <c r="B48" s="12" t="s">
        <v>278</v>
      </c>
      <c r="C48" s="487"/>
      <c r="D48" s="492"/>
      <c r="E48" s="485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9">
        <f t="shared" si="0"/>
        <v>0</v>
      </c>
    </row>
    <row r="49" spans="1:16" ht="15.75" thickBot="1" x14ac:dyDescent="0.3">
      <c r="A49" s="495">
        <v>1000552</v>
      </c>
      <c r="B49" s="17" t="s">
        <v>279</v>
      </c>
      <c r="C49" s="487"/>
      <c r="D49" s="502"/>
      <c r="E49" s="485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9">
        <f t="shared" si="0"/>
        <v>0</v>
      </c>
    </row>
    <row r="50" spans="1:16" ht="15.75" thickBot="1" x14ac:dyDescent="0.3">
      <c r="A50" s="491">
        <v>1000092</v>
      </c>
      <c r="B50" s="12" t="s">
        <v>51</v>
      </c>
      <c r="C50" s="485"/>
      <c r="D50" s="502"/>
      <c r="E50" s="485"/>
      <c r="F50" s="489"/>
      <c r="G50" s="489"/>
      <c r="H50" s="489">
        <v>1</v>
      </c>
      <c r="I50" s="489"/>
      <c r="J50" s="489"/>
      <c r="K50" s="489"/>
      <c r="L50" s="489"/>
      <c r="M50" s="489"/>
      <c r="N50" s="489"/>
      <c r="O50" s="489"/>
      <c r="P50" s="555">
        <f t="shared" si="0"/>
        <v>1</v>
      </c>
    </row>
    <row r="51" spans="1:16" ht="15.75" thickBot="1" x14ac:dyDescent="0.3">
      <c r="A51" s="491">
        <v>1000057</v>
      </c>
      <c r="B51" s="12" t="s">
        <v>70</v>
      </c>
      <c r="C51" s="485"/>
      <c r="D51" s="502"/>
      <c r="E51" s="485"/>
      <c r="F51" s="489"/>
      <c r="G51" s="489"/>
      <c r="H51" s="489">
        <v>1</v>
      </c>
      <c r="I51" s="489"/>
      <c r="J51" s="489"/>
      <c r="K51" s="489"/>
      <c r="L51" s="489"/>
      <c r="M51" s="489"/>
      <c r="N51" s="489"/>
      <c r="O51" s="489"/>
      <c r="P51" s="555">
        <f t="shared" si="0"/>
        <v>1</v>
      </c>
    </row>
    <row r="52" spans="1:16" ht="15.75" thickBot="1" x14ac:dyDescent="0.3">
      <c r="A52" s="12">
        <v>1000045</v>
      </c>
      <c r="B52" s="12" t="s">
        <v>23</v>
      </c>
      <c r="D52" s="46"/>
      <c r="F52" s="489"/>
      <c r="G52" s="489"/>
      <c r="H52" s="489"/>
      <c r="I52" s="489"/>
      <c r="J52" s="489"/>
      <c r="K52" s="489"/>
      <c r="L52" s="489">
        <v>4</v>
      </c>
      <c r="M52" s="489"/>
      <c r="N52" s="489"/>
      <c r="O52" s="489"/>
      <c r="P52" s="555">
        <f t="shared" si="0"/>
        <v>4</v>
      </c>
    </row>
    <row r="53" spans="1:16" ht="15.75" thickBot="1" x14ac:dyDescent="0.3">
      <c r="A53" s="255">
        <v>1000035</v>
      </c>
      <c r="B53" s="255" t="s">
        <v>29</v>
      </c>
      <c r="D53" s="46"/>
      <c r="F53" s="489"/>
      <c r="G53" s="489"/>
      <c r="H53" s="489"/>
      <c r="I53" s="489"/>
      <c r="J53" s="489"/>
      <c r="K53" s="489"/>
      <c r="L53" s="489"/>
      <c r="M53" s="489"/>
      <c r="N53" s="489"/>
      <c r="O53" s="489"/>
      <c r="P53" s="803">
        <f t="shared" ref="P53" si="1">SUM(F53:O53)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F50F-0ACE-431E-ADD0-50BCB66302CF}">
  <sheetPr>
    <tabColor rgb="FF7030A0"/>
    <pageSetUpPr fitToPage="1"/>
  </sheetPr>
  <dimension ref="A1:P60"/>
  <sheetViews>
    <sheetView topLeftCell="A8" zoomScale="70" zoomScaleNormal="70" workbookViewId="0">
      <selection activeCell="T50" sqref="T50"/>
    </sheetView>
  </sheetViews>
  <sheetFormatPr baseColWidth="10" defaultColWidth="10.875" defaultRowHeight="15" x14ac:dyDescent="0.25"/>
  <cols>
    <col min="1" max="1" width="10.375" style="27" customWidth="1"/>
    <col min="2" max="2" width="40.125" style="27" bestFit="1" customWidth="1"/>
    <col min="3" max="3" width="1.5" style="27" customWidth="1"/>
    <col min="4" max="4" width="8.125" style="27" bestFit="1" customWidth="1"/>
    <col min="5" max="5" width="1.125" style="27" customWidth="1"/>
    <col min="6" max="6" width="9.125" style="27" bestFit="1" customWidth="1"/>
    <col min="7" max="7" width="6.5" style="27" customWidth="1"/>
    <col min="8" max="8" width="9.125" style="27" bestFit="1" customWidth="1"/>
    <col min="9" max="9" width="6.25" style="27" customWidth="1"/>
    <col min="10" max="10" width="9.125" style="27" bestFit="1" customWidth="1"/>
    <col min="11" max="11" width="6.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6.875" style="27" customWidth="1"/>
    <col min="16" max="16384" width="10.875" style="27"/>
  </cols>
  <sheetData>
    <row r="1" spans="1:16" ht="15" customHeight="1" x14ac:dyDescent="0.45">
      <c r="A1" s="686" t="s">
        <v>126</v>
      </c>
      <c r="B1" s="687"/>
      <c r="C1" s="18"/>
      <c r="D1" s="485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350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485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486">
        <v>1000006</v>
      </c>
      <c r="B5" s="11" t="s">
        <v>4</v>
      </c>
      <c r="C5" s="487"/>
      <c r="D5" s="488">
        <v>30</v>
      </c>
      <c r="E5" s="485"/>
      <c r="F5" s="489">
        <v>50</v>
      </c>
      <c r="G5" s="489"/>
      <c r="H5" s="489"/>
      <c r="I5" s="489"/>
      <c r="J5" s="489"/>
      <c r="K5" s="489"/>
      <c r="L5" s="489"/>
      <c r="M5" s="489"/>
      <c r="N5" s="489">
        <v>50</v>
      </c>
      <c r="O5" s="489"/>
      <c r="P5" s="490">
        <f t="shared" ref="P5:P59" si="0">SUM(F5:O5)</f>
        <v>100</v>
      </c>
    </row>
    <row r="6" spans="1:16" ht="15.75" thickBot="1" x14ac:dyDescent="0.3">
      <c r="A6" s="491">
        <v>1000007</v>
      </c>
      <c r="B6" s="12" t="s">
        <v>5</v>
      </c>
      <c r="C6" s="487"/>
      <c r="D6" s="492">
        <v>30</v>
      </c>
      <c r="E6" s="485"/>
      <c r="F6" s="489">
        <v>50</v>
      </c>
      <c r="G6" s="489"/>
      <c r="H6" s="489"/>
      <c r="I6" s="489"/>
      <c r="J6" s="489"/>
      <c r="K6" s="489"/>
      <c r="L6" s="489"/>
      <c r="M6" s="489"/>
      <c r="N6" s="489">
        <v>50</v>
      </c>
      <c r="O6" s="489"/>
      <c r="P6" s="490">
        <f t="shared" si="0"/>
        <v>100</v>
      </c>
    </row>
    <row r="7" spans="1:16" ht="15.75" thickBot="1" x14ac:dyDescent="0.3">
      <c r="A7" s="491">
        <v>1000008</v>
      </c>
      <c r="B7" s="12" t="s">
        <v>7</v>
      </c>
      <c r="C7" s="487"/>
      <c r="D7" s="492">
        <v>10</v>
      </c>
      <c r="E7" s="485"/>
      <c r="F7" s="489"/>
      <c r="G7" s="489"/>
      <c r="H7" s="489"/>
      <c r="I7" s="489"/>
      <c r="J7" s="489"/>
      <c r="K7" s="489"/>
      <c r="L7" s="489"/>
      <c r="M7" s="489"/>
      <c r="N7" s="489"/>
      <c r="O7" s="489"/>
      <c r="P7" s="490">
        <f t="shared" si="0"/>
        <v>0</v>
      </c>
    </row>
    <row r="8" spans="1:16" ht="15.75" thickBot="1" x14ac:dyDescent="0.3">
      <c r="A8" s="491">
        <v>1000001</v>
      </c>
      <c r="B8" s="12" t="s">
        <v>8</v>
      </c>
      <c r="C8" s="487"/>
      <c r="D8" s="492">
        <v>4</v>
      </c>
      <c r="E8" s="485"/>
      <c r="F8" s="489">
        <v>2</v>
      </c>
      <c r="G8" s="489"/>
      <c r="H8" s="489"/>
      <c r="I8" s="489"/>
      <c r="J8" s="489">
        <v>2</v>
      </c>
      <c r="K8" s="489"/>
      <c r="L8" s="489"/>
      <c r="M8" s="489"/>
      <c r="N8" s="489">
        <v>2</v>
      </c>
      <c r="O8" s="489"/>
      <c r="P8" s="490">
        <f t="shared" si="0"/>
        <v>6</v>
      </c>
    </row>
    <row r="9" spans="1:16" ht="15.75" thickBot="1" x14ac:dyDescent="0.3">
      <c r="A9" s="491">
        <v>1000067</v>
      </c>
      <c r="B9" s="12" t="s">
        <v>11</v>
      </c>
      <c r="C9" s="487"/>
      <c r="D9" s="492">
        <v>0</v>
      </c>
      <c r="E9" s="485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6">
        <f t="shared" si="0"/>
        <v>0</v>
      </c>
    </row>
    <row r="10" spans="1:16" ht="15.75" thickBot="1" x14ac:dyDescent="0.3">
      <c r="A10" s="491">
        <v>1000054</v>
      </c>
      <c r="B10" s="12" t="s">
        <v>12</v>
      </c>
      <c r="C10" s="487"/>
      <c r="D10" s="492">
        <v>5</v>
      </c>
      <c r="E10" s="485"/>
      <c r="F10" s="489">
        <v>10</v>
      </c>
      <c r="G10" s="489"/>
      <c r="H10" s="489"/>
      <c r="I10" s="489"/>
      <c r="J10" s="489">
        <v>10</v>
      </c>
      <c r="K10" s="489"/>
      <c r="L10" s="489"/>
      <c r="M10" s="489"/>
      <c r="N10" s="489">
        <v>5</v>
      </c>
      <c r="O10" s="489"/>
      <c r="P10" s="490">
        <f t="shared" si="0"/>
        <v>25</v>
      </c>
    </row>
    <row r="11" spans="1:16" ht="15.75" thickBot="1" x14ac:dyDescent="0.3">
      <c r="A11" s="491">
        <v>1000017</v>
      </c>
      <c r="B11" s="12" t="s">
        <v>14</v>
      </c>
      <c r="C11" s="487"/>
      <c r="D11" s="492">
        <v>3</v>
      </c>
      <c r="E11" s="485"/>
      <c r="F11" s="489">
        <v>10</v>
      </c>
      <c r="G11" s="489"/>
      <c r="H11" s="489"/>
      <c r="I11" s="489"/>
      <c r="J11" s="489">
        <v>10</v>
      </c>
      <c r="K11" s="489"/>
      <c r="L11" s="489"/>
      <c r="M11" s="489"/>
      <c r="N11" s="489">
        <v>5</v>
      </c>
      <c r="O11" s="489"/>
      <c r="P11" s="490">
        <f t="shared" si="0"/>
        <v>25</v>
      </c>
    </row>
    <row r="12" spans="1:16" ht="15.75" thickBot="1" x14ac:dyDescent="0.3">
      <c r="A12" s="491">
        <v>1000016</v>
      </c>
      <c r="B12" s="12" t="s">
        <v>15</v>
      </c>
      <c r="C12" s="487"/>
      <c r="D12" s="492">
        <v>3</v>
      </c>
      <c r="E12" s="485"/>
      <c r="F12" s="489"/>
      <c r="G12" s="489"/>
      <c r="H12" s="489"/>
      <c r="I12" s="489"/>
      <c r="J12" s="489">
        <v>5</v>
      </c>
      <c r="K12" s="489"/>
      <c r="L12" s="489"/>
      <c r="M12" s="489"/>
      <c r="N12" s="489"/>
      <c r="O12" s="489"/>
      <c r="P12" s="490">
        <f t="shared" si="0"/>
        <v>5</v>
      </c>
    </row>
    <row r="13" spans="1:16" ht="15.75" thickBot="1" x14ac:dyDescent="0.3">
      <c r="A13" s="491">
        <v>1000050</v>
      </c>
      <c r="B13" s="12" t="s">
        <v>22</v>
      </c>
      <c r="C13" s="487"/>
      <c r="D13" s="492">
        <v>0</v>
      </c>
      <c r="E13" s="485"/>
      <c r="F13" s="489">
        <v>2</v>
      </c>
      <c r="G13" s="489"/>
      <c r="H13" s="489"/>
      <c r="I13" s="489"/>
      <c r="J13" s="489"/>
      <c r="K13" s="489"/>
      <c r="L13" s="489"/>
      <c r="M13" s="489"/>
      <c r="N13" s="489"/>
      <c r="O13" s="489"/>
      <c r="P13" s="490">
        <f t="shared" si="0"/>
        <v>2</v>
      </c>
    </row>
    <row r="14" spans="1:16" ht="15.75" thickBot="1" x14ac:dyDescent="0.3">
      <c r="A14" s="491">
        <v>1000031</v>
      </c>
      <c r="B14" s="12" t="s">
        <v>25</v>
      </c>
      <c r="C14" s="487"/>
      <c r="D14" s="492">
        <v>1</v>
      </c>
      <c r="E14" s="485"/>
      <c r="F14" s="489"/>
      <c r="G14" s="489"/>
      <c r="H14" s="489"/>
      <c r="I14" s="489"/>
      <c r="J14" s="489"/>
      <c r="K14" s="489"/>
      <c r="L14" s="489"/>
      <c r="M14" s="489"/>
      <c r="N14" s="489"/>
      <c r="O14" s="489"/>
      <c r="P14" s="486">
        <f t="shared" si="0"/>
        <v>0</v>
      </c>
    </row>
    <row r="15" spans="1:16" ht="15.75" thickBot="1" x14ac:dyDescent="0.3">
      <c r="A15" s="491">
        <v>1000032</v>
      </c>
      <c r="B15" s="12" t="s">
        <v>26</v>
      </c>
      <c r="C15" s="487"/>
      <c r="D15" s="492">
        <v>0</v>
      </c>
      <c r="E15" s="485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6">
        <f t="shared" si="0"/>
        <v>0</v>
      </c>
    </row>
    <row r="16" spans="1:16" ht="15.75" thickBot="1" x14ac:dyDescent="0.3">
      <c r="A16" s="491">
        <v>1000027</v>
      </c>
      <c r="B16" s="12" t="s">
        <v>33</v>
      </c>
      <c r="C16" s="487"/>
      <c r="D16" s="492">
        <v>2</v>
      </c>
      <c r="E16" s="485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6">
        <f t="shared" si="0"/>
        <v>0</v>
      </c>
    </row>
    <row r="17" spans="1:16" ht="15.75" thickBot="1" x14ac:dyDescent="0.3">
      <c r="A17" s="491">
        <v>1000082</v>
      </c>
      <c r="B17" s="12" t="s">
        <v>37</v>
      </c>
      <c r="C17" s="487"/>
      <c r="D17" s="492">
        <v>20</v>
      </c>
      <c r="E17" s="485"/>
      <c r="F17" s="489">
        <v>16</v>
      </c>
      <c r="G17" s="489"/>
      <c r="H17" s="489"/>
      <c r="I17" s="489"/>
      <c r="J17" s="489">
        <v>16</v>
      </c>
      <c r="K17" s="489"/>
      <c r="L17" s="489"/>
      <c r="M17" s="489"/>
      <c r="N17" s="489">
        <v>8</v>
      </c>
      <c r="O17" s="489"/>
      <c r="P17" s="490">
        <f t="shared" si="0"/>
        <v>40</v>
      </c>
    </row>
    <row r="18" spans="1:16" ht="15.75" thickBot="1" x14ac:dyDescent="0.3">
      <c r="A18" s="491">
        <v>1000084</v>
      </c>
      <c r="B18" s="12" t="s">
        <v>38</v>
      </c>
      <c r="C18" s="487"/>
      <c r="D18" s="492">
        <v>10</v>
      </c>
      <c r="E18" s="485"/>
      <c r="F18" s="489">
        <v>12</v>
      </c>
      <c r="G18" s="489"/>
      <c r="H18" s="489"/>
      <c r="I18" s="489"/>
      <c r="J18" s="489">
        <v>12</v>
      </c>
      <c r="K18" s="489"/>
      <c r="L18" s="489"/>
      <c r="M18" s="489"/>
      <c r="N18" s="489">
        <v>4</v>
      </c>
      <c r="O18" s="489"/>
      <c r="P18" s="490">
        <f t="shared" si="0"/>
        <v>28</v>
      </c>
    </row>
    <row r="19" spans="1:16" ht="15.75" thickBot="1" x14ac:dyDescent="0.3">
      <c r="A19" s="491">
        <v>10248</v>
      </c>
      <c r="B19" s="12" t="s">
        <v>183</v>
      </c>
      <c r="C19" s="487"/>
      <c r="D19" s="492">
        <v>0</v>
      </c>
      <c r="E19" s="485"/>
      <c r="F19" s="489">
        <v>9</v>
      </c>
      <c r="G19" s="489"/>
      <c r="H19" s="489"/>
      <c r="I19" s="489"/>
      <c r="J19" s="489">
        <v>9</v>
      </c>
      <c r="K19" s="489"/>
      <c r="L19" s="489"/>
      <c r="M19" s="489"/>
      <c r="N19" s="489">
        <v>6</v>
      </c>
      <c r="O19" s="489"/>
      <c r="P19" s="490">
        <f t="shared" si="0"/>
        <v>24</v>
      </c>
    </row>
    <row r="20" spans="1:16" ht="15.75" thickBot="1" x14ac:dyDescent="0.3">
      <c r="A20" s="491">
        <v>1000052</v>
      </c>
      <c r="B20" s="12" t="s">
        <v>41</v>
      </c>
      <c r="C20" s="487"/>
      <c r="D20" s="492">
        <v>2</v>
      </c>
      <c r="E20" s="485"/>
      <c r="F20" s="489">
        <v>3</v>
      </c>
      <c r="G20" s="489"/>
      <c r="H20" s="489"/>
      <c r="I20" s="489"/>
      <c r="J20" s="489">
        <v>2</v>
      </c>
      <c r="K20" s="489"/>
      <c r="L20" s="489"/>
      <c r="M20" s="489"/>
      <c r="N20" s="489">
        <v>2</v>
      </c>
      <c r="O20" s="489"/>
      <c r="P20" s="490">
        <f t="shared" si="0"/>
        <v>7</v>
      </c>
    </row>
    <row r="21" spans="1:16" ht="15.75" thickBot="1" x14ac:dyDescent="0.3">
      <c r="A21" s="491">
        <v>1000089</v>
      </c>
      <c r="B21" s="12" t="s">
        <v>42</v>
      </c>
      <c r="C21" s="487"/>
      <c r="D21" s="492">
        <v>1</v>
      </c>
      <c r="E21" s="485"/>
      <c r="F21" s="489">
        <v>3</v>
      </c>
      <c r="G21" s="489"/>
      <c r="H21" s="489"/>
      <c r="I21" s="489"/>
      <c r="J21" s="489">
        <v>2</v>
      </c>
      <c r="K21" s="489"/>
      <c r="L21" s="489"/>
      <c r="M21" s="489"/>
      <c r="N21" s="489">
        <v>2</v>
      </c>
      <c r="O21" s="489"/>
      <c r="P21" s="490">
        <f t="shared" si="0"/>
        <v>7</v>
      </c>
    </row>
    <row r="22" spans="1:16" ht="15.75" thickBot="1" x14ac:dyDescent="0.3">
      <c r="A22" s="491">
        <v>1000051</v>
      </c>
      <c r="B22" s="12" t="s">
        <v>43</v>
      </c>
      <c r="C22" s="487"/>
      <c r="D22" s="492">
        <v>0</v>
      </c>
      <c r="E22" s="485"/>
      <c r="F22" s="489"/>
      <c r="G22" s="489"/>
      <c r="H22" s="489"/>
      <c r="I22" s="489"/>
      <c r="J22" s="489"/>
      <c r="K22" s="489"/>
      <c r="L22" s="489"/>
      <c r="M22" s="489"/>
      <c r="N22" s="489"/>
      <c r="O22" s="489"/>
      <c r="P22" s="486">
        <f t="shared" si="0"/>
        <v>0</v>
      </c>
    </row>
    <row r="23" spans="1:16" ht="15.75" thickBot="1" x14ac:dyDescent="0.3">
      <c r="A23" s="491">
        <v>1000048</v>
      </c>
      <c r="B23" s="12" t="s">
        <v>45</v>
      </c>
      <c r="C23" s="487"/>
      <c r="D23" s="492">
        <v>0</v>
      </c>
      <c r="E23" s="485"/>
      <c r="F23" s="489"/>
      <c r="G23" s="489"/>
      <c r="H23" s="489"/>
      <c r="I23" s="489"/>
      <c r="J23" s="489">
        <v>1</v>
      </c>
      <c r="K23" s="489"/>
      <c r="L23" s="489"/>
      <c r="M23" s="489"/>
      <c r="N23" s="489"/>
      <c r="O23" s="489"/>
      <c r="P23" s="490">
        <f t="shared" si="0"/>
        <v>1</v>
      </c>
    </row>
    <row r="24" spans="1:16" ht="15.75" thickBot="1" x14ac:dyDescent="0.3">
      <c r="A24" s="491">
        <v>1000076</v>
      </c>
      <c r="B24" s="12" t="s">
        <v>46</v>
      </c>
      <c r="C24" s="487"/>
      <c r="D24" s="492">
        <v>0</v>
      </c>
      <c r="E24" s="485"/>
      <c r="F24" s="489"/>
      <c r="G24" s="489"/>
      <c r="H24" s="489"/>
      <c r="I24" s="489"/>
      <c r="J24" s="489"/>
      <c r="K24" s="489"/>
      <c r="L24" s="489"/>
      <c r="M24" s="489"/>
      <c r="N24" s="489"/>
      <c r="O24" s="489"/>
      <c r="P24" s="486">
        <f t="shared" si="0"/>
        <v>0</v>
      </c>
    </row>
    <row r="25" spans="1:16" ht="15.75" thickBot="1" x14ac:dyDescent="0.3">
      <c r="A25" s="491">
        <v>1000214</v>
      </c>
      <c r="B25" s="12" t="s">
        <v>49</v>
      </c>
      <c r="C25" s="487"/>
      <c r="D25" s="492">
        <v>0</v>
      </c>
      <c r="E25" s="485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6">
        <f t="shared" si="0"/>
        <v>0</v>
      </c>
    </row>
    <row r="26" spans="1:16" ht="15.75" thickBot="1" x14ac:dyDescent="0.3">
      <c r="A26" s="491">
        <v>1000092</v>
      </c>
      <c r="B26" s="12" t="s">
        <v>51</v>
      </c>
      <c r="C26" s="487"/>
      <c r="D26" s="492">
        <v>0</v>
      </c>
      <c r="E26" s="485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6">
        <f t="shared" si="0"/>
        <v>0</v>
      </c>
    </row>
    <row r="27" spans="1:16" ht="15.75" thickBot="1" x14ac:dyDescent="0.3">
      <c r="A27" s="491">
        <v>1000142</v>
      </c>
      <c r="B27" s="12" t="s">
        <v>54</v>
      </c>
      <c r="C27" s="487"/>
      <c r="D27" s="492">
        <v>1</v>
      </c>
      <c r="E27" s="485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6">
        <f t="shared" si="0"/>
        <v>0</v>
      </c>
    </row>
    <row r="28" spans="1:16" ht="15.75" thickBot="1" x14ac:dyDescent="0.3">
      <c r="A28" s="491">
        <v>1000100</v>
      </c>
      <c r="B28" s="12" t="s">
        <v>34</v>
      </c>
      <c r="C28" s="487"/>
      <c r="D28" s="492">
        <v>0</v>
      </c>
      <c r="E28" s="485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6">
        <f t="shared" si="0"/>
        <v>0</v>
      </c>
    </row>
    <row r="29" spans="1:16" s="15" customFormat="1" ht="15.95" customHeight="1" thickBot="1" x14ac:dyDescent="0.3">
      <c r="A29" s="491">
        <v>1000045</v>
      </c>
      <c r="B29" s="12" t="s">
        <v>23</v>
      </c>
      <c r="C29" s="487"/>
      <c r="D29" s="492"/>
      <c r="E29" s="485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6">
        <f t="shared" si="0"/>
        <v>0</v>
      </c>
    </row>
    <row r="30" spans="1:16" ht="15.75" thickBot="1" x14ac:dyDescent="0.3">
      <c r="A30" s="491">
        <v>1000004</v>
      </c>
      <c r="B30" s="12" t="s">
        <v>10</v>
      </c>
      <c r="C30" s="487"/>
      <c r="D30" s="492"/>
      <c r="E30" s="485"/>
      <c r="F30" s="489">
        <v>2</v>
      </c>
      <c r="G30" s="489"/>
      <c r="H30" s="489"/>
      <c r="I30" s="489"/>
      <c r="J30" s="489">
        <v>2</v>
      </c>
      <c r="K30" s="489"/>
      <c r="L30" s="489"/>
      <c r="M30" s="489"/>
      <c r="N30" s="489">
        <v>2</v>
      </c>
      <c r="O30" s="489"/>
      <c r="P30" s="490">
        <f t="shared" si="0"/>
        <v>6</v>
      </c>
    </row>
    <row r="31" spans="1:16" ht="15.75" thickBot="1" x14ac:dyDescent="0.3">
      <c r="A31" s="491">
        <v>1000070</v>
      </c>
      <c r="B31" s="12" t="s">
        <v>13</v>
      </c>
      <c r="C31" s="487"/>
      <c r="D31" s="492"/>
      <c r="E31" s="485"/>
      <c r="F31" s="489">
        <v>1</v>
      </c>
      <c r="G31" s="489"/>
      <c r="H31" s="489"/>
      <c r="I31" s="489"/>
      <c r="J31" s="489"/>
      <c r="K31" s="489"/>
      <c r="L31" s="489"/>
      <c r="M31" s="489"/>
      <c r="N31" s="489"/>
      <c r="O31" s="489"/>
      <c r="P31" s="490">
        <f t="shared" si="0"/>
        <v>1</v>
      </c>
    </row>
    <row r="32" spans="1:16" ht="15.75" thickBot="1" x14ac:dyDescent="0.3">
      <c r="A32" s="491">
        <v>1000033</v>
      </c>
      <c r="B32" s="12" t="s">
        <v>27</v>
      </c>
      <c r="C32" s="487"/>
      <c r="D32" s="492"/>
      <c r="E32" s="485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6">
        <f t="shared" si="0"/>
        <v>0</v>
      </c>
    </row>
    <row r="33" spans="1:16" ht="15.75" thickBot="1" x14ac:dyDescent="0.3">
      <c r="A33" s="491">
        <v>1000090</v>
      </c>
      <c r="B33" s="12" t="s">
        <v>40</v>
      </c>
      <c r="C33" s="487"/>
      <c r="D33" s="492"/>
      <c r="E33" s="485"/>
      <c r="F33" s="489">
        <v>2</v>
      </c>
      <c r="G33" s="489"/>
      <c r="H33" s="489"/>
      <c r="I33" s="489"/>
      <c r="J33" s="489">
        <v>2</v>
      </c>
      <c r="K33" s="489"/>
      <c r="L33" s="489"/>
      <c r="M33" s="489"/>
      <c r="N33" s="489">
        <v>2</v>
      </c>
      <c r="O33" s="489"/>
      <c r="P33" s="490">
        <f t="shared" si="0"/>
        <v>6</v>
      </c>
    </row>
    <row r="34" spans="1:16" ht="15.75" thickBot="1" x14ac:dyDescent="0.3">
      <c r="A34" s="491">
        <v>1000049</v>
      </c>
      <c r="B34" s="12" t="s">
        <v>21</v>
      </c>
      <c r="C34" s="487"/>
      <c r="D34" s="492"/>
      <c r="E34" s="485"/>
      <c r="F34" s="489">
        <v>2</v>
      </c>
      <c r="G34" s="489"/>
      <c r="H34" s="489"/>
      <c r="I34" s="489"/>
      <c r="J34" s="489"/>
      <c r="K34" s="489"/>
      <c r="L34" s="489"/>
      <c r="M34" s="489"/>
      <c r="N34" s="489"/>
      <c r="O34" s="489"/>
      <c r="P34" s="490">
        <f t="shared" si="0"/>
        <v>2</v>
      </c>
    </row>
    <row r="35" spans="1:16" ht="15.75" thickBot="1" x14ac:dyDescent="0.3">
      <c r="A35" s="491">
        <v>1000073</v>
      </c>
      <c r="B35" s="12" t="s">
        <v>36</v>
      </c>
      <c r="C35" s="487"/>
      <c r="D35" s="492"/>
      <c r="E35" s="48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6">
        <f t="shared" si="0"/>
        <v>0</v>
      </c>
    </row>
    <row r="36" spans="1:16" ht="15.75" thickBot="1" x14ac:dyDescent="0.3">
      <c r="A36" s="491">
        <v>1000142</v>
      </c>
      <c r="B36" s="12" t="s">
        <v>54</v>
      </c>
      <c r="C36" s="487"/>
      <c r="D36" s="492"/>
      <c r="E36" s="485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6">
        <f t="shared" si="0"/>
        <v>0</v>
      </c>
    </row>
    <row r="37" spans="1:16" ht="15.75" thickBot="1" x14ac:dyDescent="0.3">
      <c r="A37" s="491">
        <v>10000015</v>
      </c>
      <c r="B37" s="12" t="s">
        <v>1</v>
      </c>
      <c r="C37" s="487"/>
      <c r="D37" s="492"/>
      <c r="E37" s="485"/>
      <c r="F37" s="489"/>
      <c r="G37" s="489"/>
      <c r="H37" s="489"/>
      <c r="I37" s="489"/>
      <c r="J37" s="489">
        <v>5</v>
      </c>
      <c r="K37" s="489"/>
      <c r="L37" s="489"/>
      <c r="M37" s="489"/>
      <c r="N37" s="489"/>
      <c r="O37" s="489"/>
      <c r="P37" s="490">
        <f t="shared" si="0"/>
        <v>5</v>
      </c>
    </row>
    <row r="38" spans="1:16" ht="15.75" thickBot="1" x14ac:dyDescent="0.3">
      <c r="A38" s="491">
        <v>10000102</v>
      </c>
      <c r="B38" s="12" t="s">
        <v>2</v>
      </c>
      <c r="C38" s="487"/>
      <c r="D38" s="492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5.75" thickBot="1" x14ac:dyDescent="0.3">
      <c r="A39" s="491">
        <v>1000029</v>
      </c>
      <c r="B39" s="12" t="s">
        <v>30</v>
      </c>
      <c r="C39" s="487"/>
      <c r="D39" s="492"/>
      <c r="E39" s="485"/>
      <c r="F39" s="489">
        <v>1</v>
      </c>
      <c r="G39" s="489"/>
      <c r="H39" s="489"/>
      <c r="I39" s="489"/>
      <c r="J39" s="489"/>
      <c r="K39" s="489"/>
      <c r="L39" s="489"/>
      <c r="M39" s="489"/>
      <c r="N39" s="489"/>
      <c r="O39" s="489"/>
      <c r="P39" s="490">
        <f t="shared" si="0"/>
        <v>1</v>
      </c>
    </row>
    <row r="40" spans="1:16" ht="15.75" thickBot="1" x14ac:dyDescent="0.3">
      <c r="A40" s="491">
        <v>1000075</v>
      </c>
      <c r="B40" s="12" t="s">
        <v>47</v>
      </c>
      <c r="C40" s="487"/>
      <c r="D40" s="492"/>
      <c r="E40" s="48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6">
        <f t="shared" si="0"/>
        <v>0</v>
      </c>
    </row>
    <row r="41" spans="1:16" ht="15.75" thickBot="1" x14ac:dyDescent="0.3">
      <c r="A41" s="491">
        <v>1000147</v>
      </c>
      <c r="B41" s="12" t="s">
        <v>52</v>
      </c>
      <c r="C41" s="487"/>
      <c r="D41" s="492"/>
      <c r="E41" s="485"/>
      <c r="F41" s="489"/>
      <c r="G41" s="489"/>
      <c r="H41" s="489"/>
      <c r="I41" s="489"/>
      <c r="J41" s="489"/>
      <c r="K41" s="489"/>
      <c r="L41" s="489"/>
      <c r="M41" s="489"/>
      <c r="N41" s="489"/>
      <c r="O41" s="489"/>
      <c r="P41" s="486">
        <f t="shared" si="0"/>
        <v>0</v>
      </c>
    </row>
    <row r="42" spans="1:16" ht="15.75" thickBot="1" x14ac:dyDescent="0.3">
      <c r="A42" s="491">
        <v>1000045</v>
      </c>
      <c r="B42" s="12" t="s">
        <v>23</v>
      </c>
      <c r="C42" s="487"/>
      <c r="D42" s="492"/>
      <c r="E42" s="485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5.75" thickBot="1" x14ac:dyDescent="0.3">
      <c r="A43" s="491">
        <v>1000087</v>
      </c>
      <c r="B43" s="12" t="s">
        <v>197</v>
      </c>
      <c r="C43" s="487"/>
      <c r="D43" s="492"/>
      <c r="E43" s="485"/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6">
        <f t="shared" si="0"/>
        <v>0</v>
      </c>
    </row>
    <row r="44" spans="1:16" ht="15.75" thickBot="1" x14ac:dyDescent="0.3">
      <c r="A44" s="491">
        <v>1000002</v>
      </c>
      <c r="B44" s="12" t="s">
        <v>9</v>
      </c>
      <c r="C44" s="487"/>
      <c r="D44" s="492"/>
      <c r="E44" s="485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P44" s="486">
        <f t="shared" si="0"/>
        <v>0</v>
      </c>
    </row>
    <row r="45" spans="1:16" ht="15.75" thickBot="1" x14ac:dyDescent="0.3">
      <c r="A45" s="491">
        <v>1000205</v>
      </c>
      <c r="B45" s="12" t="s">
        <v>82</v>
      </c>
      <c r="C45" s="487"/>
      <c r="D45" s="492"/>
      <c r="E45" s="485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6">
        <f t="shared" si="0"/>
        <v>0</v>
      </c>
    </row>
    <row r="46" spans="1:16" ht="15.75" thickBot="1" x14ac:dyDescent="0.3">
      <c r="A46" s="491">
        <v>1000101</v>
      </c>
      <c r="B46" s="12" t="s">
        <v>35</v>
      </c>
      <c r="C46" s="487"/>
      <c r="D46" s="492"/>
      <c r="E46" s="485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6">
        <f t="shared" si="0"/>
        <v>0</v>
      </c>
    </row>
    <row r="47" spans="1:16" ht="15.75" thickBot="1" x14ac:dyDescent="0.3">
      <c r="A47" s="491">
        <v>1000348</v>
      </c>
      <c r="B47" s="12" t="s">
        <v>92</v>
      </c>
      <c r="C47" s="487"/>
      <c r="D47" s="492"/>
      <c r="E47" s="485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6">
        <f t="shared" si="0"/>
        <v>0</v>
      </c>
    </row>
    <row r="48" spans="1:16" ht="15.75" thickBot="1" x14ac:dyDescent="0.3">
      <c r="A48" s="491">
        <v>1000085</v>
      </c>
      <c r="B48" s="12" t="s">
        <v>50</v>
      </c>
      <c r="C48" s="487"/>
      <c r="D48" s="492"/>
      <c r="E48" s="485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6">
        <f t="shared" si="0"/>
        <v>0</v>
      </c>
    </row>
    <row r="49" spans="1:16" ht="15.75" thickBot="1" x14ac:dyDescent="0.3">
      <c r="A49" s="491">
        <v>1000384</v>
      </c>
      <c r="B49" s="12" t="s">
        <v>189</v>
      </c>
      <c r="C49" s="487"/>
      <c r="D49" s="492"/>
      <c r="E49" s="485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6">
        <f t="shared" si="0"/>
        <v>0</v>
      </c>
    </row>
    <row r="50" spans="1:16" ht="15.75" thickBot="1" x14ac:dyDescent="0.3">
      <c r="A50" s="491">
        <v>1000037</v>
      </c>
      <c r="B50" s="12" t="s">
        <v>76</v>
      </c>
      <c r="C50" s="487"/>
      <c r="D50" s="492"/>
      <c r="E50" s="485"/>
      <c r="F50" s="489"/>
      <c r="G50" s="489"/>
      <c r="H50" s="489"/>
      <c r="I50" s="489"/>
      <c r="J50" s="489"/>
      <c r="K50" s="489"/>
      <c r="L50" s="489"/>
      <c r="M50" s="489"/>
      <c r="N50" s="489"/>
      <c r="O50" s="489"/>
      <c r="P50" s="486">
        <f t="shared" si="0"/>
        <v>0</v>
      </c>
    </row>
    <row r="51" spans="1:16" ht="15.75" thickBot="1" x14ac:dyDescent="0.3">
      <c r="A51" s="491">
        <v>1000037</v>
      </c>
      <c r="B51" s="12" t="s">
        <v>76</v>
      </c>
      <c r="C51" s="487"/>
      <c r="D51" s="492"/>
      <c r="E51" s="485"/>
      <c r="F51" s="489"/>
      <c r="G51" s="489"/>
      <c r="H51" s="489"/>
      <c r="I51" s="489"/>
      <c r="J51" s="489"/>
      <c r="K51" s="489"/>
      <c r="L51" s="489"/>
      <c r="M51" s="489"/>
      <c r="N51" s="489"/>
      <c r="O51" s="489"/>
      <c r="P51" s="486">
        <f t="shared" si="0"/>
        <v>0</v>
      </c>
    </row>
    <row r="52" spans="1:16" ht="15.75" thickBot="1" x14ac:dyDescent="0.3">
      <c r="A52" s="491">
        <v>1000034</v>
      </c>
      <c r="B52" s="12" t="s">
        <v>28</v>
      </c>
      <c r="C52" s="487"/>
      <c r="D52" s="492"/>
      <c r="E52" s="485"/>
      <c r="F52" s="489">
        <v>1</v>
      </c>
      <c r="G52" s="489"/>
      <c r="H52" s="489"/>
      <c r="I52" s="489"/>
      <c r="J52" s="489">
        <v>1</v>
      </c>
      <c r="K52" s="489"/>
      <c r="L52" s="489"/>
      <c r="M52" s="489"/>
      <c r="N52" s="489">
        <v>1</v>
      </c>
      <c r="O52" s="489"/>
      <c r="P52" s="490">
        <f t="shared" si="0"/>
        <v>3</v>
      </c>
    </row>
    <row r="53" spans="1:16" ht="15.75" thickBot="1" x14ac:dyDescent="0.3">
      <c r="A53" s="491">
        <v>1000025</v>
      </c>
      <c r="B53" s="12" t="s">
        <v>32</v>
      </c>
      <c r="C53" s="487"/>
      <c r="D53" s="492"/>
      <c r="E53" s="485"/>
      <c r="F53" s="489"/>
      <c r="G53" s="489"/>
      <c r="H53" s="489"/>
      <c r="I53" s="489"/>
      <c r="J53" s="489">
        <v>53</v>
      </c>
      <c r="K53" s="489"/>
      <c r="L53" s="489"/>
      <c r="M53" s="489"/>
      <c r="N53" s="489"/>
      <c r="O53" s="489"/>
      <c r="P53" s="490">
        <f t="shared" si="0"/>
        <v>53</v>
      </c>
    </row>
    <row r="54" spans="1:16" ht="15.75" thickBot="1" x14ac:dyDescent="0.3">
      <c r="A54" s="491">
        <v>1000533</v>
      </c>
      <c r="B54" s="12" t="s">
        <v>259</v>
      </c>
      <c r="C54" s="487"/>
      <c r="D54" s="492"/>
      <c r="E54" s="485"/>
      <c r="F54" s="489"/>
      <c r="G54" s="489"/>
      <c r="H54" s="489"/>
      <c r="I54" s="489"/>
      <c r="J54" s="489"/>
      <c r="K54" s="489"/>
      <c r="L54" s="489"/>
      <c r="M54" s="489"/>
      <c r="N54" s="489"/>
      <c r="O54" s="489"/>
      <c r="P54" s="486">
        <f t="shared" si="0"/>
        <v>0</v>
      </c>
    </row>
    <row r="55" spans="1:16" ht="15.75" thickBot="1" x14ac:dyDescent="0.3">
      <c r="A55" s="491">
        <v>1000080</v>
      </c>
      <c r="B55" s="12" t="s">
        <v>275</v>
      </c>
      <c r="C55" s="487"/>
      <c r="D55" s="492"/>
      <c r="E55" s="485"/>
      <c r="F55" s="489"/>
      <c r="G55" s="489"/>
      <c r="H55" s="489"/>
      <c r="I55" s="489"/>
      <c r="J55" s="489"/>
      <c r="K55" s="489"/>
      <c r="L55" s="489"/>
      <c r="M55" s="489"/>
      <c r="N55" s="489"/>
      <c r="O55" s="489"/>
      <c r="P55" s="486">
        <f t="shared" si="0"/>
        <v>0</v>
      </c>
    </row>
    <row r="56" spans="1:16" ht="15.75" thickBot="1" x14ac:dyDescent="0.3">
      <c r="A56" s="491">
        <v>1000436</v>
      </c>
      <c r="B56" s="12" t="s">
        <v>276</v>
      </c>
      <c r="C56" s="487"/>
      <c r="D56" s="492"/>
      <c r="E56" s="485"/>
      <c r="F56" s="489"/>
      <c r="G56" s="489"/>
      <c r="H56" s="489"/>
      <c r="I56" s="489"/>
      <c r="J56" s="489"/>
      <c r="K56" s="489"/>
      <c r="L56" s="489"/>
      <c r="M56" s="489"/>
      <c r="N56" s="489"/>
      <c r="O56" s="489"/>
      <c r="P56" s="486">
        <f t="shared" si="0"/>
        <v>0</v>
      </c>
    </row>
    <row r="57" spans="1:16" ht="15.75" thickBot="1" x14ac:dyDescent="0.3">
      <c r="A57" s="491">
        <v>1000550</v>
      </c>
      <c r="B57" s="12" t="s">
        <v>277</v>
      </c>
      <c r="C57" s="487"/>
      <c r="D57" s="492"/>
      <c r="E57" s="485"/>
      <c r="F57" s="489"/>
      <c r="G57" s="489"/>
      <c r="H57" s="489"/>
      <c r="I57" s="489"/>
      <c r="J57" s="489"/>
      <c r="K57" s="489"/>
      <c r="L57" s="489"/>
      <c r="M57" s="489"/>
      <c r="N57" s="489"/>
      <c r="O57" s="489"/>
      <c r="P57" s="486">
        <f t="shared" si="0"/>
        <v>0</v>
      </c>
    </row>
    <row r="58" spans="1:16" ht="15.75" thickBot="1" x14ac:dyDescent="0.3">
      <c r="A58" s="491">
        <v>1000551</v>
      </c>
      <c r="B58" s="12" t="s">
        <v>278</v>
      </c>
      <c r="C58" s="487"/>
      <c r="D58" s="492"/>
      <c r="E58" s="485"/>
      <c r="F58" s="489"/>
      <c r="G58" s="489"/>
      <c r="H58" s="489"/>
      <c r="I58" s="489"/>
      <c r="J58" s="489"/>
      <c r="K58" s="489"/>
      <c r="L58" s="489"/>
      <c r="M58" s="489"/>
      <c r="N58" s="489"/>
      <c r="O58" s="489"/>
      <c r="P58" s="486">
        <f t="shared" si="0"/>
        <v>0</v>
      </c>
    </row>
    <row r="59" spans="1:16" ht="15.75" thickBot="1" x14ac:dyDescent="0.3">
      <c r="A59" s="243">
        <v>1000552</v>
      </c>
      <c r="B59" s="251" t="s">
        <v>279</v>
      </c>
      <c r="C59" s="496"/>
      <c r="D59" s="495"/>
      <c r="E59" s="496"/>
      <c r="F59" s="489"/>
      <c r="G59" s="489"/>
      <c r="H59" s="489"/>
      <c r="I59" s="489"/>
      <c r="J59" s="489"/>
      <c r="K59" s="489"/>
      <c r="L59" s="489"/>
      <c r="M59" s="489"/>
      <c r="N59" s="489"/>
      <c r="O59" s="489"/>
      <c r="P59" s="486">
        <f t="shared" si="0"/>
        <v>0</v>
      </c>
    </row>
    <row r="60" spans="1:16" ht="15.75" thickBot="1" x14ac:dyDescent="0.3">
      <c r="A60" s="491">
        <v>1000057</v>
      </c>
      <c r="B60" s="12" t="s">
        <v>70</v>
      </c>
      <c r="D60" s="495"/>
      <c r="F60" s="489"/>
      <c r="G60" s="489"/>
      <c r="H60" s="489"/>
      <c r="I60" s="489"/>
      <c r="J60" s="489">
        <v>1</v>
      </c>
      <c r="K60" s="489"/>
      <c r="L60" s="489"/>
      <c r="M60" s="489"/>
      <c r="N60" s="489"/>
      <c r="O60" s="489"/>
      <c r="P60" s="490">
        <f t="shared" ref="P60" si="1">SUM(F60:O60)</f>
        <v>1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EC6F-CCC1-4EFA-B14E-BB9215741ABC}">
  <sheetPr>
    <tabColor rgb="FF7030A0"/>
    <pageSetUpPr fitToPage="1"/>
  </sheetPr>
  <dimension ref="A1:V55"/>
  <sheetViews>
    <sheetView topLeftCell="A27" workbookViewId="0">
      <selection activeCell="R49" sqref="R49"/>
    </sheetView>
  </sheetViews>
  <sheetFormatPr baseColWidth="10" defaultColWidth="10.875" defaultRowHeight="15" x14ac:dyDescent="0.25"/>
  <cols>
    <col min="1" max="1" width="7.875" style="208" bestFit="1" customWidth="1"/>
    <col min="2" max="2" width="39.125" style="208" bestFit="1" customWidth="1"/>
    <col min="3" max="3" width="0.875" style="208" customWidth="1"/>
    <col min="4" max="4" width="8.125" style="208" bestFit="1" customWidth="1"/>
    <col min="5" max="5" width="1" style="208" customWidth="1"/>
    <col min="6" max="6" width="9.125" style="208" bestFit="1" customWidth="1"/>
    <col min="7" max="7" width="6.125" style="208" customWidth="1"/>
    <col min="8" max="8" width="8.5" style="208" customWidth="1"/>
    <col min="9" max="9" width="5.625" style="208" customWidth="1"/>
    <col min="10" max="10" width="9.125" style="208" bestFit="1" customWidth="1"/>
    <col min="11" max="11" width="5.375" style="208" customWidth="1"/>
    <col min="12" max="12" width="9.125" style="208" bestFit="1" customWidth="1"/>
    <col min="13" max="13" width="4.625" style="208" customWidth="1"/>
    <col min="14" max="14" width="9.125" style="208" bestFit="1" customWidth="1"/>
    <col min="15" max="15" width="6.5" style="208" customWidth="1"/>
    <col min="16" max="16384" width="10.875" style="208"/>
  </cols>
  <sheetData>
    <row r="1" spans="1:16" ht="17.25" customHeight="1" x14ac:dyDescent="0.45">
      <c r="A1" s="686" t="s">
        <v>256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2.7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  <c r="L2"/>
      <c r="M2"/>
    </row>
    <row r="3" spans="1:16" s="3" customFormat="1" ht="20.25" customHeight="1" thickBot="1" x14ac:dyDescent="0.3">
      <c r="A3" s="5"/>
      <c r="B3" s="419" t="s">
        <v>352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08"/>
      <c r="F4" s="19" t="s">
        <v>353</v>
      </c>
      <c r="G4" s="20" t="s">
        <v>325</v>
      </c>
      <c r="H4" s="19" t="s">
        <v>344</v>
      </c>
      <c r="I4" s="20" t="s">
        <v>325</v>
      </c>
      <c r="J4" s="19" t="s">
        <v>345</v>
      </c>
      <c r="K4" s="20" t="s">
        <v>325</v>
      </c>
      <c r="L4" s="19" t="s">
        <v>346</v>
      </c>
      <c r="M4" s="20" t="s">
        <v>325</v>
      </c>
      <c r="N4" s="19" t="s">
        <v>347</v>
      </c>
      <c r="O4" s="20" t="s">
        <v>325</v>
      </c>
      <c r="P4" s="21" t="s">
        <v>98</v>
      </c>
    </row>
    <row r="5" spans="1:16" ht="15.75" thickBot="1" x14ac:dyDescent="0.3">
      <c r="A5" s="209">
        <v>1000006</v>
      </c>
      <c r="B5" s="11" t="s">
        <v>4</v>
      </c>
      <c r="C5" s="210"/>
      <c r="D5" s="211">
        <v>150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>
        <f t="shared" ref="P5:P54" si="0">SUM(F5:O5)</f>
        <v>0</v>
      </c>
    </row>
    <row r="6" spans="1:16" ht="15.75" thickBot="1" x14ac:dyDescent="0.3">
      <c r="A6" s="213">
        <v>1000007</v>
      </c>
      <c r="B6" s="12" t="s">
        <v>5</v>
      </c>
      <c r="C6" s="210"/>
      <c r="D6" s="214">
        <v>20</v>
      </c>
      <c r="F6" s="212">
        <v>50</v>
      </c>
      <c r="G6" s="212"/>
      <c r="H6" s="212"/>
      <c r="I6" s="212"/>
      <c r="J6" s="212"/>
      <c r="K6" s="212"/>
      <c r="L6" s="212"/>
      <c r="M6" s="212"/>
      <c r="N6" s="212">
        <v>50</v>
      </c>
      <c r="O6" s="212"/>
      <c r="P6" s="557">
        <f t="shared" si="0"/>
        <v>100</v>
      </c>
    </row>
    <row r="7" spans="1:16" ht="15.75" thickBot="1" x14ac:dyDescent="0.3">
      <c r="A7" s="213">
        <v>1000008</v>
      </c>
      <c r="B7" s="12" t="s">
        <v>7</v>
      </c>
      <c r="C7" s="210"/>
      <c r="D7" s="214">
        <v>10</v>
      </c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>
        <f t="shared" si="0"/>
        <v>0</v>
      </c>
    </row>
    <row r="8" spans="1:16" ht="15.75" thickBot="1" x14ac:dyDescent="0.3">
      <c r="A8" s="213">
        <v>1000001</v>
      </c>
      <c r="B8" s="12" t="s">
        <v>8</v>
      </c>
      <c r="C8" s="210"/>
      <c r="D8" s="214">
        <v>1</v>
      </c>
      <c r="F8" s="212"/>
      <c r="G8" s="212"/>
      <c r="H8" s="212"/>
      <c r="I8" s="212"/>
      <c r="J8" s="212">
        <v>2</v>
      </c>
      <c r="K8" s="212"/>
      <c r="L8" s="212"/>
      <c r="M8" s="212"/>
      <c r="N8" s="212"/>
      <c r="O8" s="212"/>
      <c r="P8" s="557">
        <f t="shared" si="0"/>
        <v>2</v>
      </c>
    </row>
    <row r="9" spans="1:16" ht="15.75" thickBot="1" x14ac:dyDescent="0.3">
      <c r="A9" s="213">
        <v>1000002</v>
      </c>
      <c r="B9" s="12" t="s">
        <v>9</v>
      </c>
      <c r="C9" s="210"/>
      <c r="D9" s="214">
        <v>1</v>
      </c>
      <c r="F9" s="212">
        <v>1</v>
      </c>
      <c r="G9" s="212"/>
      <c r="H9" s="212">
        <v>1</v>
      </c>
      <c r="I9" s="212"/>
      <c r="J9" s="212"/>
      <c r="K9" s="212"/>
      <c r="L9" s="212">
        <v>1</v>
      </c>
      <c r="M9" s="212"/>
      <c r="N9" s="212"/>
      <c r="O9" s="212"/>
      <c r="P9" s="557">
        <f t="shared" si="0"/>
        <v>3</v>
      </c>
    </row>
    <row r="10" spans="1:16" ht="15.75" thickBot="1" x14ac:dyDescent="0.3">
      <c r="A10" s="213">
        <v>1000004</v>
      </c>
      <c r="B10" s="12" t="s">
        <v>10</v>
      </c>
      <c r="C10" s="210"/>
      <c r="D10" s="214">
        <v>2</v>
      </c>
      <c r="F10" s="212"/>
      <c r="G10" s="212"/>
      <c r="H10" s="212">
        <v>2</v>
      </c>
      <c r="I10" s="212"/>
      <c r="J10" s="212">
        <v>1</v>
      </c>
      <c r="K10" s="212"/>
      <c r="L10" s="212">
        <v>2</v>
      </c>
      <c r="M10" s="212"/>
      <c r="N10" s="212">
        <v>2</v>
      </c>
      <c r="O10" s="212"/>
      <c r="P10" s="557">
        <f t="shared" si="0"/>
        <v>7</v>
      </c>
    </row>
    <row r="11" spans="1:16" ht="15.75" thickBot="1" x14ac:dyDescent="0.3">
      <c r="A11" s="213">
        <v>1000067</v>
      </c>
      <c r="B11" s="12" t="s">
        <v>11</v>
      </c>
      <c r="C11" s="210"/>
      <c r="D11" s="214">
        <v>0</v>
      </c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>
        <f t="shared" si="0"/>
        <v>0</v>
      </c>
    </row>
    <row r="12" spans="1:16" ht="15.75" thickBot="1" x14ac:dyDescent="0.3">
      <c r="A12" s="213">
        <v>1000054</v>
      </c>
      <c r="B12" s="12" t="s">
        <v>12</v>
      </c>
      <c r="C12" s="210"/>
      <c r="D12" s="214">
        <v>10</v>
      </c>
      <c r="F12" s="212">
        <v>5</v>
      </c>
      <c r="G12" s="212"/>
      <c r="H12" s="212">
        <v>10</v>
      </c>
      <c r="I12" s="212"/>
      <c r="J12" s="212">
        <v>10</v>
      </c>
      <c r="K12" s="212"/>
      <c r="L12" s="212"/>
      <c r="M12" s="212"/>
      <c r="N12" s="212">
        <v>5</v>
      </c>
      <c r="O12" s="212"/>
      <c r="P12" s="557">
        <f t="shared" si="0"/>
        <v>30</v>
      </c>
    </row>
    <row r="13" spans="1:16" ht="15.75" thickBot="1" x14ac:dyDescent="0.3">
      <c r="A13" s="213">
        <v>1000070</v>
      </c>
      <c r="B13" s="12" t="s">
        <v>13</v>
      </c>
      <c r="C13" s="210"/>
      <c r="D13" s="214">
        <v>1</v>
      </c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>
        <f t="shared" si="0"/>
        <v>0</v>
      </c>
    </row>
    <row r="14" spans="1:16" ht="15.75" thickBot="1" x14ac:dyDescent="0.3">
      <c r="A14" s="213">
        <v>1000017</v>
      </c>
      <c r="B14" s="12" t="s">
        <v>14</v>
      </c>
      <c r="C14" s="210"/>
      <c r="D14" s="214">
        <v>10</v>
      </c>
      <c r="F14" s="212">
        <v>10</v>
      </c>
      <c r="G14" s="212"/>
      <c r="H14" s="212">
        <v>10</v>
      </c>
      <c r="I14" s="212"/>
      <c r="J14" s="212"/>
      <c r="K14" s="212"/>
      <c r="L14" s="212"/>
      <c r="M14" s="212"/>
      <c r="N14" s="212">
        <v>10</v>
      </c>
      <c r="O14" s="212"/>
      <c r="P14" s="557">
        <f t="shared" si="0"/>
        <v>30</v>
      </c>
    </row>
    <row r="15" spans="1:16" ht="15.75" thickBot="1" x14ac:dyDescent="0.3">
      <c r="A15" s="213">
        <v>1000016</v>
      </c>
      <c r="B15" s="13" t="s">
        <v>15</v>
      </c>
      <c r="C15" s="210"/>
      <c r="D15" s="214">
        <v>5</v>
      </c>
      <c r="F15" s="212"/>
      <c r="G15" s="212"/>
      <c r="H15" s="212">
        <v>5</v>
      </c>
      <c r="I15" s="212"/>
      <c r="J15" s="212"/>
      <c r="K15" s="212"/>
      <c r="L15" s="212"/>
      <c r="M15" s="212"/>
      <c r="N15" s="212"/>
      <c r="O15" s="212"/>
      <c r="P15" s="557">
        <f t="shared" si="0"/>
        <v>5</v>
      </c>
    </row>
    <row r="16" spans="1:16" ht="15.75" thickBot="1" x14ac:dyDescent="0.3">
      <c r="A16" s="213">
        <v>1000041</v>
      </c>
      <c r="B16" s="12" t="s">
        <v>16</v>
      </c>
      <c r="C16" s="210"/>
      <c r="D16" s="214">
        <v>5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>
        <f t="shared" si="0"/>
        <v>0</v>
      </c>
    </row>
    <row r="17" spans="1:22" ht="15.75" thickBot="1" x14ac:dyDescent="0.3">
      <c r="A17" s="213">
        <v>1000049</v>
      </c>
      <c r="B17" s="14" t="s">
        <v>21</v>
      </c>
      <c r="C17" s="210"/>
      <c r="D17" s="214">
        <v>0</v>
      </c>
      <c r="F17" s="212"/>
      <c r="G17" s="212"/>
      <c r="H17" s="212"/>
      <c r="I17" s="212"/>
      <c r="J17" s="212"/>
      <c r="K17" s="212"/>
      <c r="L17" s="212">
        <v>1</v>
      </c>
      <c r="M17" s="212"/>
      <c r="N17" s="212"/>
      <c r="O17" s="212"/>
      <c r="P17" s="557">
        <f t="shared" si="0"/>
        <v>1</v>
      </c>
    </row>
    <row r="18" spans="1:22" ht="15.75" thickBot="1" x14ac:dyDescent="0.3">
      <c r="A18" s="213">
        <v>1000050</v>
      </c>
      <c r="B18" s="12" t="s">
        <v>22</v>
      </c>
      <c r="C18" s="210"/>
      <c r="D18" s="214">
        <v>0</v>
      </c>
      <c r="F18" s="212"/>
      <c r="G18" s="212"/>
      <c r="H18" s="212">
        <v>1</v>
      </c>
      <c r="I18" s="212"/>
      <c r="J18" s="212"/>
      <c r="K18" s="212"/>
      <c r="L18" s="212">
        <v>2</v>
      </c>
      <c r="M18" s="212"/>
      <c r="N18" s="212"/>
      <c r="O18" s="212"/>
      <c r="P18" s="557">
        <f t="shared" si="0"/>
        <v>3</v>
      </c>
    </row>
    <row r="19" spans="1:22" ht="15.75" thickBot="1" x14ac:dyDescent="0.3">
      <c r="A19" s="213">
        <v>1000031</v>
      </c>
      <c r="B19" s="12" t="s">
        <v>25</v>
      </c>
      <c r="C19" s="210"/>
      <c r="D19" s="214">
        <v>1</v>
      </c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>
        <f t="shared" si="0"/>
        <v>0</v>
      </c>
    </row>
    <row r="20" spans="1:22" ht="15.75" thickBot="1" x14ac:dyDescent="0.3">
      <c r="A20" s="213">
        <v>1000025</v>
      </c>
      <c r="B20" s="12" t="s">
        <v>32</v>
      </c>
      <c r="C20" s="210"/>
      <c r="D20" s="214">
        <v>1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>
        <f t="shared" si="0"/>
        <v>0</v>
      </c>
    </row>
    <row r="21" spans="1:22" ht="15.75" thickBot="1" x14ac:dyDescent="0.3">
      <c r="A21" s="213">
        <v>1000084</v>
      </c>
      <c r="B21" s="12" t="s">
        <v>38</v>
      </c>
      <c r="C21" s="210"/>
      <c r="D21" s="214">
        <v>3</v>
      </c>
      <c r="F21" s="212">
        <v>4</v>
      </c>
      <c r="G21" s="212"/>
      <c r="H21" s="212">
        <v>8</v>
      </c>
      <c r="I21" s="212"/>
      <c r="J21" s="212">
        <v>8</v>
      </c>
      <c r="K21" s="212"/>
      <c r="L21" s="212">
        <v>4</v>
      </c>
      <c r="M21" s="212"/>
      <c r="N21" s="212"/>
      <c r="O21" s="212"/>
      <c r="P21" s="557">
        <f t="shared" si="0"/>
        <v>24</v>
      </c>
    </row>
    <row r="22" spans="1:22" ht="15.75" thickBot="1" x14ac:dyDescent="0.3">
      <c r="A22" s="213">
        <v>1000146</v>
      </c>
      <c r="B22" s="12" t="s">
        <v>39</v>
      </c>
      <c r="C22" s="210"/>
      <c r="D22" s="214">
        <v>20</v>
      </c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>
        <f t="shared" si="0"/>
        <v>0</v>
      </c>
    </row>
    <row r="23" spans="1:22" ht="15.75" thickBot="1" x14ac:dyDescent="0.3">
      <c r="A23" s="213">
        <v>1000090</v>
      </c>
      <c r="B23" s="12" t="s">
        <v>40</v>
      </c>
      <c r="C23" s="210"/>
      <c r="D23" s="214">
        <v>0</v>
      </c>
      <c r="F23" s="212">
        <v>2</v>
      </c>
      <c r="G23" s="212"/>
      <c r="H23" s="212"/>
      <c r="I23" s="212"/>
      <c r="J23" s="212"/>
      <c r="K23" s="212"/>
      <c r="L23" s="212">
        <v>2</v>
      </c>
      <c r="M23" s="212"/>
      <c r="N23" s="212"/>
      <c r="O23" s="212"/>
      <c r="P23" s="557">
        <f t="shared" si="0"/>
        <v>4</v>
      </c>
    </row>
    <row r="24" spans="1:22" ht="15.75" thickBot="1" x14ac:dyDescent="0.3">
      <c r="A24" s="213">
        <v>1000052</v>
      </c>
      <c r="B24" s="12" t="s">
        <v>41</v>
      </c>
      <c r="C24" s="210"/>
      <c r="D24" s="214">
        <v>1</v>
      </c>
      <c r="F24" s="212">
        <v>2</v>
      </c>
      <c r="G24" s="212"/>
      <c r="H24" s="212"/>
      <c r="I24" s="212"/>
      <c r="J24" s="212"/>
      <c r="K24" s="212"/>
      <c r="L24" s="212"/>
      <c r="M24" s="212"/>
      <c r="N24" s="212">
        <v>2</v>
      </c>
      <c r="O24" s="212"/>
      <c r="P24" s="557">
        <f t="shared" si="0"/>
        <v>4</v>
      </c>
    </row>
    <row r="25" spans="1:22" ht="15.75" thickBot="1" x14ac:dyDescent="0.3">
      <c r="A25" s="213">
        <v>1000089</v>
      </c>
      <c r="B25" s="12" t="s">
        <v>42</v>
      </c>
      <c r="C25" s="210"/>
      <c r="D25" s="214">
        <v>1</v>
      </c>
      <c r="F25" s="212">
        <v>2</v>
      </c>
      <c r="G25" s="212"/>
      <c r="H25" s="212"/>
      <c r="I25" s="212"/>
      <c r="J25" s="212">
        <v>2</v>
      </c>
      <c r="K25" s="212"/>
      <c r="L25" s="212"/>
      <c r="M25" s="212"/>
      <c r="N25" s="212"/>
      <c r="O25" s="212"/>
      <c r="P25" s="557">
        <f t="shared" si="0"/>
        <v>4</v>
      </c>
    </row>
    <row r="26" spans="1:22" ht="15.75" thickBot="1" x14ac:dyDescent="0.3">
      <c r="A26" s="213">
        <v>1000051</v>
      </c>
      <c r="B26" s="12" t="s">
        <v>43</v>
      </c>
      <c r="C26" s="210"/>
      <c r="D26" s="214">
        <v>1</v>
      </c>
      <c r="F26" s="212"/>
      <c r="G26" s="212"/>
      <c r="H26" s="212"/>
      <c r="I26" s="212"/>
      <c r="J26" s="212"/>
      <c r="K26" s="212"/>
      <c r="L26" s="212">
        <v>4</v>
      </c>
      <c r="M26" s="212"/>
      <c r="N26" s="212"/>
      <c r="O26" s="212"/>
      <c r="P26" s="557">
        <f t="shared" si="0"/>
        <v>4</v>
      </c>
    </row>
    <row r="27" spans="1:22" ht="15.75" thickBot="1" x14ac:dyDescent="0.3">
      <c r="A27" s="213">
        <v>1000048</v>
      </c>
      <c r="B27" s="12" t="s">
        <v>45</v>
      </c>
      <c r="C27" s="210"/>
      <c r="D27" s="214">
        <v>0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>
        <f t="shared" si="0"/>
        <v>0</v>
      </c>
    </row>
    <row r="28" spans="1:22" ht="15.75" thickBot="1" x14ac:dyDescent="0.3">
      <c r="A28" s="213">
        <v>1000057</v>
      </c>
      <c r="B28" s="12" t="s">
        <v>70</v>
      </c>
      <c r="C28" s="210"/>
      <c r="D28" s="214">
        <v>1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>
        <f t="shared" si="0"/>
        <v>0</v>
      </c>
    </row>
    <row r="29" spans="1:22" ht="15.75" thickBot="1" x14ac:dyDescent="0.3">
      <c r="A29" s="213">
        <v>10000015</v>
      </c>
      <c r="B29" s="12" t="s">
        <v>1</v>
      </c>
      <c r="C29" s="210"/>
      <c r="D29" s="214">
        <v>5</v>
      </c>
      <c r="F29" s="212">
        <v>5</v>
      </c>
      <c r="G29" s="212"/>
      <c r="H29" s="212"/>
      <c r="I29" s="212"/>
      <c r="J29" s="212"/>
      <c r="K29" s="212"/>
      <c r="L29" s="212"/>
      <c r="M29" s="212"/>
      <c r="N29" s="212">
        <v>5</v>
      </c>
      <c r="O29" s="212"/>
      <c r="P29" s="557">
        <f t="shared" si="0"/>
        <v>10</v>
      </c>
      <c r="V29" s="435" t="s">
        <v>336</v>
      </c>
    </row>
    <row r="30" spans="1:22" ht="15.75" thickBot="1" x14ac:dyDescent="0.3">
      <c r="A30" s="213">
        <v>10000102</v>
      </c>
      <c r="B30" s="12" t="s">
        <v>2</v>
      </c>
      <c r="C30" s="210"/>
      <c r="D30" s="214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>
        <f t="shared" si="0"/>
        <v>0</v>
      </c>
    </row>
    <row r="31" spans="1:22" ht="15.75" thickBot="1" x14ac:dyDescent="0.3">
      <c r="A31" s="213">
        <v>1000142</v>
      </c>
      <c r="B31" s="12" t="s">
        <v>54</v>
      </c>
      <c r="C31" s="210"/>
      <c r="D31" s="214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>
        <f t="shared" si="0"/>
        <v>0</v>
      </c>
      <c r="Q31" s="15"/>
    </row>
    <row r="32" spans="1:22" s="15" customFormat="1" ht="15.95" customHeight="1" thickBot="1" x14ac:dyDescent="0.3">
      <c r="A32" s="213">
        <v>1000030</v>
      </c>
      <c r="B32" s="12" t="s">
        <v>24</v>
      </c>
      <c r="C32" s="210"/>
      <c r="D32" s="214"/>
      <c r="E32" s="208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>
        <f t="shared" si="0"/>
        <v>0</v>
      </c>
      <c r="Q32" s="208"/>
    </row>
    <row r="33" spans="1:19" ht="15.75" thickBot="1" x14ac:dyDescent="0.3">
      <c r="A33" s="213">
        <v>1000100</v>
      </c>
      <c r="B33" s="12" t="s">
        <v>34</v>
      </c>
      <c r="C33" s="210"/>
      <c r="D33" s="214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>
        <f t="shared" si="0"/>
        <v>0</v>
      </c>
    </row>
    <row r="34" spans="1:19" ht="15.75" thickBot="1" x14ac:dyDescent="0.3">
      <c r="A34" s="213">
        <v>1000033</v>
      </c>
      <c r="B34" s="12" t="s">
        <v>27</v>
      </c>
      <c r="C34" s="210"/>
      <c r="D34" s="214"/>
      <c r="F34" s="212">
        <v>1</v>
      </c>
      <c r="G34" s="212"/>
      <c r="H34" s="212"/>
      <c r="I34" s="212"/>
      <c r="J34" s="212">
        <v>1</v>
      </c>
      <c r="K34" s="212"/>
      <c r="L34" s="212"/>
      <c r="M34" s="212"/>
      <c r="N34" s="212">
        <v>1</v>
      </c>
      <c r="O34" s="212"/>
      <c r="P34" s="557">
        <f t="shared" si="0"/>
        <v>3</v>
      </c>
    </row>
    <row r="35" spans="1:19" ht="15.75" thickBot="1" x14ac:dyDescent="0.3">
      <c r="A35" s="213">
        <v>1000029</v>
      </c>
      <c r="B35" s="12" t="s">
        <v>30</v>
      </c>
      <c r="C35" s="210"/>
      <c r="D35" s="214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>
        <f t="shared" si="0"/>
        <v>0</v>
      </c>
    </row>
    <row r="36" spans="1:19" ht="15.75" thickBot="1" x14ac:dyDescent="0.3">
      <c r="A36" s="213">
        <v>1000100</v>
      </c>
      <c r="B36" s="12" t="s">
        <v>34</v>
      </c>
      <c r="C36" s="210"/>
      <c r="D36" s="214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>
        <f t="shared" si="0"/>
        <v>0</v>
      </c>
    </row>
    <row r="37" spans="1:19" ht="15.75" thickBot="1" x14ac:dyDescent="0.3">
      <c r="A37" s="213">
        <v>1000214</v>
      </c>
      <c r="B37" s="12" t="s">
        <v>49</v>
      </c>
      <c r="C37" s="210"/>
      <c r="D37" s="214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>
        <f t="shared" si="0"/>
        <v>0</v>
      </c>
    </row>
    <row r="38" spans="1:19" ht="15.75" thickBot="1" x14ac:dyDescent="0.3">
      <c r="A38" s="213">
        <v>1000026</v>
      </c>
      <c r="B38" s="12" t="s">
        <v>31</v>
      </c>
      <c r="C38" s="210"/>
      <c r="D38" s="214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>
        <f t="shared" si="0"/>
        <v>0</v>
      </c>
    </row>
    <row r="39" spans="1:19" ht="15.75" thickBot="1" x14ac:dyDescent="0.3">
      <c r="A39" s="213">
        <v>1000101</v>
      </c>
      <c r="B39" s="12" t="s">
        <v>35</v>
      </c>
      <c r="C39" s="210"/>
      <c r="D39" s="214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>
        <f t="shared" si="0"/>
        <v>0</v>
      </c>
    </row>
    <row r="40" spans="1:19" ht="15.75" thickBot="1" x14ac:dyDescent="0.3">
      <c r="A40" s="213">
        <v>1000076</v>
      </c>
      <c r="B40" s="12" t="s">
        <v>46</v>
      </c>
      <c r="C40" s="210"/>
      <c r="D40" s="214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>
        <f t="shared" si="0"/>
        <v>0</v>
      </c>
      <c r="S40" s="485" t="s">
        <v>336</v>
      </c>
    </row>
    <row r="41" spans="1:19" ht="15.75" thickBot="1" x14ac:dyDescent="0.3">
      <c r="A41" s="213">
        <v>1000034</v>
      </c>
      <c r="B41" s="12" t="s">
        <v>28</v>
      </c>
      <c r="C41" s="210"/>
      <c r="D41" s="214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>
        <f t="shared" si="0"/>
        <v>0</v>
      </c>
    </row>
    <row r="42" spans="1:19" ht="15.75" thickBot="1" x14ac:dyDescent="0.3">
      <c r="A42" s="213">
        <v>1000472</v>
      </c>
      <c r="B42" s="12" t="s">
        <v>222</v>
      </c>
      <c r="C42" s="210"/>
      <c r="D42" s="214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>
        <f t="shared" si="0"/>
        <v>0</v>
      </c>
    </row>
    <row r="43" spans="1:19" ht="15.75" thickBot="1" x14ac:dyDescent="0.3">
      <c r="A43" s="213">
        <v>10248</v>
      </c>
      <c r="B43" s="12" t="s">
        <v>183</v>
      </c>
      <c r="C43" s="210"/>
      <c r="D43" s="214"/>
      <c r="F43" s="212"/>
      <c r="G43" s="212"/>
      <c r="H43" s="212">
        <v>9</v>
      </c>
      <c r="I43" s="212"/>
      <c r="J43" s="212"/>
      <c r="K43" s="212"/>
      <c r="L43" s="212">
        <v>6</v>
      </c>
      <c r="M43" s="212"/>
      <c r="N43" s="212"/>
      <c r="O43" s="212"/>
      <c r="P43" s="557">
        <f t="shared" si="0"/>
        <v>15</v>
      </c>
    </row>
    <row r="44" spans="1:19" ht="15.75" thickBot="1" x14ac:dyDescent="0.3">
      <c r="A44" s="213">
        <v>1000147</v>
      </c>
      <c r="B44" s="12" t="s">
        <v>52</v>
      </c>
      <c r="C44" s="210"/>
      <c r="D44" s="214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>
        <f>SUM(F45:O45)</f>
        <v>0</v>
      </c>
    </row>
    <row r="45" spans="1:19" ht="15.75" thickBot="1" x14ac:dyDescent="0.3">
      <c r="A45" s="213">
        <v>1000383</v>
      </c>
      <c r="B45" s="12" t="s">
        <v>234</v>
      </c>
      <c r="C45" s="210"/>
      <c r="D45" s="214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>
        <f>SUM(F46:O46)</f>
        <v>0</v>
      </c>
    </row>
    <row r="46" spans="1:19" ht="15.75" thickBot="1" x14ac:dyDescent="0.3">
      <c r="A46" s="213">
        <v>1000465</v>
      </c>
      <c r="B46" s="12" t="s">
        <v>219</v>
      </c>
      <c r="C46" s="210"/>
      <c r="D46" s="214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>
        <f t="shared" si="0"/>
        <v>0</v>
      </c>
    </row>
    <row r="47" spans="1:19" ht="15.75" thickBot="1" x14ac:dyDescent="0.3">
      <c r="A47" s="213">
        <v>1000080</v>
      </c>
      <c r="B47" s="12" t="s">
        <v>275</v>
      </c>
      <c r="C47" s="210"/>
      <c r="D47" s="214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>
        <f t="shared" si="0"/>
        <v>0</v>
      </c>
    </row>
    <row r="48" spans="1:19" ht="15.75" thickBot="1" x14ac:dyDescent="0.3">
      <c r="A48" s="213">
        <v>1000436</v>
      </c>
      <c r="B48" s="12" t="s">
        <v>276</v>
      </c>
      <c r="C48" s="210"/>
      <c r="D48" s="214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>
        <f t="shared" si="0"/>
        <v>0</v>
      </c>
    </row>
    <row r="49" spans="1:16" ht="15.75" thickBot="1" x14ac:dyDescent="0.3">
      <c r="A49" s="213">
        <v>1000550</v>
      </c>
      <c r="B49" s="12" t="s">
        <v>277</v>
      </c>
      <c r="C49" s="210"/>
      <c r="D49" s="214"/>
      <c r="F49" s="212">
        <v>8</v>
      </c>
      <c r="G49" s="212"/>
      <c r="H49" s="212"/>
      <c r="I49" s="212"/>
      <c r="J49" s="212">
        <v>8</v>
      </c>
      <c r="K49" s="212"/>
      <c r="L49" s="212"/>
      <c r="M49" s="212"/>
      <c r="N49" s="212">
        <v>8</v>
      </c>
      <c r="O49" s="212"/>
      <c r="P49" s="557">
        <f t="shared" si="0"/>
        <v>24</v>
      </c>
    </row>
    <row r="50" spans="1:16" ht="15.75" thickBot="1" x14ac:dyDescent="0.3">
      <c r="A50" s="213">
        <v>1000551</v>
      </c>
      <c r="B50" s="12" t="s">
        <v>278</v>
      </c>
      <c r="C50" s="210"/>
      <c r="D50" s="214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>
        <f t="shared" si="0"/>
        <v>0</v>
      </c>
    </row>
    <row r="51" spans="1:16" ht="16.5" thickBot="1" x14ac:dyDescent="0.3">
      <c r="A51" s="207">
        <v>1000550</v>
      </c>
      <c r="B51" s="246" t="s">
        <v>279</v>
      </c>
      <c r="C51"/>
      <c r="D51" s="38"/>
      <c r="E51" s="215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>
        <f t="shared" si="0"/>
        <v>0</v>
      </c>
    </row>
    <row r="52" spans="1:16" ht="15.75" thickBot="1" x14ac:dyDescent="0.3">
      <c r="A52" s="30">
        <v>10211</v>
      </c>
      <c r="B52" s="11" t="s">
        <v>3</v>
      </c>
      <c r="D52" s="38"/>
      <c r="F52" s="212">
        <v>50</v>
      </c>
      <c r="G52" s="212"/>
      <c r="H52" s="212">
        <v>100</v>
      </c>
      <c r="I52" s="212"/>
      <c r="J52" s="212">
        <v>50</v>
      </c>
      <c r="K52" s="212"/>
      <c r="L52" s="212">
        <v>100</v>
      </c>
      <c r="M52" s="212"/>
      <c r="N52" s="212"/>
      <c r="O52" s="212"/>
      <c r="P52" s="557">
        <f t="shared" si="0"/>
        <v>300</v>
      </c>
    </row>
    <row r="53" spans="1:16" ht="15.75" thickBot="1" x14ac:dyDescent="0.3">
      <c r="A53" s="35">
        <v>1000087</v>
      </c>
      <c r="B53" s="12" t="s">
        <v>197</v>
      </c>
      <c r="D53" s="38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>
        <f t="shared" ref="P53:P55" si="1">SUM(F53:O53)</f>
        <v>0</v>
      </c>
    </row>
    <row r="54" spans="1:16" ht="15.75" thickBot="1" x14ac:dyDescent="0.3">
      <c r="A54" s="35"/>
      <c r="B54" s="22" t="s">
        <v>468</v>
      </c>
      <c r="D54" s="38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>
        <f t="shared" si="1"/>
        <v>0</v>
      </c>
    </row>
    <row r="55" spans="1:16" ht="15.75" thickBot="1" x14ac:dyDescent="0.3">
      <c r="A55" s="35"/>
      <c r="B55" s="12"/>
      <c r="D55" s="38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>
        <f t="shared" si="1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3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90B2-A36C-4965-A003-25BD00971C05}">
  <sheetPr>
    <tabColor rgb="FF7030A0"/>
    <pageSetUpPr fitToPage="1"/>
  </sheetPr>
  <dimension ref="A1:P55"/>
  <sheetViews>
    <sheetView workbookViewId="0">
      <selection activeCell="R51" sqref="R51"/>
    </sheetView>
  </sheetViews>
  <sheetFormatPr baseColWidth="10" defaultRowHeight="15.75" x14ac:dyDescent="0.25"/>
  <cols>
    <col min="1" max="1" width="8.375" style="3" bestFit="1" customWidth="1"/>
    <col min="2" max="2" width="40.125" style="3" bestFit="1" customWidth="1"/>
    <col min="3" max="3" width="0.875" style="3" customWidth="1"/>
    <col min="4" max="4" width="8.125" style="3" bestFit="1" customWidth="1"/>
    <col min="5" max="5" width="1" style="3" customWidth="1"/>
    <col min="6" max="6" width="9.125" style="3" bestFit="1" customWidth="1"/>
    <col min="7" max="7" width="6.25" style="3" customWidth="1"/>
    <col min="8" max="8" width="9.125" style="3" bestFit="1" customWidth="1"/>
    <col min="9" max="9" width="6.625" style="3" customWidth="1"/>
    <col min="10" max="10" width="7.875" style="3" customWidth="1"/>
    <col min="11" max="11" width="6" style="3" customWidth="1"/>
    <col min="12" max="12" width="9.75" style="3" bestFit="1" customWidth="1"/>
    <col min="13" max="13" width="5.875" style="3" customWidth="1"/>
    <col min="14" max="14" width="9.125" style="3" bestFit="1" customWidth="1"/>
    <col min="15" max="15" width="5.25" style="3" customWidth="1"/>
    <col min="16" max="16384" width="11" style="3"/>
  </cols>
  <sheetData>
    <row r="1" spans="1:16" ht="28.5" customHeight="1" x14ac:dyDescent="0.45">
      <c r="A1" s="780" t="s">
        <v>433</v>
      </c>
      <c r="B1" s="781"/>
      <c r="C1" s="18"/>
      <c r="D1" s="18"/>
      <c r="E1" s="485"/>
      <c r="F1" s="751" t="s">
        <v>474</v>
      </c>
      <c r="G1" s="752"/>
      <c r="H1" s="752"/>
      <c r="I1" s="752"/>
      <c r="J1" s="753"/>
      <c r="K1" s="2"/>
      <c r="L1"/>
      <c r="M1"/>
      <c r="N1" s="485"/>
      <c r="O1" s="485"/>
      <c r="P1" s="485"/>
    </row>
    <row r="2" spans="1:16" ht="18.75" customHeight="1" thickBot="1" x14ac:dyDescent="0.5">
      <c r="A2" s="782"/>
      <c r="B2" s="783"/>
      <c r="C2" s="18"/>
      <c r="D2" s="433" t="s">
        <v>362</v>
      </c>
      <c r="F2" s="754"/>
      <c r="G2" s="755"/>
      <c r="H2" s="755"/>
      <c r="I2" s="755"/>
      <c r="J2" s="756"/>
      <c r="K2" s="2"/>
      <c r="L2"/>
      <c r="M2"/>
    </row>
    <row r="3" spans="1:16" ht="21.75" customHeight="1" thickBot="1" x14ac:dyDescent="0.3">
      <c r="A3" s="5"/>
      <c r="B3" s="5" t="s">
        <v>354</v>
      </c>
      <c r="C3" s="18"/>
      <c r="D3" s="18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60">
        <v>10000015</v>
      </c>
      <c r="B5" s="12" t="s">
        <v>1</v>
      </c>
      <c r="C5" s="487"/>
      <c r="D5" s="503">
        <v>0</v>
      </c>
      <c r="E5" s="485"/>
      <c r="F5" s="493"/>
      <c r="G5" s="493"/>
      <c r="H5" s="493"/>
      <c r="I5" s="493"/>
      <c r="J5" s="493"/>
      <c r="K5" s="493"/>
      <c r="L5" s="493"/>
      <c r="M5" s="493"/>
      <c r="N5" s="493"/>
      <c r="O5" s="493"/>
      <c r="P5" s="494">
        <v>20</v>
      </c>
    </row>
    <row r="6" spans="1:16" x14ac:dyDescent="0.25">
      <c r="A6" s="60">
        <v>10000102</v>
      </c>
      <c r="B6" s="12" t="s">
        <v>2</v>
      </c>
      <c r="C6" s="487"/>
      <c r="D6" s="503">
        <v>0</v>
      </c>
      <c r="E6" s="485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>
        <v>2</v>
      </c>
    </row>
    <row r="7" spans="1:16" x14ac:dyDescent="0.25">
      <c r="A7" s="60">
        <v>10211</v>
      </c>
      <c r="B7" s="12" t="s">
        <v>3</v>
      </c>
      <c r="C7" s="487"/>
      <c r="D7" s="503">
        <v>75</v>
      </c>
      <c r="E7" s="485"/>
      <c r="F7" s="493">
        <v>50</v>
      </c>
      <c r="G7" s="493"/>
      <c r="H7" s="493">
        <v>50</v>
      </c>
      <c r="I7" s="493"/>
      <c r="J7" s="493">
        <v>50</v>
      </c>
      <c r="K7" s="493"/>
      <c r="L7" s="493">
        <v>50</v>
      </c>
      <c r="M7" s="493"/>
      <c r="N7" s="493"/>
      <c r="O7" s="493"/>
      <c r="P7" s="494">
        <f t="shared" ref="P7:P55" si="0">SUM(F7:O7)</f>
        <v>200</v>
      </c>
    </row>
    <row r="8" spans="1:16" x14ac:dyDescent="0.25">
      <c r="A8" s="60">
        <v>1000006</v>
      </c>
      <c r="B8" s="12" t="s">
        <v>4</v>
      </c>
      <c r="C8" s="487"/>
      <c r="D8" s="503">
        <v>60</v>
      </c>
      <c r="E8" s="485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1">
        <f t="shared" si="0"/>
        <v>0</v>
      </c>
    </row>
    <row r="9" spans="1:16" x14ac:dyDescent="0.25">
      <c r="A9" s="60">
        <v>1000007</v>
      </c>
      <c r="B9" s="12" t="s">
        <v>5</v>
      </c>
      <c r="C9" s="487"/>
      <c r="D9" s="503">
        <v>45</v>
      </c>
      <c r="E9" s="485"/>
      <c r="F9" s="493">
        <v>50</v>
      </c>
      <c r="G9" s="493"/>
      <c r="H9" s="493"/>
      <c r="I9" s="493"/>
      <c r="J9" s="493">
        <v>50</v>
      </c>
      <c r="K9" s="493"/>
      <c r="L9" s="493"/>
      <c r="M9" s="493"/>
      <c r="N9" s="493"/>
      <c r="O9" s="493"/>
      <c r="P9" s="494">
        <f t="shared" si="0"/>
        <v>100</v>
      </c>
    </row>
    <row r="10" spans="1:16" x14ac:dyDescent="0.25">
      <c r="A10" s="60">
        <v>10212</v>
      </c>
      <c r="B10" s="12" t="s">
        <v>6</v>
      </c>
      <c r="C10" s="487"/>
      <c r="D10" s="503">
        <v>0</v>
      </c>
      <c r="E10" s="485"/>
      <c r="F10" s="493"/>
      <c r="G10" s="493"/>
      <c r="H10" s="493"/>
      <c r="I10" s="493"/>
      <c r="J10" s="493"/>
      <c r="K10" s="493"/>
      <c r="L10" s="493"/>
      <c r="M10" s="493"/>
      <c r="N10" s="493"/>
      <c r="O10" s="493"/>
      <c r="P10" s="491">
        <f t="shared" si="0"/>
        <v>0</v>
      </c>
    </row>
    <row r="11" spans="1:16" x14ac:dyDescent="0.25">
      <c r="A11" s="60">
        <v>1000008</v>
      </c>
      <c r="B11" s="12" t="s">
        <v>7</v>
      </c>
      <c r="C11" s="487"/>
      <c r="D11" s="503">
        <v>5</v>
      </c>
      <c r="E11" s="485"/>
      <c r="F11" s="493">
        <v>100</v>
      </c>
      <c r="G11" s="493"/>
      <c r="H11" s="493"/>
      <c r="I11" s="493"/>
      <c r="J11" s="493"/>
      <c r="K11" s="493"/>
      <c r="L11" s="493"/>
      <c r="M11" s="493"/>
      <c r="N11" s="493"/>
      <c r="O11" s="493"/>
      <c r="P11" s="494">
        <f t="shared" si="0"/>
        <v>100</v>
      </c>
    </row>
    <row r="12" spans="1:16" x14ac:dyDescent="0.25">
      <c r="A12" s="60">
        <v>1000001</v>
      </c>
      <c r="B12" s="12" t="s">
        <v>8</v>
      </c>
      <c r="C12" s="487"/>
      <c r="D12" s="503">
        <v>2</v>
      </c>
      <c r="E12" s="485"/>
      <c r="F12" s="493">
        <v>2</v>
      </c>
      <c r="G12" s="493"/>
      <c r="H12" s="493"/>
      <c r="I12" s="493"/>
      <c r="J12" s="493">
        <v>2</v>
      </c>
      <c r="K12" s="493"/>
      <c r="L12" s="493">
        <v>2</v>
      </c>
      <c r="M12" s="493"/>
      <c r="N12" s="493"/>
      <c r="O12" s="493"/>
      <c r="P12" s="494">
        <f t="shared" si="0"/>
        <v>6</v>
      </c>
    </row>
    <row r="13" spans="1:16" x14ac:dyDescent="0.25">
      <c r="A13" s="60">
        <v>1000002</v>
      </c>
      <c r="B13" s="12" t="s">
        <v>9</v>
      </c>
      <c r="C13" s="487"/>
      <c r="D13" s="503">
        <v>1</v>
      </c>
      <c r="E13" s="485"/>
      <c r="F13" s="493"/>
      <c r="G13" s="493"/>
      <c r="H13" s="493">
        <v>1</v>
      </c>
      <c r="I13" s="493"/>
      <c r="J13" s="493">
        <v>1</v>
      </c>
      <c r="K13" s="493"/>
      <c r="L13" s="493"/>
      <c r="M13" s="493"/>
      <c r="N13" s="493"/>
      <c r="O13" s="493"/>
      <c r="P13" s="494">
        <f t="shared" si="0"/>
        <v>2</v>
      </c>
    </row>
    <row r="14" spans="1:16" x14ac:dyDescent="0.25">
      <c r="A14" s="60">
        <v>1000004</v>
      </c>
      <c r="B14" s="12" t="s">
        <v>10</v>
      </c>
      <c r="C14" s="487"/>
      <c r="D14" s="503">
        <v>0</v>
      </c>
      <c r="E14" s="485"/>
      <c r="F14" s="493">
        <v>2</v>
      </c>
      <c r="G14" s="493"/>
      <c r="H14" s="493"/>
      <c r="I14" s="493"/>
      <c r="J14" s="493">
        <v>2</v>
      </c>
      <c r="K14" s="493"/>
      <c r="L14" s="493">
        <v>2</v>
      </c>
      <c r="M14" s="493"/>
      <c r="N14" s="493">
        <v>2</v>
      </c>
      <c r="O14" s="493"/>
      <c r="P14" s="494">
        <f t="shared" si="0"/>
        <v>8</v>
      </c>
    </row>
    <row r="15" spans="1:16" x14ac:dyDescent="0.25">
      <c r="A15" s="60">
        <v>1000067</v>
      </c>
      <c r="B15" s="12" t="s">
        <v>11</v>
      </c>
      <c r="C15" s="487"/>
      <c r="D15" s="503">
        <v>0</v>
      </c>
      <c r="E15" s="485"/>
      <c r="F15" s="493"/>
      <c r="G15" s="493"/>
      <c r="H15" s="493"/>
      <c r="I15" s="493"/>
      <c r="J15" s="493"/>
      <c r="K15" s="493"/>
      <c r="L15" s="493"/>
      <c r="M15" s="493"/>
      <c r="N15" s="493"/>
      <c r="O15" s="493"/>
      <c r="P15" s="491">
        <f t="shared" si="0"/>
        <v>0</v>
      </c>
    </row>
    <row r="16" spans="1:16" x14ac:dyDescent="0.25">
      <c r="A16" s="60">
        <v>1000054</v>
      </c>
      <c r="B16" s="13" t="s">
        <v>12</v>
      </c>
      <c r="C16" s="487"/>
      <c r="D16" s="503">
        <v>5</v>
      </c>
      <c r="E16" s="485"/>
      <c r="F16" s="493"/>
      <c r="G16" s="493"/>
      <c r="H16" s="493">
        <v>5</v>
      </c>
      <c r="I16" s="493"/>
      <c r="J16" s="493">
        <v>5</v>
      </c>
      <c r="K16" s="493"/>
      <c r="L16" s="493"/>
      <c r="M16" s="493"/>
      <c r="N16" s="493">
        <v>5</v>
      </c>
      <c r="O16" s="493"/>
      <c r="P16" s="494">
        <f t="shared" si="0"/>
        <v>15</v>
      </c>
    </row>
    <row r="17" spans="1:16" x14ac:dyDescent="0.25">
      <c r="A17" s="60">
        <v>1000070</v>
      </c>
      <c r="B17" s="12" t="s">
        <v>13</v>
      </c>
      <c r="C17" s="487"/>
      <c r="D17" s="503">
        <v>0</v>
      </c>
      <c r="E17" s="485"/>
      <c r="F17" s="493"/>
      <c r="G17" s="493"/>
      <c r="H17" s="493"/>
      <c r="I17" s="493"/>
      <c r="J17" s="493"/>
      <c r="K17" s="493"/>
      <c r="L17" s="493"/>
      <c r="M17" s="493"/>
      <c r="N17" s="493"/>
      <c r="O17" s="493"/>
      <c r="P17" s="804">
        <f t="shared" si="0"/>
        <v>0</v>
      </c>
    </row>
    <row r="18" spans="1:16" x14ac:dyDescent="0.25">
      <c r="A18" s="60">
        <v>1000017</v>
      </c>
      <c r="B18" s="14" t="s">
        <v>14</v>
      </c>
      <c r="C18" s="487"/>
      <c r="D18" s="503">
        <v>5</v>
      </c>
      <c r="E18" s="485"/>
      <c r="F18" s="493">
        <v>10</v>
      </c>
      <c r="G18" s="493"/>
      <c r="H18" s="493"/>
      <c r="I18" s="493"/>
      <c r="J18" s="493"/>
      <c r="K18" s="493"/>
      <c r="L18" s="493">
        <v>10</v>
      </c>
      <c r="M18" s="493"/>
      <c r="N18" s="493">
        <v>5</v>
      </c>
      <c r="O18" s="493"/>
      <c r="P18" s="494">
        <f t="shared" si="0"/>
        <v>25</v>
      </c>
    </row>
    <row r="19" spans="1:16" x14ac:dyDescent="0.25">
      <c r="A19" s="60">
        <v>1000031</v>
      </c>
      <c r="B19" s="13" t="s">
        <v>25</v>
      </c>
      <c r="C19" s="487"/>
      <c r="D19" s="503">
        <v>0</v>
      </c>
      <c r="E19" s="485"/>
      <c r="F19" s="493"/>
      <c r="G19" s="493"/>
      <c r="H19" s="493"/>
      <c r="I19" s="493"/>
      <c r="J19" s="493"/>
      <c r="K19" s="493"/>
      <c r="L19" s="493"/>
      <c r="M19" s="493"/>
      <c r="N19" s="493"/>
      <c r="O19" s="493"/>
      <c r="P19" s="491">
        <f t="shared" si="0"/>
        <v>0</v>
      </c>
    </row>
    <row r="20" spans="1:16" x14ac:dyDescent="0.25">
      <c r="A20" s="60">
        <v>1000032</v>
      </c>
      <c r="B20" s="12" t="s">
        <v>26</v>
      </c>
      <c r="C20" s="487"/>
      <c r="D20" s="503">
        <v>0</v>
      </c>
      <c r="E20" s="15"/>
      <c r="F20" s="493"/>
      <c r="G20" s="493"/>
      <c r="H20" s="493"/>
      <c r="I20" s="493"/>
      <c r="J20" s="493"/>
      <c r="K20" s="493"/>
      <c r="L20" s="493"/>
      <c r="M20" s="493"/>
      <c r="N20" s="493"/>
      <c r="O20" s="493"/>
      <c r="P20" s="491">
        <f t="shared" si="0"/>
        <v>0</v>
      </c>
    </row>
    <row r="21" spans="1:16" x14ac:dyDescent="0.25">
      <c r="A21" s="60">
        <v>1000025</v>
      </c>
      <c r="B21" s="12" t="s">
        <v>32</v>
      </c>
      <c r="C21" s="487"/>
      <c r="D21" s="503">
        <v>3</v>
      </c>
      <c r="E21" s="485"/>
      <c r="F21" s="493"/>
      <c r="G21" s="493"/>
      <c r="H21" s="493"/>
      <c r="I21" s="493"/>
      <c r="J21" s="493"/>
      <c r="K21" s="493"/>
      <c r="L21" s="493">
        <v>5</v>
      </c>
      <c r="M21" s="493"/>
      <c r="N21" s="493"/>
      <c r="O21" s="493"/>
      <c r="P21" s="494">
        <f t="shared" si="0"/>
        <v>5</v>
      </c>
    </row>
    <row r="22" spans="1:16" x14ac:dyDescent="0.25">
      <c r="A22" s="60">
        <v>1000100</v>
      </c>
      <c r="B22" s="12" t="s">
        <v>34</v>
      </c>
      <c r="C22" s="487"/>
      <c r="D22" s="503">
        <v>0</v>
      </c>
      <c r="E22" s="485"/>
      <c r="F22" s="493"/>
      <c r="G22" s="493"/>
      <c r="H22" s="493"/>
      <c r="I22" s="493"/>
      <c r="J22" s="493"/>
      <c r="K22" s="493"/>
      <c r="L22" s="493"/>
      <c r="M22" s="493"/>
      <c r="N22" s="493"/>
      <c r="O22" s="493"/>
      <c r="P22" s="491">
        <f t="shared" si="0"/>
        <v>0</v>
      </c>
    </row>
    <row r="23" spans="1:16" x14ac:dyDescent="0.25">
      <c r="A23" s="60">
        <v>1000101</v>
      </c>
      <c r="B23" s="12" t="s">
        <v>35</v>
      </c>
      <c r="C23" s="487"/>
      <c r="D23" s="503">
        <v>0</v>
      </c>
      <c r="E23" s="485"/>
      <c r="F23" s="493"/>
      <c r="G23" s="493"/>
      <c r="H23" s="493"/>
      <c r="I23" s="493"/>
      <c r="J23" s="493"/>
      <c r="K23" s="493"/>
      <c r="L23" s="493"/>
      <c r="M23" s="493"/>
      <c r="N23" s="493"/>
      <c r="O23" s="493"/>
      <c r="P23" s="491">
        <f t="shared" si="0"/>
        <v>0</v>
      </c>
    </row>
    <row r="24" spans="1:16" x14ac:dyDescent="0.25">
      <c r="A24" s="60">
        <v>1000073</v>
      </c>
      <c r="B24" s="12" t="s">
        <v>36</v>
      </c>
      <c r="C24" s="487"/>
      <c r="D24" s="503">
        <v>0</v>
      </c>
      <c r="E24" s="485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1">
        <f t="shared" si="0"/>
        <v>0</v>
      </c>
    </row>
    <row r="25" spans="1:16" x14ac:dyDescent="0.25">
      <c r="A25" s="60">
        <v>1000082</v>
      </c>
      <c r="B25" s="13" t="s">
        <v>37</v>
      </c>
      <c r="C25" s="487"/>
      <c r="D25" s="503">
        <v>1</v>
      </c>
      <c r="E25" s="485"/>
      <c r="F25" s="493">
        <v>16</v>
      </c>
      <c r="G25" s="493"/>
      <c r="H25" s="493"/>
      <c r="I25" s="493"/>
      <c r="J25" s="493"/>
      <c r="K25" s="493"/>
      <c r="L25" s="493">
        <v>8</v>
      </c>
      <c r="M25" s="493"/>
      <c r="N25" s="493"/>
      <c r="O25" s="493"/>
      <c r="P25" s="494">
        <f t="shared" si="0"/>
        <v>24</v>
      </c>
    </row>
    <row r="26" spans="1:16" x14ac:dyDescent="0.25">
      <c r="A26" s="60">
        <v>1000146</v>
      </c>
      <c r="B26" s="13" t="s">
        <v>39</v>
      </c>
      <c r="C26" s="487"/>
      <c r="D26" s="503">
        <v>12</v>
      </c>
      <c r="E26" s="485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1">
        <f t="shared" si="0"/>
        <v>0</v>
      </c>
    </row>
    <row r="27" spans="1:16" x14ac:dyDescent="0.25">
      <c r="A27" s="60">
        <v>1000090</v>
      </c>
      <c r="B27" s="13" t="s">
        <v>40</v>
      </c>
      <c r="C27" s="487"/>
      <c r="D27" s="503">
        <v>2</v>
      </c>
      <c r="E27" s="485"/>
      <c r="F27" s="493">
        <v>3</v>
      </c>
      <c r="G27" s="493"/>
      <c r="H27" s="493">
        <v>3</v>
      </c>
      <c r="I27" s="493"/>
      <c r="J27" s="493">
        <v>3</v>
      </c>
      <c r="K27" s="493"/>
      <c r="L27" s="493">
        <v>3</v>
      </c>
      <c r="M27" s="493"/>
      <c r="N27" s="493">
        <v>3</v>
      </c>
      <c r="O27" s="493"/>
      <c r="P27" s="494">
        <f t="shared" si="0"/>
        <v>15</v>
      </c>
    </row>
    <row r="28" spans="1:16" x14ac:dyDescent="0.25">
      <c r="A28" s="60">
        <v>1000052</v>
      </c>
      <c r="B28" s="13" t="s">
        <v>41</v>
      </c>
      <c r="C28" s="487"/>
      <c r="D28" s="503">
        <v>1</v>
      </c>
      <c r="E28" s="485"/>
      <c r="F28" s="493">
        <v>3</v>
      </c>
      <c r="G28" s="493"/>
      <c r="H28" s="493"/>
      <c r="I28" s="493"/>
      <c r="J28" s="493"/>
      <c r="K28" s="493"/>
      <c r="L28" s="493"/>
      <c r="M28" s="493"/>
      <c r="N28" s="493"/>
      <c r="O28" s="493"/>
      <c r="P28" s="494">
        <f t="shared" si="0"/>
        <v>3</v>
      </c>
    </row>
    <row r="29" spans="1:16" x14ac:dyDescent="0.25">
      <c r="A29" s="60">
        <v>1000089</v>
      </c>
      <c r="B29" s="13" t="s">
        <v>42</v>
      </c>
      <c r="C29" s="487"/>
      <c r="D29" s="503">
        <v>1</v>
      </c>
      <c r="E29" s="485"/>
      <c r="F29" s="493"/>
      <c r="G29" s="493"/>
      <c r="H29" s="493"/>
      <c r="I29" s="493"/>
      <c r="J29" s="493"/>
      <c r="K29" s="493"/>
      <c r="L29" s="493">
        <v>2</v>
      </c>
      <c r="M29" s="493"/>
      <c r="N29" s="493"/>
      <c r="O29" s="493"/>
      <c r="P29" s="494">
        <f t="shared" si="0"/>
        <v>2</v>
      </c>
    </row>
    <row r="30" spans="1:16" x14ac:dyDescent="0.25">
      <c r="A30" s="60">
        <v>1000051</v>
      </c>
      <c r="B30" s="13" t="s">
        <v>43</v>
      </c>
      <c r="C30" s="487"/>
      <c r="D30" s="503">
        <v>1</v>
      </c>
      <c r="E30" s="485"/>
      <c r="F30" s="493"/>
      <c r="G30" s="493"/>
      <c r="H30" s="493"/>
      <c r="I30" s="493"/>
      <c r="J30" s="493"/>
      <c r="K30" s="493"/>
      <c r="L30" s="493"/>
      <c r="M30" s="493"/>
      <c r="N30" s="493"/>
      <c r="O30" s="493"/>
      <c r="P30" s="491">
        <f t="shared" si="0"/>
        <v>0</v>
      </c>
    </row>
    <row r="31" spans="1:16" x14ac:dyDescent="0.25">
      <c r="A31" s="60">
        <v>1000041</v>
      </c>
      <c r="B31" s="13" t="s">
        <v>16</v>
      </c>
      <c r="C31" s="487"/>
      <c r="D31" s="503"/>
      <c r="E31" s="485"/>
      <c r="F31" s="493"/>
      <c r="G31" s="493"/>
      <c r="H31" s="493"/>
      <c r="I31" s="493"/>
      <c r="J31" s="493"/>
      <c r="K31" s="493"/>
      <c r="L31" s="493"/>
      <c r="M31" s="493"/>
      <c r="N31" s="493"/>
      <c r="O31" s="493"/>
      <c r="P31" s="491">
        <f t="shared" si="0"/>
        <v>0</v>
      </c>
    </row>
    <row r="32" spans="1:16" x14ac:dyDescent="0.25">
      <c r="A32" s="60">
        <v>1000030</v>
      </c>
      <c r="B32" s="13" t="s">
        <v>24</v>
      </c>
      <c r="C32" s="487"/>
      <c r="D32" s="503"/>
      <c r="E32" s="485"/>
      <c r="F32" s="493"/>
      <c r="G32" s="493"/>
      <c r="H32" s="493"/>
      <c r="I32" s="493"/>
      <c r="J32" s="493"/>
      <c r="K32" s="493"/>
      <c r="L32" s="493"/>
      <c r="M32" s="493"/>
      <c r="N32" s="493"/>
      <c r="O32" s="493"/>
      <c r="P32" s="491">
        <f t="shared" si="0"/>
        <v>0</v>
      </c>
    </row>
    <row r="33" spans="1:16" x14ac:dyDescent="0.25">
      <c r="A33" s="60">
        <v>1000027</v>
      </c>
      <c r="B33" s="13" t="s">
        <v>33</v>
      </c>
      <c r="C33" s="487"/>
      <c r="D33" s="503"/>
      <c r="E33" s="485"/>
      <c r="F33" s="493"/>
      <c r="G33" s="493"/>
      <c r="H33" s="493"/>
      <c r="I33" s="493"/>
      <c r="J33" s="493"/>
      <c r="K33" s="493"/>
      <c r="L33" s="493"/>
      <c r="M33" s="493"/>
      <c r="N33" s="493"/>
      <c r="O33" s="493"/>
      <c r="P33" s="491">
        <f t="shared" si="0"/>
        <v>0</v>
      </c>
    </row>
    <row r="34" spans="1:16" x14ac:dyDescent="0.25">
      <c r="A34" s="60">
        <v>1000214</v>
      </c>
      <c r="B34" s="13" t="s">
        <v>49</v>
      </c>
      <c r="C34" s="487"/>
      <c r="D34" s="503"/>
      <c r="E34" s="485"/>
      <c r="F34" s="493"/>
      <c r="G34" s="493"/>
      <c r="H34" s="493"/>
      <c r="I34" s="493"/>
      <c r="J34" s="493"/>
      <c r="K34" s="493"/>
      <c r="L34" s="493"/>
      <c r="M34" s="493"/>
      <c r="N34" s="493"/>
      <c r="O34" s="493"/>
      <c r="P34" s="491">
        <f t="shared" si="0"/>
        <v>0</v>
      </c>
    </row>
    <row r="35" spans="1:16" x14ac:dyDescent="0.25">
      <c r="A35" s="60">
        <v>1000084</v>
      </c>
      <c r="B35" s="13" t="s">
        <v>38</v>
      </c>
      <c r="C35" s="487"/>
      <c r="D35" s="503"/>
      <c r="E35" s="485"/>
      <c r="F35" s="493">
        <v>8</v>
      </c>
      <c r="G35" s="493"/>
      <c r="H35" s="493">
        <v>8</v>
      </c>
      <c r="I35" s="493"/>
      <c r="J35" s="493">
        <v>8</v>
      </c>
      <c r="K35" s="493"/>
      <c r="L35" s="493">
        <v>8</v>
      </c>
      <c r="M35" s="493"/>
      <c r="N35" s="493"/>
      <c r="O35" s="493"/>
      <c r="P35" s="494">
        <f t="shared" si="0"/>
        <v>32</v>
      </c>
    </row>
    <row r="36" spans="1:16" x14ac:dyDescent="0.25">
      <c r="A36" s="60">
        <v>1000033</v>
      </c>
      <c r="B36" s="13" t="s">
        <v>27</v>
      </c>
      <c r="C36" s="487"/>
      <c r="D36" s="503"/>
      <c r="E36" s="485"/>
      <c r="F36" s="493">
        <v>1</v>
      </c>
      <c r="G36" s="493"/>
      <c r="H36" s="493">
        <v>1</v>
      </c>
      <c r="I36" s="493"/>
      <c r="J36" s="493"/>
      <c r="K36" s="493"/>
      <c r="L36" s="493"/>
      <c r="M36" s="493"/>
      <c r="N36" s="493"/>
      <c r="O36" s="493"/>
      <c r="P36" s="494">
        <f t="shared" si="0"/>
        <v>2</v>
      </c>
    </row>
    <row r="37" spans="1:16" x14ac:dyDescent="0.25">
      <c r="A37" s="60">
        <v>1000465</v>
      </c>
      <c r="B37" s="13" t="s">
        <v>219</v>
      </c>
      <c r="C37" s="487"/>
      <c r="D37" s="503"/>
      <c r="E37" s="485"/>
      <c r="F37" s="493"/>
      <c r="G37" s="493"/>
      <c r="H37" s="493"/>
      <c r="I37" s="493"/>
      <c r="J37" s="493">
        <v>2</v>
      </c>
      <c r="K37" s="493"/>
      <c r="L37" s="493"/>
      <c r="M37" s="493"/>
      <c r="N37" s="493"/>
      <c r="O37" s="493"/>
      <c r="P37" s="494">
        <f t="shared" si="0"/>
        <v>2</v>
      </c>
    </row>
    <row r="38" spans="1:16" x14ac:dyDescent="0.25">
      <c r="A38" s="60">
        <v>1000049</v>
      </c>
      <c r="B38" s="13" t="s">
        <v>21</v>
      </c>
      <c r="C38" s="487"/>
      <c r="D38" s="503"/>
      <c r="E38" s="485"/>
      <c r="F38" s="493"/>
      <c r="G38" s="493"/>
      <c r="H38" s="493"/>
      <c r="I38" s="493"/>
      <c r="J38" s="493">
        <v>2</v>
      </c>
      <c r="K38" s="493"/>
      <c r="L38" s="493"/>
      <c r="M38" s="493"/>
      <c r="N38" s="493"/>
      <c r="O38" s="493"/>
      <c r="P38" s="491">
        <f t="shared" si="0"/>
        <v>2</v>
      </c>
    </row>
    <row r="39" spans="1:16" x14ac:dyDescent="0.25">
      <c r="A39" s="60">
        <v>1000010</v>
      </c>
      <c r="B39" s="13" t="s">
        <v>17</v>
      </c>
      <c r="C39" s="487"/>
      <c r="D39" s="503"/>
      <c r="E39" s="485"/>
      <c r="F39" s="493"/>
      <c r="G39" s="493"/>
      <c r="H39" s="493"/>
      <c r="I39" s="493"/>
      <c r="J39" s="493"/>
      <c r="K39" s="493"/>
      <c r="L39" s="493"/>
      <c r="M39" s="493"/>
      <c r="N39" s="493"/>
      <c r="O39" s="493"/>
      <c r="P39" s="491">
        <f t="shared" si="0"/>
        <v>0</v>
      </c>
    </row>
    <row r="40" spans="1:16" x14ac:dyDescent="0.25">
      <c r="A40" s="60">
        <v>1000048</v>
      </c>
      <c r="B40" s="13" t="s">
        <v>45</v>
      </c>
      <c r="C40" s="487"/>
      <c r="D40" s="503"/>
      <c r="E40" s="485"/>
      <c r="F40" s="493">
        <v>2</v>
      </c>
      <c r="G40" s="493"/>
      <c r="H40" s="493"/>
      <c r="I40" s="493"/>
      <c r="J40" s="493"/>
      <c r="K40" s="493"/>
      <c r="L40" s="493"/>
      <c r="M40" s="493"/>
      <c r="N40" s="493"/>
      <c r="O40" s="493"/>
      <c r="P40" s="494">
        <f t="shared" si="0"/>
        <v>2</v>
      </c>
    </row>
    <row r="41" spans="1:16" x14ac:dyDescent="0.25">
      <c r="A41" s="60">
        <v>1000050</v>
      </c>
      <c r="B41" s="13" t="s">
        <v>22</v>
      </c>
      <c r="C41" s="487"/>
      <c r="D41" s="503"/>
      <c r="E41" s="485"/>
      <c r="F41" s="493"/>
      <c r="G41" s="493"/>
      <c r="H41" s="493"/>
      <c r="I41" s="493"/>
      <c r="J41" s="493">
        <v>2</v>
      </c>
      <c r="K41" s="493"/>
      <c r="L41" s="493"/>
      <c r="M41" s="493"/>
      <c r="N41" s="493"/>
      <c r="O41" s="493"/>
      <c r="P41" s="494">
        <f t="shared" si="0"/>
        <v>2</v>
      </c>
    </row>
    <row r="42" spans="1:16" x14ac:dyDescent="0.25">
      <c r="A42" s="60">
        <v>1000472</v>
      </c>
      <c r="B42" s="13" t="s">
        <v>222</v>
      </c>
      <c r="C42" s="487"/>
      <c r="D42" s="503"/>
      <c r="E42" s="485"/>
      <c r="F42" s="493"/>
      <c r="G42" s="493"/>
      <c r="H42" s="493"/>
      <c r="I42" s="493"/>
      <c r="J42" s="493"/>
      <c r="K42" s="493"/>
      <c r="L42" s="493"/>
      <c r="M42" s="493"/>
      <c r="N42" s="493"/>
      <c r="O42" s="493"/>
      <c r="P42" s="491">
        <f t="shared" si="0"/>
        <v>0</v>
      </c>
    </row>
    <row r="43" spans="1:16" x14ac:dyDescent="0.25">
      <c r="A43" s="60">
        <v>1000087</v>
      </c>
      <c r="B43" s="13" t="s">
        <v>197</v>
      </c>
      <c r="C43" s="487"/>
      <c r="D43" s="503"/>
      <c r="E43" s="485"/>
      <c r="F43" s="493"/>
      <c r="G43" s="493"/>
      <c r="H43" s="493"/>
      <c r="I43" s="493"/>
      <c r="J43" s="493"/>
      <c r="K43" s="493"/>
      <c r="L43" s="493"/>
      <c r="M43" s="493"/>
      <c r="N43" s="493"/>
      <c r="O43" s="493"/>
      <c r="P43" s="491">
        <f t="shared" si="0"/>
        <v>0</v>
      </c>
    </row>
    <row r="44" spans="1:16" x14ac:dyDescent="0.25">
      <c r="A44" s="60">
        <v>1000147</v>
      </c>
      <c r="B44" s="13" t="s">
        <v>52</v>
      </c>
      <c r="C44" s="487"/>
      <c r="D44" s="503"/>
      <c r="E44" s="485"/>
      <c r="F44" s="493"/>
      <c r="G44" s="493"/>
      <c r="H44" s="493"/>
      <c r="I44" s="493"/>
      <c r="J44" s="493"/>
      <c r="K44" s="493"/>
      <c r="L44" s="493"/>
      <c r="M44" s="493"/>
      <c r="N44" s="493"/>
      <c r="O44" s="493"/>
      <c r="P44" s="491">
        <f t="shared" si="0"/>
        <v>0</v>
      </c>
    </row>
    <row r="45" spans="1:16" x14ac:dyDescent="0.25">
      <c r="A45" s="60">
        <v>1000439</v>
      </c>
      <c r="B45" s="13" t="s">
        <v>193</v>
      </c>
      <c r="C45" s="487"/>
      <c r="D45" s="503"/>
      <c r="E45" s="485"/>
      <c r="F45" s="493"/>
      <c r="G45" s="493"/>
      <c r="H45" s="493"/>
      <c r="I45" s="493"/>
      <c r="J45" s="493"/>
      <c r="K45" s="493"/>
      <c r="L45" s="493"/>
      <c r="M45" s="493"/>
      <c r="N45" s="493"/>
      <c r="O45" s="493"/>
      <c r="P45" s="491">
        <f t="shared" si="0"/>
        <v>0</v>
      </c>
    </row>
    <row r="46" spans="1:16" x14ac:dyDescent="0.25">
      <c r="A46" s="60">
        <v>10248</v>
      </c>
      <c r="B46" s="13" t="s">
        <v>183</v>
      </c>
      <c r="C46" s="487"/>
      <c r="D46" s="503"/>
      <c r="E46" s="485"/>
      <c r="F46" s="493">
        <v>12</v>
      </c>
      <c r="G46" s="493"/>
      <c r="H46" s="493">
        <v>12</v>
      </c>
      <c r="I46" s="493"/>
      <c r="J46" s="493">
        <v>12</v>
      </c>
      <c r="K46" s="493"/>
      <c r="L46" s="493">
        <v>9</v>
      </c>
      <c r="M46" s="493"/>
      <c r="N46" s="493">
        <v>9</v>
      </c>
      <c r="O46" s="493"/>
      <c r="P46" s="494">
        <f t="shared" si="0"/>
        <v>54</v>
      </c>
    </row>
    <row r="47" spans="1:16" x14ac:dyDescent="0.25">
      <c r="A47" s="60">
        <v>1000486</v>
      </c>
      <c r="B47" s="13" t="s">
        <v>263</v>
      </c>
      <c r="C47" s="487"/>
      <c r="D47" s="503"/>
      <c r="E47" s="485"/>
      <c r="F47" s="493"/>
      <c r="G47" s="493"/>
      <c r="H47" s="493"/>
      <c r="I47" s="493"/>
      <c r="J47" s="493"/>
      <c r="K47" s="493"/>
      <c r="L47" s="493"/>
      <c r="M47" s="493"/>
      <c r="N47" s="493"/>
      <c r="O47" s="493"/>
      <c r="P47" s="491">
        <f t="shared" si="0"/>
        <v>0</v>
      </c>
    </row>
    <row r="48" spans="1:16" x14ac:dyDescent="0.25">
      <c r="A48" s="60">
        <v>1000080</v>
      </c>
      <c r="B48" s="13" t="s">
        <v>275</v>
      </c>
      <c r="C48" s="487"/>
      <c r="D48" s="503"/>
      <c r="E48" s="485"/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1">
        <f t="shared" si="0"/>
        <v>0</v>
      </c>
    </row>
    <row r="49" spans="1:16" x14ac:dyDescent="0.25">
      <c r="A49" s="60">
        <v>1000436</v>
      </c>
      <c r="B49" s="13" t="s">
        <v>276</v>
      </c>
      <c r="C49" s="487"/>
      <c r="D49" s="503"/>
      <c r="E49" s="485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1">
        <f t="shared" si="0"/>
        <v>0</v>
      </c>
    </row>
    <row r="50" spans="1:16" x14ac:dyDescent="0.25">
      <c r="A50" s="60">
        <v>1000550</v>
      </c>
      <c r="B50" s="13" t="s">
        <v>277</v>
      </c>
      <c r="C50" s="487"/>
      <c r="D50" s="503"/>
      <c r="E50" s="485"/>
      <c r="F50" s="493"/>
      <c r="G50" s="493"/>
      <c r="H50" s="493"/>
      <c r="I50" s="493"/>
      <c r="J50" s="493"/>
      <c r="K50" s="493"/>
      <c r="L50" s="493"/>
      <c r="M50" s="493"/>
      <c r="N50" s="493"/>
      <c r="O50" s="493"/>
      <c r="P50" s="491">
        <f t="shared" si="0"/>
        <v>0</v>
      </c>
    </row>
    <row r="51" spans="1:16" x14ac:dyDescent="0.25">
      <c r="A51" s="60">
        <v>1000551</v>
      </c>
      <c r="B51" s="13" t="s">
        <v>278</v>
      </c>
      <c r="C51" s="487"/>
      <c r="D51" s="503"/>
      <c r="E51" s="485"/>
      <c r="F51" s="493"/>
      <c r="G51" s="493"/>
      <c r="H51" s="493"/>
      <c r="I51" s="493"/>
      <c r="J51" s="493"/>
      <c r="K51" s="493"/>
      <c r="L51" s="493"/>
      <c r="M51" s="493"/>
      <c r="N51" s="493"/>
      <c r="O51" s="493"/>
      <c r="P51" s="491">
        <f t="shared" si="0"/>
        <v>0</v>
      </c>
    </row>
    <row r="52" spans="1:16" ht="16.5" thickBot="1" x14ac:dyDescent="0.3">
      <c r="A52" s="207">
        <v>1000551</v>
      </c>
      <c r="B52" s="246" t="s">
        <v>279</v>
      </c>
      <c r="C52"/>
      <c r="D52" s="495"/>
      <c r="E52" s="496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1">
        <f t="shared" si="0"/>
        <v>0</v>
      </c>
    </row>
    <row r="53" spans="1:16" ht="16.5" thickBot="1" x14ac:dyDescent="0.3">
      <c r="A53" s="491"/>
      <c r="B53" s="12" t="s">
        <v>500</v>
      </c>
      <c r="D53" s="495"/>
      <c r="F53" s="493"/>
      <c r="G53" s="493"/>
      <c r="H53" s="493">
        <v>1</v>
      </c>
      <c r="I53" s="493"/>
      <c r="J53" s="493"/>
      <c r="K53" s="493"/>
      <c r="L53" s="493"/>
      <c r="M53" s="493"/>
      <c r="N53" s="493"/>
      <c r="O53" s="493"/>
      <c r="P53" s="494">
        <f t="shared" si="0"/>
        <v>1</v>
      </c>
    </row>
    <row r="54" spans="1:16" ht="16.5" thickBot="1" x14ac:dyDescent="0.3">
      <c r="A54" s="35">
        <v>1000016</v>
      </c>
      <c r="B54" s="22" t="s">
        <v>15</v>
      </c>
      <c r="D54" s="495"/>
      <c r="F54" s="493"/>
      <c r="G54" s="493"/>
      <c r="H54" s="493"/>
      <c r="I54" s="493"/>
      <c r="J54" s="493"/>
      <c r="K54" s="493"/>
      <c r="L54" s="493">
        <v>5</v>
      </c>
      <c r="M54" s="493"/>
      <c r="N54" s="493"/>
      <c r="O54" s="493"/>
      <c r="P54" s="494">
        <f t="shared" si="0"/>
        <v>5</v>
      </c>
    </row>
    <row r="55" spans="1:16" ht="16.5" thickBot="1" x14ac:dyDescent="0.3">
      <c r="A55" s="35"/>
      <c r="B55" s="22"/>
      <c r="D55" s="495"/>
      <c r="F55" s="493"/>
      <c r="G55" s="493"/>
      <c r="H55" s="493"/>
      <c r="I55" s="493"/>
      <c r="J55" s="493"/>
      <c r="K55" s="493"/>
      <c r="L55" s="493"/>
      <c r="M55" s="493"/>
      <c r="N55" s="493"/>
      <c r="O55" s="493"/>
      <c r="P55" s="804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AD0A-73ED-45D2-80BB-B79917444259}">
  <sheetPr>
    <tabColor rgb="FF7030A0"/>
    <pageSetUpPr fitToPage="1"/>
  </sheetPr>
  <dimension ref="A1:P66"/>
  <sheetViews>
    <sheetView topLeftCell="A38" zoomScale="85" zoomScaleNormal="85" workbookViewId="0">
      <selection activeCell="U54" sqref="U54"/>
    </sheetView>
  </sheetViews>
  <sheetFormatPr baseColWidth="10" defaultColWidth="10.875" defaultRowHeight="15" x14ac:dyDescent="0.25"/>
  <cols>
    <col min="1" max="1" width="7.875" style="27" bestFit="1" customWidth="1"/>
    <col min="2" max="2" width="30.125" style="27" bestFit="1" customWidth="1"/>
    <col min="3" max="3" width="1.125" style="27" customWidth="1"/>
    <col min="4" max="4" width="8.375" style="27" bestFit="1" customWidth="1"/>
    <col min="5" max="5" width="1.125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6.37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5.875" style="27" customWidth="1"/>
    <col min="16" max="16" width="9.25" style="27" customWidth="1"/>
    <col min="17" max="16384" width="10.875" style="27"/>
  </cols>
  <sheetData>
    <row r="1" spans="1:16" ht="15" customHeight="1" x14ac:dyDescent="0.45">
      <c r="A1" s="686" t="s">
        <v>140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6.5" customHeight="1" thickBot="1" x14ac:dyDescent="0.5">
      <c r="A2" s="688"/>
      <c r="B2" s="689"/>
      <c r="C2" s="18"/>
      <c r="D2" s="431" t="s">
        <v>362</v>
      </c>
      <c r="F2" s="754"/>
      <c r="G2" s="755"/>
      <c r="H2" s="755"/>
      <c r="I2" s="755"/>
      <c r="J2" s="756"/>
      <c r="K2" s="2"/>
      <c r="L2"/>
      <c r="M2"/>
      <c r="N2"/>
    </row>
    <row r="3" spans="1:16" s="3" customFormat="1" ht="21" customHeight="1" thickBot="1" x14ac:dyDescent="0.3">
      <c r="A3" s="5"/>
      <c r="B3" s="419" t="s">
        <v>355</v>
      </c>
      <c r="C3" s="18"/>
      <c r="D3" s="18"/>
      <c r="F3" s="114"/>
    </row>
    <row r="4" spans="1:16" s="3" customFormat="1" ht="16.5" thickBot="1" x14ac:dyDescent="0.3">
      <c r="A4" s="52" t="s">
        <v>0</v>
      </c>
      <c r="B4" s="52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23" t="s">
        <v>1</v>
      </c>
      <c r="C5" s="41"/>
      <c r="D5" s="48">
        <v>4</v>
      </c>
      <c r="F5" s="28"/>
      <c r="G5" s="28"/>
      <c r="H5" s="28"/>
      <c r="I5" s="28"/>
      <c r="J5" s="28">
        <v>5</v>
      </c>
      <c r="K5" s="28"/>
      <c r="L5" s="28"/>
      <c r="M5" s="28"/>
      <c r="N5" s="28"/>
      <c r="O5" s="28"/>
      <c r="P5" s="556">
        <f>SUM(F5:O5)</f>
        <v>5</v>
      </c>
    </row>
    <row r="6" spans="1:16" ht="15.75" thickBot="1" x14ac:dyDescent="0.3">
      <c r="A6" s="35">
        <v>10000102</v>
      </c>
      <c r="B6" s="2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>
        <f t="shared" ref="P6:P61" si="0">SUM(F6:O6)</f>
        <v>0</v>
      </c>
    </row>
    <row r="7" spans="1:16" ht="15.75" thickBot="1" x14ac:dyDescent="0.3">
      <c r="A7" s="35">
        <v>1000006</v>
      </c>
      <c r="B7" s="22" t="s">
        <v>4</v>
      </c>
      <c r="C7" s="41"/>
      <c r="D7" s="47">
        <v>10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>
        <f t="shared" si="0"/>
        <v>0</v>
      </c>
    </row>
    <row r="8" spans="1:16" ht="15.75" thickBot="1" x14ac:dyDescent="0.3">
      <c r="A8" s="35">
        <v>1000007</v>
      </c>
      <c r="B8" s="22" t="s">
        <v>5</v>
      </c>
      <c r="C8" s="41"/>
      <c r="D8" s="47">
        <v>80</v>
      </c>
      <c r="F8" s="28"/>
      <c r="G8" s="28"/>
      <c r="H8" s="28"/>
      <c r="I8" s="28"/>
      <c r="J8" s="28">
        <v>100</v>
      </c>
      <c r="K8" s="28"/>
      <c r="L8" s="28"/>
      <c r="M8" s="28"/>
      <c r="N8" s="28">
        <v>100</v>
      </c>
      <c r="O8" s="28"/>
      <c r="P8" s="556">
        <f t="shared" si="0"/>
        <v>200</v>
      </c>
    </row>
    <row r="9" spans="1:16" ht="15.75" thickBot="1" x14ac:dyDescent="0.3">
      <c r="A9" s="35">
        <v>1000008</v>
      </c>
      <c r="B9" s="22" t="s">
        <v>7</v>
      </c>
      <c r="C9" s="41"/>
      <c r="D9" s="47">
        <v>80</v>
      </c>
      <c r="F9" s="28"/>
      <c r="G9" s="28"/>
      <c r="H9" s="28"/>
      <c r="I9" s="28"/>
      <c r="J9" s="28">
        <v>100</v>
      </c>
      <c r="K9" s="28"/>
      <c r="L9" s="28"/>
      <c r="M9" s="28"/>
      <c r="N9" s="28">
        <v>50</v>
      </c>
      <c r="O9" s="28"/>
      <c r="P9" s="556">
        <f t="shared" si="0"/>
        <v>150</v>
      </c>
    </row>
    <row r="10" spans="1:16" ht="15.75" thickBot="1" x14ac:dyDescent="0.3">
      <c r="A10" s="35">
        <v>1000001</v>
      </c>
      <c r="B10" s="22" t="s">
        <v>8</v>
      </c>
      <c r="C10" s="41"/>
      <c r="D10" s="47">
        <v>6</v>
      </c>
      <c r="F10" s="28"/>
      <c r="G10" s="28"/>
      <c r="H10" s="28"/>
      <c r="I10" s="28"/>
      <c r="J10" s="28">
        <v>3</v>
      </c>
      <c r="K10" s="28"/>
      <c r="L10" s="28"/>
      <c r="M10" s="28"/>
      <c r="N10" s="28">
        <v>3</v>
      </c>
      <c r="O10" s="28"/>
      <c r="P10" s="556">
        <f t="shared" si="0"/>
        <v>6</v>
      </c>
    </row>
    <row r="11" spans="1:16" ht="15.75" thickBot="1" x14ac:dyDescent="0.3">
      <c r="A11" s="35">
        <v>1000002</v>
      </c>
      <c r="B11" s="22" t="s">
        <v>9</v>
      </c>
      <c r="C11" s="41"/>
      <c r="D11" s="47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>
        <f t="shared" si="0"/>
        <v>0</v>
      </c>
    </row>
    <row r="12" spans="1:16" ht="15.75" thickBot="1" x14ac:dyDescent="0.3">
      <c r="A12" s="35">
        <v>1000054</v>
      </c>
      <c r="B12" s="22" t="s">
        <v>12</v>
      </c>
      <c r="C12" s="41"/>
      <c r="D12" s="47">
        <v>40</v>
      </c>
      <c r="F12" s="28"/>
      <c r="G12" s="28"/>
      <c r="H12" s="28"/>
      <c r="I12" s="28"/>
      <c r="J12" s="28">
        <v>10</v>
      </c>
      <c r="K12" s="28"/>
      <c r="L12" s="28"/>
      <c r="M12" s="28"/>
      <c r="N12" s="28">
        <v>10</v>
      </c>
      <c r="O12" s="28"/>
      <c r="P12" s="556">
        <f t="shared" si="0"/>
        <v>20</v>
      </c>
    </row>
    <row r="13" spans="1:16" ht="15.75" thickBot="1" x14ac:dyDescent="0.3">
      <c r="A13" s="35">
        <v>1000017</v>
      </c>
      <c r="B13" s="22" t="s">
        <v>14</v>
      </c>
      <c r="C13" s="41"/>
      <c r="D13" s="47">
        <v>40</v>
      </c>
      <c r="F13" s="28"/>
      <c r="G13" s="28"/>
      <c r="H13" s="28"/>
      <c r="I13" s="28"/>
      <c r="J13" s="28">
        <v>15</v>
      </c>
      <c r="K13" s="28"/>
      <c r="L13" s="28"/>
      <c r="M13" s="28"/>
      <c r="N13" s="28">
        <v>15</v>
      </c>
      <c r="O13" s="28"/>
      <c r="P13" s="556">
        <f t="shared" si="0"/>
        <v>30</v>
      </c>
    </row>
    <row r="14" spans="1:16" ht="15.75" thickBot="1" x14ac:dyDescent="0.3">
      <c r="A14" s="35">
        <v>1000016</v>
      </c>
      <c r="B14" s="22" t="s">
        <v>15</v>
      </c>
      <c r="C14" s="41"/>
      <c r="D14" s="47">
        <v>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805">
        <f t="shared" si="0"/>
        <v>0</v>
      </c>
    </row>
    <row r="15" spans="1:16" ht="15.75" thickBot="1" x14ac:dyDescent="0.3">
      <c r="A15" s="35">
        <v>1000010</v>
      </c>
      <c r="B15" s="22" t="s">
        <v>17</v>
      </c>
      <c r="C15" s="41"/>
      <c r="D15" s="47">
        <v>2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805">
        <f t="shared" si="0"/>
        <v>0</v>
      </c>
    </row>
    <row r="16" spans="1:16" ht="15.75" thickBot="1" x14ac:dyDescent="0.3">
      <c r="A16" s="35">
        <v>1000009</v>
      </c>
      <c r="B16" s="22" t="s">
        <v>19</v>
      </c>
      <c r="C16" s="41"/>
      <c r="D16" s="47">
        <v>2</v>
      </c>
      <c r="F16" s="28"/>
      <c r="G16" s="28"/>
      <c r="H16" s="28"/>
      <c r="I16" s="28"/>
      <c r="J16" s="28">
        <v>3</v>
      </c>
      <c r="K16" s="28"/>
      <c r="L16" s="28"/>
      <c r="M16" s="28"/>
      <c r="N16" s="28">
        <v>1</v>
      </c>
      <c r="O16" s="28"/>
      <c r="P16" s="556">
        <f t="shared" si="0"/>
        <v>4</v>
      </c>
    </row>
    <row r="17" spans="1:16" ht="15.75" thickBot="1" x14ac:dyDescent="0.3">
      <c r="A17" s="35">
        <v>1000049</v>
      </c>
      <c r="B17" s="22" t="s">
        <v>21</v>
      </c>
      <c r="C17" s="41"/>
      <c r="D17" s="47">
        <v>0</v>
      </c>
      <c r="F17" s="28"/>
      <c r="G17" s="28"/>
      <c r="H17" s="28"/>
      <c r="I17" s="28"/>
      <c r="J17" s="28">
        <v>2</v>
      </c>
      <c r="K17" s="28"/>
      <c r="L17" s="28"/>
      <c r="M17" s="28"/>
      <c r="N17" s="28">
        <v>2</v>
      </c>
      <c r="O17" s="28"/>
      <c r="P17" s="556">
        <f t="shared" si="0"/>
        <v>4</v>
      </c>
    </row>
    <row r="18" spans="1:16" ht="15.75" thickBot="1" x14ac:dyDescent="0.3">
      <c r="A18" s="35">
        <v>1000050</v>
      </c>
      <c r="B18" s="22" t="s">
        <v>22</v>
      </c>
      <c r="C18" s="41"/>
      <c r="D18" s="47">
        <v>0</v>
      </c>
      <c r="F18" s="28"/>
      <c r="G18" s="28"/>
      <c r="H18" s="28"/>
      <c r="I18" s="28"/>
      <c r="J18" s="28">
        <v>2</v>
      </c>
      <c r="K18" s="28"/>
      <c r="L18" s="28"/>
      <c r="M18" s="28"/>
      <c r="N18" s="28">
        <v>2</v>
      </c>
      <c r="O18" s="28"/>
      <c r="P18" s="556">
        <f t="shared" si="0"/>
        <v>4</v>
      </c>
    </row>
    <row r="19" spans="1:16" ht="15.75" thickBot="1" x14ac:dyDescent="0.3">
      <c r="A19" s="35">
        <v>1000030</v>
      </c>
      <c r="B19" s="22" t="s">
        <v>24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>
        <f t="shared" si="0"/>
        <v>0</v>
      </c>
    </row>
    <row r="20" spans="1:16" ht="15.75" thickBot="1" x14ac:dyDescent="0.3">
      <c r="A20" s="35">
        <v>1000032</v>
      </c>
      <c r="B20" s="22" t="s">
        <v>26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>
        <f t="shared" si="0"/>
        <v>0</v>
      </c>
    </row>
    <row r="21" spans="1:16" ht="15.75" thickBot="1" x14ac:dyDescent="0.3">
      <c r="A21" s="35">
        <v>1000029</v>
      </c>
      <c r="B21" s="22" t="s">
        <v>30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>
        <f t="shared" si="0"/>
        <v>0</v>
      </c>
    </row>
    <row r="22" spans="1:16" ht="15.75" thickBot="1" x14ac:dyDescent="0.3">
      <c r="A22" s="35">
        <v>1000025</v>
      </c>
      <c r="B22" s="22" t="s">
        <v>32</v>
      </c>
      <c r="C22" s="41"/>
      <c r="D22" s="47">
        <v>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>
        <f t="shared" si="0"/>
        <v>0</v>
      </c>
    </row>
    <row r="23" spans="1:16" ht="15.75" thickBot="1" x14ac:dyDescent="0.3">
      <c r="A23" s="35">
        <v>1000027</v>
      </c>
      <c r="B23" s="22" t="s">
        <v>33</v>
      </c>
      <c r="C23" s="41"/>
      <c r="D23" s="47">
        <v>4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>
        <f t="shared" si="0"/>
        <v>0</v>
      </c>
    </row>
    <row r="24" spans="1:16" ht="15.75" thickBot="1" x14ac:dyDescent="0.3">
      <c r="A24" s="35">
        <v>1000101</v>
      </c>
      <c r="B24" s="22" t="s">
        <v>35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>
        <f t="shared" si="0"/>
        <v>0</v>
      </c>
    </row>
    <row r="25" spans="1:16" ht="15.75" thickBot="1" x14ac:dyDescent="0.3">
      <c r="A25" s="35">
        <v>1000073</v>
      </c>
      <c r="B25" s="22" t="s">
        <v>36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>
        <f t="shared" si="0"/>
        <v>0</v>
      </c>
    </row>
    <row r="26" spans="1:16" ht="15.75" thickBot="1" x14ac:dyDescent="0.3">
      <c r="A26" s="35">
        <v>1000082</v>
      </c>
      <c r="B26" s="22" t="s">
        <v>37</v>
      </c>
      <c r="C26" s="41"/>
      <c r="D26" s="47">
        <v>80</v>
      </c>
      <c r="F26" s="28"/>
      <c r="G26" s="28"/>
      <c r="H26" s="28"/>
      <c r="I26" s="28"/>
      <c r="J26" s="28">
        <v>48</v>
      </c>
      <c r="K26" s="28"/>
      <c r="L26" s="28"/>
      <c r="M26" s="28"/>
      <c r="N26" s="28">
        <v>48</v>
      </c>
      <c r="O26" s="28"/>
      <c r="P26" s="556">
        <f t="shared" si="0"/>
        <v>96</v>
      </c>
    </row>
    <row r="27" spans="1:16" ht="15.75" thickBot="1" x14ac:dyDescent="0.3">
      <c r="A27" s="35">
        <v>1000084</v>
      </c>
      <c r="B27" s="22" t="s">
        <v>38</v>
      </c>
      <c r="C27" s="41"/>
      <c r="D27" s="47">
        <v>10</v>
      </c>
      <c r="F27" s="28"/>
      <c r="G27" s="28"/>
      <c r="H27" s="28"/>
      <c r="I27" s="28"/>
      <c r="J27" s="28">
        <v>20</v>
      </c>
      <c r="K27" s="28"/>
      <c r="L27" s="28"/>
      <c r="M27" s="28"/>
      <c r="N27" s="28">
        <v>20</v>
      </c>
      <c r="O27" s="28"/>
      <c r="P27" s="556">
        <f t="shared" si="0"/>
        <v>40</v>
      </c>
    </row>
    <row r="28" spans="1:16" ht="15.75" thickBot="1" x14ac:dyDescent="0.3">
      <c r="A28" s="35">
        <v>1000146</v>
      </c>
      <c r="B28" s="22" t="s">
        <v>39</v>
      </c>
      <c r="C28" s="41"/>
      <c r="D28" s="47">
        <v>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>
        <f t="shared" si="0"/>
        <v>0</v>
      </c>
    </row>
    <row r="29" spans="1:16" ht="15.75" thickBot="1" x14ac:dyDescent="0.3">
      <c r="A29" s="35">
        <v>10248</v>
      </c>
      <c r="B29" s="22" t="s">
        <v>183</v>
      </c>
      <c r="C29" s="41"/>
      <c r="D29" s="47">
        <v>0</v>
      </c>
      <c r="F29" s="28"/>
      <c r="G29" s="28"/>
      <c r="H29" s="28"/>
      <c r="I29" s="28"/>
      <c r="J29" s="28">
        <v>12</v>
      </c>
      <c r="K29" s="28"/>
      <c r="L29" s="28"/>
      <c r="M29" s="28"/>
      <c r="N29" s="28">
        <v>15</v>
      </c>
      <c r="O29" s="28"/>
      <c r="P29" s="556">
        <f t="shared" si="0"/>
        <v>27</v>
      </c>
    </row>
    <row r="30" spans="1:16" ht="15.75" thickBot="1" x14ac:dyDescent="0.3">
      <c r="A30" s="35">
        <v>1000090</v>
      </c>
      <c r="B30" s="22" t="s">
        <v>40</v>
      </c>
      <c r="C30" s="41"/>
      <c r="D30" s="47">
        <v>3</v>
      </c>
      <c r="F30" s="28"/>
      <c r="G30" s="28"/>
      <c r="H30" s="28"/>
      <c r="I30" s="28"/>
      <c r="J30" s="28">
        <v>6</v>
      </c>
      <c r="K30" s="28"/>
      <c r="L30" s="28"/>
      <c r="M30" s="28"/>
      <c r="N30" s="28">
        <v>6</v>
      </c>
      <c r="O30" s="28"/>
      <c r="P30" s="556">
        <f t="shared" si="0"/>
        <v>12</v>
      </c>
    </row>
    <row r="31" spans="1:16" ht="15.75" thickBot="1" x14ac:dyDescent="0.3">
      <c r="A31" s="35">
        <v>1000052</v>
      </c>
      <c r="B31" s="22" t="s">
        <v>41</v>
      </c>
      <c r="C31" s="41"/>
      <c r="D31" s="47">
        <v>2</v>
      </c>
      <c r="F31" s="28"/>
      <c r="G31" s="28"/>
      <c r="H31" s="28"/>
      <c r="I31" s="28"/>
      <c r="J31" s="28">
        <v>4</v>
      </c>
      <c r="K31" s="28"/>
      <c r="L31" s="28"/>
      <c r="M31" s="28"/>
      <c r="N31" s="28">
        <v>4</v>
      </c>
      <c r="O31" s="28"/>
      <c r="P31" s="556">
        <f t="shared" si="0"/>
        <v>8</v>
      </c>
    </row>
    <row r="32" spans="1:16" ht="15.75" thickBot="1" x14ac:dyDescent="0.3">
      <c r="A32" s="35">
        <v>1000089</v>
      </c>
      <c r="B32" s="22" t="s">
        <v>42</v>
      </c>
      <c r="C32" s="41"/>
      <c r="D32" s="47">
        <v>2</v>
      </c>
      <c r="F32" s="28"/>
      <c r="G32" s="28"/>
      <c r="H32" s="28"/>
      <c r="I32" s="28"/>
      <c r="J32" s="28">
        <v>4</v>
      </c>
      <c r="K32" s="28"/>
      <c r="L32" s="28"/>
      <c r="M32" s="28"/>
      <c r="N32" s="28">
        <v>4</v>
      </c>
      <c r="O32" s="28"/>
      <c r="P32" s="556">
        <f t="shared" si="0"/>
        <v>8</v>
      </c>
    </row>
    <row r="33" spans="1:16" ht="15.75" thickBot="1" x14ac:dyDescent="0.3">
      <c r="A33" s="35">
        <v>1000051</v>
      </c>
      <c r="B33" s="22" t="s">
        <v>43</v>
      </c>
      <c r="C33" s="41"/>
      <c r="D33" s="47">
        <v>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>
        <f t="shared" si="0"/>
        <v>0</v>
      </c>
    </row>
    <row r="34" spans="1:16" ht="15.75" thickBot="1" x14ac:dyDescent="0.3">
      <c r="A34" s="35">
        <v>1000048</v>
      </c>
      <c r="B34" s="22" t="s">
        <v>45</v>
      </c>
      <c r="C34" s="41"/>
      <c r="D34" s="47">
        <v>0</v>
      </c>
      <c r="F34" s="28"/>
      <c r="G34" s="28"/>
      <c r="H34" s="28"/>
      <c r="I34" s="28"/>
      <c r="J34" s="28"/>
      <c r="K34" s="28"/>
      <c r="L34" s="28"/>
      <c r="M34" s="28"/>
      <c r="N34" s="28">
        <v>2</v>
      </c>
      <c r="O34" s="28"/>
      <c r="P34" s="556">
        <f t="shared" si="0"/>
        <v>2</v>
      </c>
    </row>
    <row r="35" spans="1:16" ht="15.75" thickBot="1" x14ac:dyDescent="0.3">
      <c r="A35" s="35">
        <v>1000076</v>
      </c>
      <c r="B35" s="22" t="s">
        <v>46</v>
      </c>
      <c r="C35" s="41"/>
      <c r="D35" s="47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>
        <f t="shared" si="0"/>
        <v>0</v>
      </c>
    </row>
    <row r="36" spans="1:16" ht="15.75" thickBot="1" x14ac:dyDescent="0.3">
      <c r="A36" s="35">
        <v>1000214</v>
      </c>
      <c r="B36" s="22" t="s">
        <v>49</v>
      </c>
      <c r="C36" s="41"/>
      <c r="D36" s="47">
        <v>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>
        <f t="shared" si="0"/>
        <v>0</v>
      </c>
    </row>
    <row r="37" spans="1:16" ht="15.75" thickBot="1" x14ac:dyDescent="0.3">
      <c r="A37" s="35">
        <v>1000092</v>
      </c>
      <c r="B37" s="22" t="s">
        <v>51</v>
      </c>
      <c r="C37" s="41"/>
      <c r="D37" s="47"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>
        <f t="shared" si="0"/>
        <v>0</v>
      </c>
    </row>
    <row r="38" spans="1:16" ht="15.75" thickBot="1" x14ac:dyDescent="0.3">
      <c r="A38" s="35">
        <v>1000142</v>
      </c>
      <c r="B38" s="22" t="s">
        <v>54</v>
      </c>
      <c r="C38" s="41"/>
      <c r="D38" s="47">
        <v>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>
        <f t="shared" si="0"/>
        <v>0</v>
      </c>
    </row>
    <row r="39" spans="1:16" ht="15.75" thickBot="1" x14ac:dyDescent="0.3">
      <c r="A39" s="35">
        <v>1000100</v>
      </c>
      <c r="B39" s="22" t="s">
        <v>34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>
        <f t="shared" si="0"/>
        <v>0</v>
      </c>
    </row>
    <row r="40" spans="1:16" ht="15.75" thickBot="1" x14ac:dyDescent="0.3">
      <c r="A40" s="35">
        <v>1000004</v>
      </c>
      <c r="B40" s="22" t="s">
        <v>10</v>
      </c>
      <c r="C40" s="41"/>
      <c r="D40" s="47"/>
      <c r="F40" s="28"/>
      <c r="G40" s="28"/>
      <c r="H40" s="28"/>
      <c r="I40" s="28"/>
      <c r="J40" s="28">
        <v>3</v>
      </c>
      <c r="K40" s="28"/>
      <c r="L40" s="28"/>
      <c r="M40" s="28"/>
      <c r="N40" s="28">
        <v>3</v>
      </c>
      <c r="O40" s="28"/>
      <c r="P40" s="556">
        <f>SUM(F40:O40)</f>
        <v>6</v>
      </c>
    </row>
    <row r="41" spans="1:16" ht="15.75" thickBot="1" x14ac:dyDescent="0.3">
      <c r="A41" s="35">
        <v>1000449</v>
      </c>
      <c r="B41" s="22" t="s">
        <v>202</v>
      </c>
      <c r="C41" s="41"/>
      <c r="D41" s="47"/>
      <c r="F41" s="28"/>
      <c r="G41" s="28"/>
      <c r="H41" s="28"/>
      <c r="I41" s="28"/>
      <c r="J41" s="28">
        <v>2</v>
      </c>
      <c r="K41" s="28"/>
      <c r="L41" s="28"/>
      <c r="M41" s="28"/>
      <c r="N41" s="28"/>
      <c r="O41" s="28"/>
      <c r="P41" s="556">
        <f>SUM(F41:O41)</f>
        <v>2</v>
      </c>
    </row>
    <row r="42" spans="1:16" ht="15.75" thickBot="1" x14ac:dyDescent="0.3">
      <c r="A42" s="35">
        <v>1000070</v>
      </c>
      <c r="B42" s="22" t="s">
        <v>13</v>
      </c>
      <c r="C42" s="41"/>
      <c r="D42" s="47"/>
      <c r="F42" s="28"/>
      <c r="G42" s="28"/>
      <c r="H42" s="28"/>
      <c r="I42" s="28"/>
      <c r="J42" s="28">
        <v>1</v>
      </c>
      <c r="K42" s="28"/>
      <c r="L42" s="28"/>
      <c r="M42" s="28"/>
      <c r="N42" s="28">
        <v>2</v>
      </c>
      <c r="O42" s="28"/>
      <c r="P42" s="556">
        <f>SUM(F42:O42)</f>
        <v>3</v>
      </c>
    </row>
    <row r="43" spans="1:16" ht="15.75" thickBot="1" x14ac:dyDescent="0.3">
      <c r="A43" s="35">
        <v>1000106</v>
      </c>
      <c r="B43" s="22" t="s">
        <v>59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>
        <f t="shared" si="0"/>
        <v>0</v>
      </c>
    </row>
    <row r="44" spans="1:16" ht="15.75" thickBot="1" x14ac:dyDescent="0.3">
      <c r="A44" s="35">
        <v>1000063</v>
      </c>
      <c r="B44" s="22" t="s">
        <v>65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>
        <f t="shared" si="0"/>
        <v>0</v>
      </c>
    </row>
    <row r="45" spans="1:16" ht="15.75" thickBot="1" x14ac:dyDescent="0.3">
      <c r="A45" s="35">
        <v>1000075</v>
      </c>
      <c r="B45" s="22" t="s">
        <v>47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>
        <v>2</v>
      </c>
      <c r="O45" s="28"/>
      <c r="P45" s="556">
        <f t="shared" si="0"/>
        <v>2</v>
      </c>
    </row>
    <row r="46" spans="1:16" ht="15.75" thickBot="1" x14ac:dyDescent="0.3">
      <c r="A46" s="35">
        <v>1000045</v>
      </c>
      <c r="B46" s="22" t="s">
        <v>23</v>
      </c>
      <c r="C46" s="41"/>
      <c r="D46" s="47"/>
      <c r="F46" s="28"/>
      <c r="G46" s="28"/>
      <c r="H46" s="28"/>
      <c r="I46" s="28"/>
      <c r="J46" s="28">
        <v>2</v>
      </c>
      <c r="K46" s="28"/>
      <c r="L46" s="28"/>
      <c r="M46" s="28"/>
      <c r="N46" s="28">
        <v>2</v>
      </c>
      <c r="O46" s="28"/>
      <c r="P46" s="556">
        <f t="shared" si="0"/>
        <v>4</v>
      </c>
    </row>
    <row r="47" spans="1:16" ht="15.75" thickBot="1" x14ac:dyDescent="0.3">
      <c r="A47" s="35">
        <v>1000057</v>
      </c>
      <c r="B47" s="22" t="s">
        <v>70</v>
      </c>
      <c r="C47" s="41"/>
      <c r="D47" s="47"/>
      <c r="F47" s="28"/>
      <c r="G47" s="28"/>
      <c r="H47" s="28"/>
      <c r="I47" s="28"/>
      <c r="J47" s="28">
        <v>1</v>
      </c>
      <c r="K47" s="28"/>
      <c r="L47" s="28"/>
      <c r="M47" s="28"/>
      <c r="N47" s="28">
        <v>1</v>
      </c>
      <c r="O47" s="28"/>
      <c r="P47" s="556">
        <f t="shared" si="0"/>
        <v>2</v>
      </c>
    </row>
    <row r="48" spans="1:16" ht="15.75" thickBot="1" x14ac:dyDescent="0.3">
      <c r="A48" s="35">
        <v>1000029</v>
      </c>
      <c r="B48" s="22" t="s">
        <v>30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>
        <f t="shared" si="0"/>
        <v>0</v>
      </c>
    </row>
    <row r="49" spans="1:16" ht="15.75" thickBot="1" x14ac:dyDescent="0.3">
      <c r="A49" s="35">
        <v>1000033</v>
      </c>
      <c r="B49" s="22" t="s">
        <v>27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>
        <f t="shared" si="0"/>
        <v>0</v>
      </c>
    </row>
    <row r="50" spans="1:16" ht="15.75" thickBot="1" x14ac:dyDescent="0.3">
      <c r="A50" s="35">
        <v>1000472</v>
      </c>
      <c r="B50" s="22" t="s">
        <v>222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>
        <f t="shared" si="0"/>
        <v>0</v>
      </c>
    </row>
    <row r="51" spans="1:16" ht="15.75" thickBot="1" x14ac:dyDescent="0.3">
      <c r="A51" s="35">
        <v>1000105</v>
      </c>
      <c r="B51" s="22" t="s">
        <v>58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>
        <f t="shared" si="0"/>
        <v>0</v>
      </c>
    </row>
    <row r="52" spans="1:16" ht="15.75" thickBot="1" x14ac:dyDescent="0.3">
      <c r="A52" s="35">
        <v>1000064</v>
      </c>
      <c r="B52" s="22" t="s">
        <v>64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>
        <f t="shared" si="0"/>
        <v>0</v>
      </c>
    </row>
    <row r="53" spans="1:16" ht="15.75" thickBot="1" x14ac:dyDescent="0.3">
      <c r="A53" s="35">
        <v>1000067</v>
      </c>
      <c r="B53" s="22" t="s">
        <v>235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>
        <v>1</v>
      </c>
      <c r="O53" s="28"/>
      <c r="P53" s="556">
        <f t="shared" si="0"/>
        <v>1</v>
      </c>
    </row>
    <row r="54" spans="1:16" ht="15.75" thickBot="1" x14ac:dyDescent="0.3">
      <c r="A54" s="35">
        <v>1000085</v>
      </c>
      <c r="B54" s="22" t="s">
        <v>50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>
        <f t="shared" si="0"/>
        <v>0</v>
      </c>
    </row>
    <row r="55" spans="1:16" ht="15.75" thickBot="1" x14ac:dyDescent="0.3">
      <c r="A55" s="35">
        <v>1000205</v>
      </c>
      <c r="B55" s="22" t="s">
        <v>82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>
        <f t="shared" si="0"/>
        <v>0</v>
      </c>
    </row>
    <row r="56" spans="1:16" ht="15.75" thickBot="1" x14ac:dyDescent="0.3">
      <c r="A56" s="35">
        <v>1000302</v>
      </c>
      <c r="B56" s="22" t="s">
        <v>62</v>
      </c>
      <c r="C56" s="41"/>
      <c r="D56" s="4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>
        <f t="shared" si="0"/>
        <v>0</v>
      </c>
    </row>
    <row r="57" spans="1:16" ht="15.75" thickBot="1" x14ac:dyDescent="0.3">
      <c r="A57" s="35">
        <v>10211</v>
      </c>
      <c r="B57" s="22" t="s">
        <v>3</v>
      </c>
      <c r="C57" s="41"/>
      <c r="D57" s="47"/>
      <c r="F57" s="28"/>
      <c r="G57" s="28"/>
      <c r="H57" s="28"/>
      <c r="I57" s="28"/>
      <c r="J57" s="28">
        <v>100</v>
      </c>
      <c r="K57" s="28"/>
      <c r="L57" s="28"/>
      <c r="M57" s="28"/>
      <c r="N57" s="28">
        <v>100</v>
      </c>
      <c r="O57" s="28"/>
      <c r="P57" s="556">
        <f>SUM(F57:O57)</f>
        <v>200</v>
      </c>
    </row>
    <row r="58" spans="1:16" ht="15.75" thickBot="1" x14ac:dyDescent="0.3">
      <c r="A58" s="35">
        <v>1000439</v>
      </c>
      <c r="B58" s="22" t="s">
        <v>193</v>
      </c>
      <c r="C58" s="41"/>
      <c r="D58" s="47"/>
      <c r="F58" s="28"/>
      <c r="G58" s="28"/>
      <c r="H58" s="28"/>
      <c r="I58" s="28"/>
      <c r="J58" s="28">
        <v>2</v>
      </c>
      <c r="K58" s="28"/>
      <c r="L58" s="28"/>
      <c r="M58" s="28"/>
      <c r="N58" s="28"/>
      <c r="O58" s="28"/>
      <c r="P58" s="556">
        <f>SUM(F58:O58)</f>
        <v>2</v>
      </c>
    </row>
    <row r="59" spans="1:16" ht="15.75" thickBot="1" x14ac:dyDescent="0.3">
      <c r="A59" s="35">
        <v>1000080</v>
      </c>
      <c r="B59" s="22" t="s">
        <v>275</v>
      </c>
      <c r="C59" s="41"/>
      <c r="D59" s="4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>
        <f t="shared" si="0"/>
        <v>0</v>
      </c>
    </row>
    <row r="60" spans="1:16" ht="15.75" thickBot="1" x14ac:dyDescent="0.3">
      <c r="A60" s="35">
        <v>1000436</v>
      </c>
      <c r="B60" s="22" t="s">
        <v>276</v>
      </c>
      <c r="C60" s="41"/>
      <c r="D60" s="4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>
        <f t="shared" si="0"/>
        <v>0</v>
      </c>
    </row>
    <row r="61" spans="1:16" ht="15.75" thickBot="1" x14ac:dyDescent="0.3">
      <c r="A61" s="35">
        <v>1000550</v>
      </c>
      <c r="B61" s="22" t="s">
        <v>277</v>
      </c>
      <c r="C61" s="41"/>
      <c r="D61" s="4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>
        <f t="shared" si="0"/>
        <v>0</v>
      </c>
    </row>
    <row r="62" spans="1:16" ht="15.75" thickBot="1" x14ac:dyDescent="0.3">
      <c r="A62" s="35">
        <v>1000551</v>
      </c>
      <c r="B62" s="22" t="s">
        <v>278</v>
      </c>
      <c r="C62" s="41"/>
      <c r="D62" s="4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>
        <f t="shared" ref="P62:P66" si="1">SUM(F62:O62)</f>
        <v>0</v>
      </c>
    </row>
    <row r="63" spans="1:16" s="200" customFormat="1" ht="15.75" thickBot="1" x14ac:dyDescent="0.3">
      <c r="A63" s="38">
        <v>1000552</v>
      </c>
      <c r="B63" s="17" t="s">
        <v>279</v>
      </c>
      <c r="C63" s="41"/>
      <c r="D63" s="46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>
        <f t="shared" si="1"/>
        <v>0</v>
      </c>
    </row>
    <row r="64" spans="1:16" ht="15.75" thickBot="1" x14ac:dyDescent="0.3">
      <c r="A64" s="60">
        <v>1000031</v>
      </c>
      <c r="B64" s="13" t="s">
        <v>25</v>
      </c>
      <c r="D64" s="4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>
        <f t="shared" si="1"/>
        <v>0</v>
      </c>
    </row>
    <row r="65" spans="1:16" ht="15.75" thickBot="1" x14ac:dyDescent="0.3">
      <c r="A65" s="35">
        <v>1000062</v>
      </c>
      <c r="B65" s="12" t="s">
        <v>66</v>
      </c>
      <c r="D65" s="4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>
        <f t="shared" si="1"/>
        <v>0</v>
      </c>
    </row>
    <row r="66" spans="1:16" ht="15.75" thickBot="1" x14ac:dyDescent="0.3">
      <c r="A66" s="35"/>
      <c r="B66" s="12" t="s">
        <v>19</v>
      </c>
      <c r="D66" s="46"/>
      <c r="F66" s="28"/>
      <c r="G66" s="28"/>
      <c r="H66" s="28"/>
      <c r="I66" s="28"/>
      <c r="J66" s="28">
        <v>3</v>
      </c>
      <c r="K66" s="28"/>
      <c r="L66" s="28"/>
      <c r="M66" s="28"/>
      <c r="N66" s="28">
        <v>1</v>
      </c>
      <c r="O66" s="28"/>
      <c r="P66" s="556">
        <f t="shared" si="1"/>
        <v>4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C8C5-881E-4E4A-A91C-046786883AE5}">
  <sheetPr>
    <tabColor rgb="FF7030A0"/>
    <pageSetUpPr fitToPage="1"/>
  </sheetPr>
  <dimension ref="A1:R52"/>
  <sheetViews>
    <sheetView topLeftCell="A15" zoomScale="85" zoomScaleNormal="85" workbookViewId="0">
      <selection activeCell="R6" sqref="R6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875" style="27" customWidth="1"/>
    <col min="8" max="8" width="9.125" style="27" bestFit="1" customWidth="1"/>
    <col min="9" max="9" width="5.625" style="27" customWidth="1"/>
    <col min="10" max="10" width="9.125" style="27" bestFit="1" customWidth="1"/>
    <col min="11" max="11" width="5.5" style="27" customWidth="1"/>
    <col min="12" max="12" width="9.375" style="27" customWidth="1"/>
    <col min="13" max="13" width="5.875" style="27" customWidth="1"/>
    <col min="14" max="14" width="9.125" style="27" bestFit="1" customWidth="1"/>
    <col min="15" max="15" width="6" style="27" customWidth="1"/>
    <col min="16" max="16384" width="10.875" style="27"/>
  </cols>
  <sheetData>
    <row r="1" spans="1:16" ht="17.25" customHeight="1" x14ac:dyDescent="0.45">
      <c r="A1" s="686" t="s">
        <v>152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 s="747" t="s">
        <v>170</v>
      </c>
      <c r="M1" s="749" t="s">
        <v>171</v>
      </c>
    </row>
    <row r="2" spans="1:16" s="3" customFormat="1" ht="17.2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  <c r="L2" s="774"/>
      <c r="M2" s="750"/>
    </row>
    <row r="3" spans="1:16" s="3" customFormat="1" ht="21" customHeight="1" thickBot="1" x14ac:dyDescent="0.3">
      <c r="A3" s="5"/>
      <c r="B3" s="340" t="s">
        <v>356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357</v>
      </c>
      <c r="H4" s="19" t="s">
        <v>310</v>
      </c>
      <c r="I4" s="20" t="s">
        <v>357</v>
      </c>
      <c r="J4" s="19" t="s">
        <v>311</v>
      </c>
      <c r="K4" s="20" t="s">
        <v>357</v>
      </c>
      <c r="L4" s="19" t="s">
        <v>312</v>
      </c>
      <c r="M4" s="20" t="s">
        <v>357</v>
      </c>
      <c r="N4" s="19" t="s">
        <v>313</v>
      </c>
      <c r="O4" s="20" t="s">
        <v>357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>
        <f t="shared" ref="P5:P52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200</v>
      </c>
      <c r="F7" s="109">
        <v>100</v>
      </c>
      <c r="G7" s="109"/>
      <c r="H7" s="109">
        <v>100</v>
      </c>
      <c r="I7" s="109"/>
      <c r="J7" s="109">
        <v>100</v>
      </c>
      <c r="K7" s="109"/>
      <c r="L7" s="109"/>
      <c r="M7" s="109"/>
      <c r="N7" s="109">
        <v>100</v>
      </c>
      <c r="O7" s="109"/>
      <c r="P7" s="512">
        <f t="shared" si="0"/>
        <v>400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150</v>
      </c>
      <c r="F8" s="109">
        <v>100</v>
      </c>
      <c r="G8" s="109"/>
      <c r="H8" s="109">
        <v>50</v>
      </c>
      <c r="I8" s="109"/>
      <c r="J8" s="109">
        <v>50</v>
      </c>
      <c r="K8" s="109"/>
      <c r="L8" s="109"/>
      <c r="M8" s="109"/>
      <c r="N8" s="109">
        <v>50</v>
      </c>
      <c r="O8" s="109"/>
      <c r="P8" s="512">
        <f t="shared" si="0"/>
        <v>250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5</v>
      </c>
      <c r="F9" s="109">
        <v>2</v>
      </c>
      <c r="G9" s="109"/>
      <c r="H9" s="109">
        <v>1</v>
      </c>
      <c r="I9" s="109"/>
      <c r="J9" s="109"/>
      <c r="K9" s="109"/>
      <c r="L9" s="109"/>
      <c r="M9" s="109"/>
      <c r="N9" s="109">
        <v>1</v>
      </c>
      <c r="O9" s="109"/>
      <c r="P9" s="512">
        <f t="shared" si="0"/>
        <v>4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109"/>
      <c r="G10" s="109"/>
      <c r="H10" s="109">
        <v>1</v>
      </c>
      <c r="I10" s="109"/>
      <c r="J10" s="109"/>
      <c r="K10" s="109"/>
      <c r="L10" s="109"/>
      <c r="M10" s="109"/>
      <c r="N10" s="109"/>
      <c r="O10" s="109"/>
      <c r="P10" s="512">
        <f t="shared" si="0"/>
        <v>1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3</v>
      </c>
      <c r="F11" s="109">
        <v>2</v>
      </c>
      <c r="G11" s="109"/>
      <c r="H11" s="109">
        <v>1</v>
      </c>
      <c r="I11" s="109"/>
      <c r="J11" s="109"/>
      <c r="K11" s="109"/>
      <c r="L11" s="109"/>
      <c r="M11" s="109"/>
      <c r="N11" s="109">
        <v>1</v>
      </c>
      <c r="O11" s="109"/>
      <c r="P11" s="512">
        <f t="shared" si="0"/>
        <v>4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40</v>
      </c>
      <c r="F12" s="109">
        <v>5</v>
      </c>
      <c r="G12" s="109"/>
      <c r="H12" s="109"/>
      <c r="I12" s="109"/>
      <c r="J12" s="109"/>
      <c r="K12" s="109"/>
      <c r="L12" s="109"/>
      <c r="M12" s="109"/>
      <c r="N12" s="109">
        <v>10</v>
      </c>
      <c r="O12" s="109"/>
      <c r="P12" s="512">
        <f t="shared" si="0"/>
        <v>15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109"/>
      <c r="G13" s="109"/>
      <c r="H13" s="109"/>
      <c r="I13" s="109"/>
      <c r="J13" s="109">
        <v>1</v>
      </c>
      <c r="K13" s="109"/>
      <c r="L13" s="109"/>
      <c r="M13" s="109"/>
      <c r="N13" s="109"/>
      <c r="O13" s="109"/>
      <c r="P13" s="512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65</v>
      </c>
      <c r="F14" s="109">
        <v>10</v>
      </c>
      <c r="G14" s="109"/>
      <c r="H14" s="109">
        <v>10</v>
      </c>
      <c r="I14" s="109"/>
      <c r="J14" s="109">
        <v>10</v>
      </c>
      <c r="K14" s="109"/>
      <c r="L14" s="109"/>
      <c r="M14" s="109"/>
      <c r="N14" s="109">
        <v>10</v>
      </c>
      <c r="O14" s="109"/>
      <c r="P14" s="512">
        <f t="shared" si="0"/>
        <v>40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109">
        <v>5</v>
      </c>
      <c r="G15" s="109"/>
      <c r="H15" s="109"/>
      <c r="I15" s="109"/>
      <c r="J15" s="109"/>
      <c r="K15" s="109"/>
      <c r="L15" s="109"/>
      <c r="M15" s="109"/>
      <c r="N15" s="109">
        <v>5</v>
      </c>
      <c r="O15" s="109"/>
      <c r="P15" s="512">
        <f t="shared" si="0"/>
        <v>10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1</v>
      </c>
      <c r="F16" s="109"/>
      <c r="G16" s="109"/>
      <c r="H16" s="109">
        <v>2</v>
      </c>
      <c r="I16" s="109"/>
      <c r="J16" s="109"/>
      <c r="K16" s="109"/>
      <c r="L16" s="109"/>
      <c r="M16" s="109"/>
      <c r="N16" s="109"/>
      <c r="O16" s="109"/>
      <c r="P16" s="512">
        <f t="shared" si="0"/>
        <v>2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109"/>
      <c r="G17" s="109"/>
      <c r="H17" s="109"/>
      <c r="I17" s="109"/>
      <c r="J17" s="109"/>
      <c r="K17" s="109"/>
      <c r="L17" s="109"/>
      <c r="M17" s="109"/>
      <c r="N17" s="109">
        <v>2</v>
      </c>
      <c r="O17" s="109"/>
      <c r="P17" s="512">
        <f t="shared" si="0"/>
        <v>2</v>
      </c>
    </row>
    <row r="18" spans="1:16" ht="15.75" thickBot="1" x14ac:dyDescent="0.3">
      <c r="A18" s="35">
        <v>1000031</v>
      </c>
      <c r="B18" s="14" t="s">
        <v>25</v>
      </c>
      <c r="C18" s="41"/>
      <c r="D18" s="47">
        <v>2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>
        <f t="shared" si="0"/>
        <v>0</v>
      </c>
    </row>
    <row r="19" spans="1:16" ht="15.75" thickBot="1" x14ac:dyDescent="0.3">
      <c r="A19" s="35">
        <v>1000032</v>
      </c>
      <c r="B19" s="12" t="s">
        <v>26</v>
      </c>
      <c r="C19" s="41"/>
      <c r="D19" s="47">
        <v>2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>
        <f t="shared" si="0"/>
        <v>0</v>
      </c>
    </row>
    <row r="20" spans="1:16" ht="15.75" thickBot="1" x14ac:dyDescent="0.3">
      <c r="A20" s="35">
        <v>1000026</v>
      </c>
      <c r="B20" s="12" t="s">
        <v>31</v>
      </c>
      <c r="C20" s="41"/>
      <c r="D20" s="47">
        <v>4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>
        <f t="shared" si="0"/>
        <v>0</v>
      </c>
    </row>
    <row r="21" spans="1:16" ht="15.75" thickBot="1" x14ac:dyDescent="0.3">
      <c r="A21" s="35">
        <v>1000027</v>
      </c>
      <c r="B21" s="12" t="s">
        <v>33</v>
      </c>
      <c r="C21" s="41"/>
      <c r="D21" s="47">
        <v>5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>
        <f t="shared" si="0"/>
        <v>0</v>
      </c>
    </row>
    <row r="22" spans="1:16" ht="15.75" thickBot="1" x14ac:dyDescent="0.3">
      <c r="A22" s="35">
        <v>1000101</v>
      </c>
      <c r="B22" s="12" t="s">
        <v>35</v>
      </c>
      <c r="C22" s="41"/>
      <c r="D22" s="47">
        <v>0</v>
      </c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>
        <f t="shared" si="0"/>
        <v>0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10</v>
      </c>
      <c r="F23" s="109">
        <v>8</v>
      </c>
      <c r="G23" s="109"/>
      <c r="H23" s="109">
        <v>8</v>
      </c>
      <c r="I23" s="109"/>
      <c r="J23" s="109">
        <v>4</v>
      </c>
      <c r="K23" s="109"/>
      <c r="L23" s="109"/>
      <c r="M23" s="109"/>
      <c r="N23" s="109">
        <v>8</v>
      </c>
      <c r="O23" s="109"/>
      <c r="P23" s="512">
        <f t="shared" si="0"/>
        <v>28</v>
      </c>
    </row>
    <row r="24" spans="1:16" ht="15.75" thickBot="1" x14ac:dyDescent="0.3">
      <c r="A24" s="44">
        <v>1000090</v>
      </c>
      <c r="B24" s="13" t="s">
        <v>40</v>
      </c>
      <c r="C24" s="41"/>
      <c r="D24" s="47">
        <v>2</v>
      </c>
      <c r="F24" s="109"/>
      <c r="G24" s="109"/>
      <c r="H24" s="109">
        <v>2</v>
      </c>
      <c r="I24" s="109"/>
      <c r="J24" s="109"/>
      <c r="K24" s="109"/>
      <c r="L24" s="109"/>
      <c r="M24" s="109"/>
      <c r="N24" s="109">
        <v>6</v>
      </c>
      <c r="O24" s="109"/>
      <c r="P24" s="512">
        <f t="shared" si="0"/>
        <v>8</v>
      </c>
    </row>
    <row r="25" spans="1:16" ht="15.75" thickBot="1" x14ac:dyDescent="0.3">
      <c r="A25" s="44">
        <v>1000052</v>
      </c>
      <c r="B25" s="13" t="s">
        <v>41</v>
      </c>
      <c r="C25" s="41"/>
      <c r="D25" s="47">
        <v>6</v>
      </c>
      <c r="F25" s="109">
        <v>2</v>
      </c>
      <c r="G25" s="109"/>
      <c r="H25" s="109"/>
      <c r="I25" s="109"/>
      <c r="J25" s="109"/>
      <c r="K25" s="109"/>
      <c r="L25" s="109"/>
      <c r="M25" s="109"/>
      <c r="N25" s="109"/>
      <c r="O25" s="109"/>
      <c r="P25" s="512">
        <f t="shared" si="0"/>
        <v>2</v>
      </c>
    </row>
    <row r="26" spans="1:16" ht="15.75" thickBot="1" x14ac:dyDescent="0.3">
      <c r="A26" s="44">
        <v>1000089</v>
      </c>
      <c r="B26" s="13" t="s">
        <v>42</v>
      </c>
      <c r="C26" s="41"/>
      <c r="D26" s="47">
        <v>6</v>
      </c>
      <c r="F26" s="109">
        <v>3</v>
      </c>
      <c r="G26" s="109"/>
      <c r="H26" s="109"/>
      <c r="I26" s="109"/>
      <c r="J26" s="109">
        <v>2</v>
      </c>
      <c r="K26" s="109"/>
      <c r="L26" s="109"/>
      <c r="M26" s="109"/>
      <c r="N26" s="109">
        <v>2</v>
      </c>
      <c r="O26" s="109"/>
      <c r="P26" s="512">
        <f t="shared" si="0"/>
        <v>7</v>
      </c>
    </row>
    <row r="27" spans="1:16" ht="15.75" thickBot="1" x14ac:dyDescent="0.3">
      <c r="A27" s="35">
        <v>1000051</v>
      </c>
      <c r="B27" s="12" t="s">
        <v>43</v>
      </c>
      <c r="C27" s="41"/>
      <c r="D27" s="47">
        <v>1</v>
      </c>
      <c r="F27" s="109"/>
      <c r="G27" s="109"/>
      <c r="H27" s="109">
        <v>1</v>
      </c>
      <c r="I27" s="109"/>
      <c r="J27" s="109"/>
      <c r="K27" s="109"/>
      <c r="L27" s="109"/>
      <c r="M27" s="109"/>
      <c r="N27" s="109"/>
      <c r="O27" s="109"/>
      <c r="P27" s="512">
        <f t="shared" si="0"/>
        <v>1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0</v>
      </c>
      <c r="F28" s="109"/>
      <c r="G28" s="109"/>
      <c r="H28" s="109"/>
      <c r="I28" s="109"/>
      <c r="J28" s="109"/>
      <c r="K28" s="109"/>
      <c r="L28" s="109"/>
      <c r="M28" s="109"/>
      <c r="N28" s="109">
        <v>2</v>
      </c>
      <c r="O28" s="109"/>
      <c r="P28" s="512">
        <f t="shared" si="0"/>
        <v>2</v>
      </c>
    </row>
    <row r="29" spans="1:16" ht="15.75" thickBot="1" x14ac:dyDescent="0.3">
      <c r="A29" s="35">
        <v>1000087</v>
      </c>
      <c r="B29" s="12" t="s">
        <v>69</v>
      </c>
      <c r="C29" s="41"/>
      <c r="D29" s="47">
        <v>0</v>
      </c>
      <c r="F29" s="109"/>
      <c r="G29" s="109"/>
      <c r="H29" s="109"/>
      <c r="I29" s="109"/>
      <c r="J29" s="109"/>
      <c r="K29" s="109"/>
      <c r="L29" s="109"/>
      <c r="M29" s="109"/>
      <c r="N29" s="109">
        <v>2</v>
      </c>
      <c r="O29" s="109"/>
      <c r="P29" s="512">
        <f t="shared" si="0"/>
        <v>2</v>
      </c>
    </row>
    <row r="30" spans="1:16" ht="15.75" thickBot="1" x14ac:dyDescent="0.3">
      <c r="A30" s="35">
        <v>1000067</v>
      </c>
      <c r="B30" s="12" t="s">
        <v>11</v>
      </c>
      <c r="C30" s="41"/>
      <c r="D30" s="47">
        <v>1</v>
      </c>
      <c r="F30" s="109">
        <v>1</v>
      </c>
      <c r="G30" s="109"/>
      <c r="H30" s="109"/>
      <c r="I30" s="109"/>
      <c r="J30" s="109">
        <v>1</v>
      </c>
      <c r="K30" s="109"/>
      <c r="L30" s="109"/>
      <c r="M30" s="109"/>
      <c r="N30" s="109"/>
      <c r="O30" s="109"/>
      <c r="P30" s="512">
        <f t="shared" si="0"/>
        <v>2</v>
      </c>
    </row>
    <row r="31" spans="1:16" ht="15.75" thickBot="1" x14ac:dyDescent="0.3">
      <c r="A31" s="35">
        <v>1000147</v>
      </c>
      <c r="B31" s="12" t="s">
        <v>52</v>
      </c>
      <c r="C31" s="41"/>
      <c r="D31" s="47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>
        <f t="shared" si="0"/>
        <v>0</v>
      </c>
    </row>
    <row r="32" spans="1:16" ht="15.75" thickBot="1" x14ac:dyDescent="0.3">
      <c r="A32" s="35">
        <v>1000008</v>
      </c>
      <c r="B32" s="12" t="s">
        <v>7</v>
      </c>
      <c r="C32" s="41"/>
      <c r="D32" s="47"/>
      <c r="F32" s="109"/>
      <c r="G32" s="109"/>
      <c r="H32" s="109">
        <v>50</v>
      </c>
      <c r="I32" s="109"/>
      <c r="J32" s="109"/>
      <c r="K32" s="109"/>
      <c r="L32" s="109"/>
      <c r="M32" s="109"/>
      <c r="N32" s="109"/>
      <c r="O32" s="109"/>
      <c r="P32" s="512">
        <f t="shared" si="0"/>
        <v>50</v>
      </c>
    </row>
    <row r="33" spans="1:18" s="15" customFormat="1" ht="15.95" customHeight="1" thickBot="1" x14ac:dyDescent="0.3">
      <c r="A33" s="35">
        <v>1000214</v>
      </c>
      <c r="B33" s="12" t="s">
        <v>49</v>
      </c>
      <c r="C33" s="41"/>
      <c r="D33" s="47"/>
      <c r="E33" s="27"/>
      <c r="F33" s="109"/>
      <c r="G33" s="109"/>
      <c r="H33" s="109"/>
      <c r="I33" s="109"/>
      <c r="J33" s="109"/>
      <c r="K33" s="109"/>
      <c r="L33" s="109"/>
      <c r="M33" s="109"/>
      <c r="N33" s="109">
        <v>1</v>
      </c>
      <c r="O33" s="109"/>
      <c r="P33" s="512">
        <f t="shared" si="0"/>
        <v>1</v>
      </c>
    </row>
    <row r="34" spans="1:18" ht="15.75" thickBot="1" x14ac:dyDescent="0.3">
      <c r="A34" s="35">
        <v>10222</v>
      </c>
      <c r="B34" s="12" t="s">
        <v>94</v>
      </c>
      <c r="C34" s="41"/>
      <c r="D34" s="47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>
        <f t="shared" si="0"/>
        <v>0</v>
      </c>
    </row>
    <row r="35" spans="1:18" ht="15.75" thickBot="1" x14ac:dyDescent="0.3">
      <c r="A35" s="35">
        <v>10248</v>
      </c>
      <c r="B35" s="12" t="s">
        <v>183</v>
      </c>
      <c r="C35" s="41"/>
      <c r="D35" s="47"/>
      <c r="F35" s="109"/>
      <c r="G35" s="109"/>
      <c r="H35" s="109">
        <v>6</v>
      </c>
      <c r="I35" s="109"/>
      <c r="J35" s="109">
        <v>6</v>
      </c>
      <c r="K35" s="109"/>
      <c r="L35" s="109"/>
      <c r="M35" s="109"/>
      <c r="N35" s="109">
        <v>6</v>
      </c>
      <c r="O35" s="109"/>
      <c r="P35" s="512">
        <f t="shared" si="0"/>
        <v>18</v>
      </c>
    </row>
    <row r="36" spans="1:18" ht="15.75" thickBot="1" x14ac:dyDescent="0.3">
      <c r="A36" s="35">
        <v>1000029</v>
      </c>
      <c r="B36" s="12" t="s">
        <v>30</v>
      </c>
      <c r="C36" s="41"/>
      <c r="D36" s="47"/>
      <c r="F36" s="109"/>
      <c r="G36" s="109"/>
      <c r="H36" s="109">
        <v>1</v>
      </c>
      <c r="I36" s="109"/>
      <c r="J36" s="109"/>
      <c r="K36" s="109"/>
      <c r="L36" s="109"/>
      <c r="M36" s="109"/>
      <c r="N36" s="109"/>
      <c r="O36" s="109"/>
      <c r="P36" s="512">
        <f t="shared" si="0"/>
        <v>1</v>
      </c>
    </row>
    <row r="37" spans="1:18" ht="15.75" thickBot="1" x14ac:dyDescent="0.3">
      <c r="A37" s="35">
        <v>1000033</v>
      </c>
      <c r="B37" s="12" t="s">
        <v>27</v>
      </c>
      <c r="C37" s="41"/>
      <c r="D37" s="47"/>
      <c r="F37" s="109"/>
      <c r="G37" s="109"/>
      <c r="H37" s="109"/>
      <c r="I37" s="109"/>
      <c r="J37" s="109">
        <v>1</v>
      </c>
      <c r="K37" s="109"/>
      <c r="L37" s="109"/>
      <c r="M37" s="109"/>
      <c r="N37" s="109">
        <v>1</v>
      </c>
      <c r="O37" s="109"/>
      <c r="P37" s="512">
        <f t="shared" si="0"/>
        <v>2</v>
      </c>
    </row>
    <row r="38" spans="1:18" ht="15.75" thickBot="1" x14ac:dyDescent="0.3">
      <c r="A38" s="35">
        <v>1000041</v>
      </c>
      <c r="B38" s="12" t="s">
        <v>16</v>
      </c>
      <c r="C38" s="41"/>
      <c r="D38" s="47"/>
      <c r="F38" s="109"/>
      <c r="G38" s="109"/>
      <c r="H38" s="109">
        <v>5</v>
      </c>
      <c r="I38" s="109"/>
      <c r="J38" s="109"/>
      <c r="K38" s="109"/>
      <c r="L38" s="109"/>
      <c r="M38" s="109"/>
      <c r="N38" s="109"/>
      <c r="O38" s="109"/>
      <c r="P38" s="512">
        <f t="shared" si="0"/>
        <v>5</v>
      </c>
    </row>
    <row r="39" spans="1:18" ht="15.75" thickBot="1" x14ac:dyDescent="0.3">
      <c r="A39" s="35">
        <v>1000383</v>
      </c>
      <c r="B39" s="12" t="s">
        <v>264</v>
      </c>
      <c r="C39" s="41"/>
      <c r="D39" s="47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>
        <f t="shared" si="0"/>
        <v>0</v>
      </c>
    </row>
    <row r="40" spans="1:18" ht="15.75" thickBot="1" x14ac:dyDescent="0.3">
      <c r="A40" s="35">
        <v>1000082</v>
      </c>
      <c r="B40" s="12" t="s">
        <v>224</v>
      </c>
      <c r="C40" s="41"/>
      <c r="D40" s="47"/>
      <c r="F40" s="109">
        <v>16</v>
      </c>
      <c r="G40" s="109"/>
      <c r="H40" s="109">
        <v>16</v>
      </c>
      <c r="I40" s="109"/>
      <c r="J40" s="109"/>
      <c r="K40" s="109"/>
      <c r="L40" s="109"/>
      <c r="M40" s="109"/>
      <c r="N40" s="109"/>
      <c r="O40" s="109"/>
      <c r="P40" s="512">
        <f t="shared" si="0"/>
        <v>32</v>
      </c>
    </row>
    <row r="41" spans="1:18" ht="15.75" thickBot="1" x14ac:dyDescent="0.3">
      <c r="A41" s="35">
        <v>1000045</v>
      </c>
      <c r="B41" s="12" t="s">
        <v>23</v>
      </c>
      <c r="C41" s="41"/>
      <c r="D41" s="47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>
        <f t="shared" si="0"/>
        <v>0</v>
      </c>
    </row>
    <row r="42" spans="1:18" ht="15.75" thickBot="1" x14ac:dyDescent="0.3">
      <c r="A42" s="35">
        <v>1000080</v>
      </c>
      <c r="B42" s="12" t="s">
        <v>275</v>
      </c>
      <c r="C42" s="41"/>
      <c r="D42" s="47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>
        <f t="shared" si="0"/>
        <v>0</v>
      </c>
    </row>
    <row r="43" spans="1:18" ht="15.75" thickBot="1" x14ac:dyDescent="0.3">
      <c r="A43" s="35">
        <v>1000436</v>
      </c>
      <c r="B43" s="12" t="s">
        <v>276</v>
      </c>
      <c r="C43" s="41"/>
      <c r="D43" s="47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>
        <f t="shared" si="0"/>
        <v>0</v>
      </c>
      <c r="R43" s="629" t="s">
        <v>469</v>
      </c>
    </row>
    <row r="44" spans="1:18" ht="15.75" thickBot="1" x14ac:dyDescent="0.3">
      <c r="A44" s="35">
        <v>1000550</v>
      </c>
      <c r="B44" s="12" t="s">
        <v>277</v>
      </c>
      <c r="C44" s="41"/>
      <c r="D44" s="47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>
        <f t="shared" si="0"/>
        <v>0</v>
      </c>
    </row>
    <row r="45" spans="1:18" ht="15.75" thickBot="1" x14ac:dyDescent="0.3">
      <c r="A45" s="35">
        <v>1000551</v>
      </c>
      <c r="B45" s="12" t="s">
        <v>278</v>
      </c>
      <c r="C45" s="41"/>
      <c r="D45" s="47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>
        <f t="shared" si="0"/>
        <v>0</v>
      </c>
    </row>
    <row r="46" spans="1:18" ht="15.75" thickBot="1" x14ac:dyDescent="0.3">
      <c r="A46" s="243">
        <v>1000552</v>
      </c>
      <c r="B46" s="251" t="s">
        <v>279</v>
      </c>
      <c r="C46" s="215"/>
      <c r="D46" s="38"/>
      <c r="E46" s="21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>
        <f t="shared" si="0"/>
        <v>0</v>
      </c>
    </row>
    <row r="47" spans="1:18" ht="15.75" thickBot="1" x14ac:dyDescent="0.3">
      <c r="A47" s="35"/>
      <c r="B47" s="12" t="s">
        <v>502</v>
      </c>
      <c r="D47" s="38"/>
      <c r="F47" s="109"/>
      <c r="G47" s="109"/>
      <c r="H47" s="109">
        <v>2</v>
      </c>
      <c r="I47" s="109"/>
      <c r="J47" s="109"/>
      <c r="K47" s="109"/>
      <c r="L47" s="109"/>
      <c r="M47" s="109"/>
      <c r="N47" s="109"/>
      <c r="O47" s="109"/>
      <c r="P47" s="512">
        <f t="shared" si="0"/>
        <v>2</v>
      </c>
    </row>
    <row r="48" spans="1:18" ht="15.75" thickBot="1" x14ac:dyDescent="0.3">
      <c r="A48" s="35">
        <v>1000025</v>
      </c>
      <c r="B48" s="12" t="s">
        <v>32</v>
      </c>
      <c r="D48" s="38"/>
      <c r="F48" s="109">
        <v>5</v>
      </c>
      <c r="G48" s="109"/>
      <c r="H48" s="109">
        <v>5</v>
      </c>
      <c r="I48" s="109"/>
      <c r="J48" s="109"/>
      <c r="K48" s="109"/>
      <c r="L48" s="109"/>
      <c r="M48" s="109"/>
      <c r="N48" s="109"/>
      <c r="O48" s="109"/>
      <c r="P48" s="512">
        <f t="shared" si="0"/>
        <v>10</v>
      </c>
    </row>
    <row r="49" spans="1:16" ht="15.75" thickBot="1" x14ac:dyDescent="0.3">
      <c r="A49" s="35">
        <v>1000057</v>
      </c>
      <c r="B49" s="22" t="s">
        <v>70</v>
      </c>
      <c r="D49" s="38"/>
      <c r="F49" s="109"/>
      <c r="G49" s="109"/>
      <c r="H49" s="109"/>
      <c r="I49" s="109"/>
      <c r="J49" s="109"/>
      <c r="K49" s="109"/>
      <c r="L49" s="109"/>
      <c r="M49" s="109"/>
      <c r="N49" s="109">
        <v>1</v>
      </c>
      <c r="O49" s="109"/>
      <c r="P49" s="512">
        <f t="shared" si="0"/>
        <v>1</v>
      </c>
    </row>
    <row r="50" spans="1:16" ht="15.75" thickBot="1" x14ac:dyDescent="0.3">
      <c r="A50" s="35">
        <v>1000075</v>
      </c>
      <c r="B50" s="22" t="s">
        <v>47</v>
      </c>
      <c r="D50" s="38"/>
      <c r="F50" s="109"/>
      <c r="G50" s="109"/>
      <c r="H50" s="109"/>
      <c r="I50" s="109"/>
      <c r="J50" s="109"/>
      <c r="K50" s="109"/>
      <c r="L50" s="109"/>
      <c r="M50" s="109"/>
      <c r="N50" s="109">
        <v>1</v>
      </c>
      <c r="O50" s="109"/>
      <c r="P50" s="512">
        <f t="shared" si="0"/>
        <v>1</v>
      </c>
    </row>
    <row r="51" spans="1:16" ht="15.75" thickBot="1" x14ac:dyDescent="0.3">
      <c r="A51" s="35"/>
      <c r="B51" s="22" t="s">
        <v>501</v>
      </c>
      <c r="D51" s="38"/>
      <c r="F51" s="109"/>
      <c r="G51" s="109"/>
      <c r="H51" s="109"/>
      <c r="I51" s="109"/>
      <c r="J51" s="109"/>
      <c r="K51" s="109"/>
      <c r="L51" s="109"/>
      <c r="M51" s="109"/>
      <c r="N51" s="109">
        <v>1</v>
      </c>
      <c r="O51" s="109"/>
      <c r="P51" s="512">
        <f t="shared" si="0"/>
        <v>1</v>
      </c>
    </row>
    <row r="52" spans="1:16" ht="15.75" thickBot="1" x14ac:dyDescent="0.3">
      <c r="A52" s="35">
        <v>1000100</v>
      </c>
      <c r="B52" s="24" t="s">
        <v>34</v>
      </c>
      <c r="D52" s="38"/>
      <c r="F52" s="109"/>
      <c r="G52" s="109"/>
      <c r="H52" s="109"/>
      <c r="I52" s="109"/>
      <c r="J52" s="109"/>
      <c r="K52" s="109"/>
      <c r="L52" s="109"/>
      <c r="M52" s="109"/>
      <c r="N52" s="109">
        <v>2</v>
      </c>
      <c r="O52" s="109"/>
      <c r="P52" s="512">
        <f t="shared" si="0"/>
        <v>2</v>
      </c>
    </row>
  </sheetData>
  <mergeCells count="4">
    <mergeCell ref="A1:B2"/>
    <mergeCell ref="F1:J2"/>
    <mergeCell ref="L1:L2"/>
    <mergeCell ref="M1:M2"/>
  </mergeCells>
  <phoneticPr fontId="108" type="noConversion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579A-BB2B-441A-8079-FCEE575CE091}">
  <sheetPr>
    <tabColor rgb="FF7030A0"/>
    <pageSetUpPr fitToPage="1"/>
  </sheetPr>
  <dimension ref="A1:P60"/>
  <sheetViews>
    <sheetView zoomScale="85" zoomScaleNormal="85" workbookViewId="0">
      <selection activeCell="R52" sqref="R52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0.875" style="27" customWidth="1"/>
    <col min="4" max="4" width="8.125" style="27" bestFit="1" customWidth="1"/>
    <col min="5" max="5" width="1.5" style="27" customWidth="1"/>
    <col min="6" max="6" width="9.125" style="27" bestFit="1" customWidth="1"/>
    <col min="7" max="7" width="6.75" style="27" customWidth="1"/>
    <col min="8" max="8" width="9.125" style="27" bestFit="1" customWidth="1"/>
    <col min="9" max="9" width="6" style="27" customWidth="1"/>
    <col min="10" max="10" width="9.125" style="27" bestFit="1" customWidth="1"/>
    <col min="11" max="11" width="5.5" style="27" customWidth="1"/>
    <col min="12" max="12" width="9.125" style="27" bestFit="1" customWidth="1"/>
    <col min="13" max="13" width="4.375" style="27" customWidth="1"/>
    <col min="14" max="14" width="9.125" style="27" bestFit="1" customWidth="1"/>
    <col min="15" max="15" width="6.75" style="27" customWidth="1"/>
    <col min="16" max="16384" width="10.875" style="27"/>
  </cols>
  <sheetData>
    <row r="1" spans="1:16" ht="15" customHeight="1" x14ac:dyDescent="0.45">
      <c r="A1" s="686" t="s">
        <v>133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2.7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5" t="s">
        <v>438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23" t="s">
        <v>1</v>
      </c>
      <c r="C5" s="41"/>
      <c r="D5" s="48">
        <v>4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9" si="0">SUM(F5:O5)</f>
        <v>0</v>
      </c>
    </row>
    <row r="6" spans="1:16" ht="15.75" thickBot="1" x14ac:dyDescent="0.3">
      <c r="A6" s="35">
        <v>10000102</v>
      </c>
      <c r="B6" s="2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22" t="s">
        <v>4</v>
      </c>
      <c r="C7" s="41"/>
      <c r="D7" s="47">
        <v>150</v>
      </c>
      <c r="F7" s="28">
        <v>50</v>
      </c>
      <c r="G7" s="28"/>
      <c r="H7" s="28"/>
      <c r="I7" s="28"/>
      <c r="J7" s="28">
        <v>50</v>
      </c>
      <c r="K7" s="28"/>
      <c r="L7" s="28">
        <v>100</v>
      </c>
      <c r="M7" s="28"/>
      <c r="N7" s="28">
        <v>100</v>
      </c>
      <c r="O7" s="28"/>
      <c r="P7" s="418">
        <f t="shared" si="0"/>
        <v>300</v>
      </c>
    </row>
    <row r="8" spans="1:16" ht="15.75" thickBot="1" x14ac:dyDescent="0.3">
      <c r="A8" s="35">
        <v>1000007</v>
      </c>
      <c r="B8" s="22" t="s">
        <v>5</v>
      </c>
      <c r="C8" s="41"/>
      <c r="D8" s="47">
        <v>70</v>
      </c>
      <c r="F8" s="28">
        <v>50</v>
      </c>
      <c r="G8" s="28"/>
      <c r="H8" s="28"/>
      <c r="I8" s="28"/>
      <c r="J8" s="28">
        <v>50</v>
      </c>
      <c r="K8" s="28"/>
      <c r="L8" s="28">
        <v>100</v>
      </c>
      <c r="M8" s="28"/>
      <c r="N8" s="28">
        <v>100</v>
      </c>
      <c r="O8" s="28"/>
      <c r="P8" s="418">
        <f t="shared" si="0"/>
        <v>300</v>
      </c>
    </row>
    <row r="9" spans="1:16" ht="15.75" thickBot="1" x14ac:dyDescent="0.3">
      <c r="A9" s="35">
        <v>1000008</v>
      </c>
      <c r="B9" s="22" t="s">
        <v>7</v>
      </c>
      <c r="C9" s="41"/>
      <c r="D9" s="47">
        <v>30</v>
      </c>
      <c r="F9" s="28"/>
      <c r="G9" s="28"/>
      <c r="H9" s="28"/>
      <c r="I9" s="28"/>
      <c r="J9" s="28"/>
      <c r="K9" s="28"/>
      <c r="L9" s="28">
        <v>50</v>
      </c>
      <c r="M9" s="28"/>
      <c r="N9" s="28"/>
      <c r="O9" s="28"/>
      <c r="P9" s="418">
        <f t="shared" si="0"/>
        <v>50</v>
      </c>
    </row>
    <row r="10" spans="1:16" ht="15.75" thickBot="1" x14ac:dyDescent="0.3">
      <c r="A10" s="35">
        <v>1000001</v>
      </c>
      <c r="B10" s="22" t="s">
        <v>8</v>
      </c>
      <c r="C10" s="41"/>
      <c r="D10" s="47">
        <v>3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1000002</v>
      </c>
      <c r="B11" s="22" t="s">
        <v>9</v>
      </c>
      <c r="C11" s="41"/>
      <c r="D11" s="47">
        <v>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1000054</v>
      </c>
      <c r="B12" s="22" t="s">
        <v>12</v>
      </c>
      <c r="C12" s="41"/>
      <c r="D12" s="47">
        <v>40</v>
      </c>
      <c r="F12" s="28">
        <v>20</v>
      </c>
      <c r="G12" s="28"/>
      <c r="H12" s="28"/>
      <c r="I12" s="28"/>
      <c r="J12" s="28">
        <v>10</v>
      </c>
      <c r="K12" s="28"/>
      <c r="L12" s="28">
        <v>20</v>
      </c>
      <c r="M12" s="28"/>
      <c r="N12" s="28">
        <v>20</v>
      </c>
      <c r="O12" s="28"/>
      <c r="P12" s="418">
        <f t="shared" si="0"/>
        <v>70</v>
      </c>
    </row>
    <row r="13" spans="1:16" ht="15.75" thickBot="1" x14ac:dyDescent="0.3">
      <c r="A13" s="35">
        <v>1000017</v>
      </c>
      <c r="B13" s="22" t="s">
        <v>14</v>
      </c>
      <c r="C13" s="41"/>
      <c r="D13" s="47">
        <v>40</v>
      </c>
      <c r="F13" s="28">
        <v>10</v>
      </c>
      <c r="G13" s="28"/>
      <c r="H13" s="28"/>
      <c r="I13" s="28"/>
      <c r="J13" s="28">
        <v>10</v>
      </c>
      <c r="K13" s="28"/>
      <c r="L13" s="28">
        <v>10</v>
      </c>
      <c r="M13" s="28"/>
      <c r="N13" s="28">
        <v>20</v>
      </c>
      <c r="O13" s="28"/>
      <c r="P13" s="418">
        <f t="shared" si="0"/>
        <v>50</v>
      </c>
    </row>
    <row r="14" spans="1:16" ht="15.75" thickBot="1" x14ac:dyDescent="0.3">
      <c r="A14" s="35">
        <v>1000016</v>
      </c>
      <c r="B14" s="22" t="s">
        <v>15</v>
      </c>
      <c r="C14" s="41"/>
      <c r="D14" s="47">
        <v>2</v>
      </c>
      <c r="F14" s="28">
        <v>5</v>
      </c>
      <c r="G14" s="28"/>
      <c r="H14" s="28"/>
      <c r="I14" s="28"/>
      <c r="J14" s="28"/>
      <c r="K14" s="28"/>
      <c r="L14" s="28"/>
      <c r="M14" s="28"/>
      <c r="N14" s="28">
        <v>5</v>
      </c>
      <c r="O14" s="28"/>
      <c r="P14" s="418">
        <f t="shared" si="0"/>
        <v>10</v>
      </c>
    </row>
    <row r="15" spans="1:16" ht="15.75" thickBot="1" x14ac:dyDescent="0.3">
      <c r="A15" s="35">
        <v>1000025</v>
      </c>
      <c r="B15" s="22" t="s">
        <v>32</v>
      </c>
      <c r="C15" s="41"/>
      <c r="D15" s="47">
        <v>2</v>
      </c>
      <c r="F15" s="28">
        <v>5</v>
      </c>
      <c r="G15" s="28"/>
      <c r="H15" s="28"/>
      <c r="I15" s="28"/>
      <c r="J15" s="28"/>
      <c r="K15" s="28"/>
      <c r="L15" s="28"/>
      <c r="M15" s="28"/>
      <c r="N15" s="28">
        <v>5</v>
      </c>
      <c r="O15" s="28"/>
      <c r="P15" s="418">
        <f t="shared" si="0"/>
        <v>10</v>
      </c>
    </row>
    <row r="16" spans="1:16" ht="15.75" thickBot="1" x14ac:dyDescent="0.3">
      <c r="A16" s="35">
        <v>1000082</v>
      </c>
      <c r="B16" s="24" t="s">
        <v>37</v>
      </c>
      <c r="C16" s="41"/>
      <c r="D16" s="47">
        <v>30</v>
      </c>
      <c r="F16" s="28">
        <v>8</v>
      </c>
      <c r="G16" s="28"/>
      <c r="H16" s="28"/>
      <c r="I16" s="28"/>
      <c r="J16" s="28">
        <v>8</v>
      </c>
      <c r="K16" s="28"/>
      <c r="L16" s="28"/>
      <c r="M16" s="28"/>
      <c r="N16" s="28">
        <v>16</v>
      </c>
      <c r="O16" s="28"/>
      <c r="P16" s="418">
        <f t="shared" si="0"/>
        <v>32</v>
      </c>
    </row>
    <row r="17" spans="1:16" ht="15.75" thickBot="1" x14ac:dyDescent="0.3">
      <c r="A17" s="35">
        <v>1000084</v>
      </c>
      <c r="B17" s="22" t="s">
        <v>38</v>
      </c>
      <c r="C17" s="41"/>
      <c r="D17" s="47">
        <v>10</v>
      </c>
      <c r="F17" s="28">
        <v>8</v>
      </c>
      <c r="G17" s="28"/>
      <c r="H17" s="28"/>
      <c r="I17" s="28"/>
      <c r="J17" s="28">
        <v>8</v>
      </c>
      <c r="K17" s="28"/>
      <c r="L17" s="28">
        <v>8</v>
      </c>
      <c r="M17" s="28"/>
      <c r="N17" s="28">
        <v>8</v>
      </c>
      <c r="O17" s="28"/>
      <c r="P17" s="418">
        <f t="shared" si="0"/>
        <v>32</v>
      </c>
    </row>
    <row r="18" spans="1:16" ht="15.75" thickBot="1" x14ac:dyDescent="0.3">
      <c r="A18" s="35">
        <v>1000146</v>
      </c>
      <c r="B18" s="25" t="s">
        <v>39</v>
      </c>
      <c r="C18" s="41"/>
      <c r="D18" s="47">
        <v>10</v>
      </c>
      <c r="F18" s="28">
        <v>10</v>
      </c>
      <c r="G18" s="28"/>
      <c r="H18" s="28"/>
      <c r="I18" s="28"/>
      <c r="J18" s="28">
        <v>20</v>
      </c>
      <c r="K18" s="28"/>
      <c r="L18" s="28">
        <v>20</v>
      </c>
      <c r="M18" s="28"/>
      <c r="N18" s="28">
        <v>10</v>
      </c>
      <c r="O18" s="28"/>
      <c r="P18" s="418">
        <f t="shared" si="0"/>
        <v>60</v>
      </c>
    </row>
    <row r="19" spans="1:16" ht="15.75" thickBot="1" x14ac:dyDescent="0.3">
      <c r="A19" s="35">
        <v>1000090</v>
      </c>
      <c r="B19" s="22" t="s">
        <v>40</v>
      </c>
      <c r="C19" s="41"/>
      <c r="D19" s="47">
        <v>2</v>
      </c>
      <c r="F19" s="28">
        <v>3</v>
      </c>
      <c r="G19" s="28"/>
      <c r="H19" s="28"/>
      <c r="I19" s="28"/>
      <c r="J19" s="28">
        <v>5</v>
      </c>
      <c r="K19" s="28"/>
      <c r="L19" s="28">
        <v>3</v>
      </c>
      <c r="M19" s="28"/>
      <c r="N19" s="28"/>
      <c r="O19" s="28"/>
      <c r="P19" s="418">
        <f t="shared" si="0"/>
        <v>11</v>
      </c>
    </row>
    <row r="20" spans="1:16" ht="15.75" thickBot="1" x14ac:dyDescent="0.3">
      <c r="A20" s="35">
        <v>1000052</v>
      </c>
      <c r="B20" s="24" t="s">
        <v>41</v>
      </c>
      <c r="C20" s="41"/>
      <c r="D20" s="47">
        <v>2</v>
      </c>
      <c r="F20" s="28"/>
      <c r="G20" s="28"/>
      <c r="H20" s="28"/>
      <c r="I20" s="28"/>
      <c r="J20" s="28">
        <v>2</v>
      </c>
      <c r="K20" s="28"/>
      <c r="L20" s="28"/>
      <c r="M20" s="28"/>
      <c r="N20" s="28">
        <v>2</v>
      </c>
      <c r="O20" s="28"/>
      <c r="P20" s="418">
        <f t="shared" si="0"/>
        <v>4</v>
      </c>
    </row>
    <row r="21" spans="1:16" ht="15.75" thickBot="1" x14ac:dyDescent="0.3">
      <c r="A21" s="35">
        <v>1000089</v>
      </c>
      <c r="B21" s="24" t="s">
        <v>42</v>
      </c>
      <c r="C21" s="41"/>
      <c r="D21" s="47">
        <v>2</v>
      </c>
      <c r="F21" s="28"/>
      <c r="G21" s="28"/>
      <c r="H21" s="28"/>
      <c r="I21" s="28"/>
      <c r="J21" s="28">
        <v>2</v>
      </c>
      <c r="K21" s="28"/>
      <c r="L21" s="28"/>
      <c r="M21" s="28"/>
      <c r="N21" s="28"/>
      <c r="O21" s="28"/>
      <c r="P21" s="418">
        <f t="shared" si="0"/>
        <v>2</v>
      </c>
    </row>
    <row r="22" spans="1:16" ht="15.75" thickBot="1" x14ac:dyDescent="0.3">
      <c r="A22" s="35">
        <v>1000048</v>
      </c>
      <c r="B22" s="24" t="s">
        <v>45</v>
      </c>
      <c r="C22" s="41"/>
      <c r="D22" s="47">
        <v>0</v>
      </c>
      <c r="F22" s="28"/>
      <c r="G22" s="28"/>
      <c r="H22" s="28"/>
      <c r="I22" s="28"/>
      <c r="J22" s="28">
        <v>2</v>
      </c>
      <c r="K22" s="28"/>
      <c r="L22" s="28"/>
      <c r="M22" s="28"/>
      <c r="N22" s="28">
        <v>1</v>
      </c>
      <c r="O22" s="28"/>
      <c r="P22" s="418">
        <f t="shared" si="0"/>
        <v>3</v>
      </c>
    </row>
    <row r="23" spans="1:16" ht="15.75" thickBot="1" x14ac:dyDescent="0.3">
      <c r="A23" s="35">
        <v>1000076</v>
      </c>
      <c r="B23" s="24" t="s">
        <v>46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1000049</v>
      </c>
      <c r="B24" s="24" t="s">
        <v>21</v>
      </c>
      <c r="C24" s="41"/>
      <c r="D24" s="47">
        <v>2</v>
      </c>
      <c r="F24" s="28"/>
      <c r="G24" s="28"/>
      <c r="H24" s="28"/>
      <c r="I24" s="28"/>
      <c r="J24" s="28">
        <v>2</v>
      </c>
      <c r="K24" s="28"/>
      <c r="L24" s="28">
        <v>2</v>
      </c>
      <c r="M24" s="28"/>
      <c r="N24" s="28"/>
      <c r="O24" s="28"/>
      <c r="P24" s="418">
        <f t="shared" si="0"/>
        <v>4</v>
      </c>
    </row>
    <row r="25" spans="1:16" ht="15.75" thickBot="1" x14ac:dyDescent="0.3">
      <c r="A25" s="35">
        <v>1000050</v>
      </c>
      <c r="B25" s="24" t="s">
        <v>22</v>
      </c>
      <c r="C25" s="41"/>
      <c r="D25" s="47">
        <v>2</v>
      </c>
      <c r="F25" s="28">
        <v>2</v>
      </c>
      <c r="G25" s="28"/>
      <c r="H25" s="28"/>
      <c r="I25" s="28"/>
      <c r="J25" s="28"/>
      <c r="K25" s="28"/>
      <c r="L25" s="28">
        <v>2</v>
      </c>
      <c r="M25" s="28"/>
      <c r="N25" s="28"/>
      <c r="O25" s="28"/>
      <c r="P25" s="418">
        <f t="shared" si="0"/>
        <v>4</v>
      </c>
    </row>
    <row r="26" spans="1:16" ht="15.75" thickBot="1" x14ac:dyDescent="0.3">
      <c r="A26" s="35">
        <v>1000214</v>
      </c>
      <c r="B26" s="24" t="s">
        <v>49</v>
      </c>
      <c r="C26" s="41"/>
      <c r="D26" s="4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1000062</v>
      </c>
      <c r="B27" s="24" t="s">
        <v>66</v>
      </c>
      <c r="C27" s="41"/>
      <c r="D27" s="4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1000051</v>
      </c>
      <c r="B28" s="24" t="s">
        <v>43</v>
      </c>
      <c r="C28" s="41"/>
      <c r="D28" s="4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1000004</v>
      </c>
      <c r="B29" s="24" t="s">
        <v>10</v>
      </c>
      <c r="C29" s="41"/>
      <c r="D29" s="47"/>
      <c r="F29" s="28">
        <v>1</v>
      </c>
      <c r="G29" s="28"/>
      <c r="H29" s="28"/>
      <c r="I29" s="28"/>
      <c r="J29" s="28">
        <v>2</v>
      </c>
      <c r="K29" s="28"/>
      <c r="L29" s="28">
        <v>1</v>
      </c>
      <c r="M29" s="28"/>
      <c r="N29" s="28">
        <v>1</v>
      </c>
      <c r="O29" s="28"/>
      <c r="P29" s="418">
        <f t="shared" si="0"/>
        <v>5</v>
      </c>
    </row>
    <row r="30" spans="1:16" ht="15.75" thickBot="1" x14ac:dyDescent="0.3">
      <c r="A30" s="35">
        <v>1000030</v>
      </c>
      <c r="B30" s="24" t="s">
        <v>24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1000100</v>
      </c>
      <c r="B31" s="24" t="s">
        <v>34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1000449</v>
      </c>
      <c r="B32" s="24" t="s">
        <v>358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1000142</v>
      </c>
      <c r="B33" s="24" t="s">
        <v>54</v>
      </c>
      <c r="C33" s="41"/>
      <c r="D33" s="47"/>
      <c r="F33" s="28">
        <v>1</v>
      </c>
      <c r="G33" s="28"/>
      <c r="H33" s="28"/>
      <c r="I33" s="28"/>
      <c r="J33" s="28"/>
      <c r="K33" s="28"/>
      <c r="L33" s="28"/>
      <c r="M33" s="28"/>
      <c r="N33" s="28"/>
      <c r="O33" s="28"/>
      <c r="P33" s="418">
        <f t="shared" si="0"/>
        <v>1</v>
      </c>
    </row>
    <row r="34" spans="1:16" ht="15.75" thickBot="1" x14ac:dyDescent="0.3">
      <c r="A34" s="35">
        <v>1000045</v>
      </c>
      <c r="B34" s="24" t="s">
        <v>23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1000070</v>
      </c>
      <c r="B35" s="24" t="s">
        <v>13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1000064</v>
      </c>
      <c r="B36" s="24" t="s">
        <v>64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1000105</v>
      </c>
      <c r="B37" s="24" t="s">
        <v>58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1000092</v>
      </c>
      <c r="B38" s="24" t="s">
        <v>51</v>
      </c>
      <c r="C38" s="41"/>
      <c r="D38" s="47"/>
      <c r="F38" s="28"/>
      <c r="G38" s="28"/>
      <c r="H38" s="28"/>
      <c r="I38" s="28"/>
      <c r="J38" s="28"/>
      <c r="K38" s="28"/>
      <c r="L38" s="28">
        <v>1</v>
      </c>
      <c r="M38" s="28"/>
      <c r="N38" s="28"/>
      <c r="O38" s="28"/>
      <c r="P38" s="418">
        <f t="shared" si="0"/>
        <v>1</v>
      </c>
    </row>
    <row r="39" spans="1:16" ht="15.75" thickBot="1" x14ac:dyDescent="0.3">
      <c r="A39" s="35">
        <v>1000031</v>
      </c>
      <c r="B39" s="24" t="s">
        <v>25</v>
      </c>
      <c r="C39" s="41"/>
      <c r="D39" s="47"/>
      <c r="F39" s="28">
        <v>2</v>
      </c>
      <c r="G39" s="28"/>
      <c r="H39" s="28"/>
      <c r="I39" s="28"/>
      <c r="J39" s="28"/>
      <c r="K39" s="28"/>
      <c r="L39" s="28">
        <v>2</v>
      </c>
      <c r="M39" s="28"/>
      <c r="N39" s="28">
        <v>2</v>
      </c>
      <c r="O39" s="28"/>
      <c r="P39" s="418">
        <f t="shared" si="0"/>
        <v>6</v>
      </c>
    </row>
    <row r="40" spans="1:16" ht="15.75" thickBot="1" x14ac:dyDescent="0.3">
      <c r="A40" s="35">
        <v>1000067</v>
      </c>
      <c r="B40" s="24" t="s">
        <v>11</v>
      </c>
      <c r="C40" s="41"/>
      <c r="D40" s="47"/>
      <c r="F40" s="28"/>
      <c r="G40" s="28"/>
      <c r="H40" s="28"/>
      <c r="I40" s="28"/>
      <c r="J40" s="28">
        <v>1</v>
      </c>
      <c r="K40" s="28"/>
      <c r="L40" s="28"/>
      <c r="M40" s="28"/>
      <c r="N40" s="28"/>
      <c r="O40" s="28"/>
      <c r="P40" s="418">
        <f t="shared" si="0"/>
        <v>1</v>
      </c>
    </row>
    <row r="41" spans="1:16" ht="15.75" thickBot="1" x14ac:dyDescent="0.3">
      <c r="A41" s="35">
        <v>1000033</v>
      </c>
      <c r="B41" s="24" t="s">
        <v>27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418">
        <f t="shared" si="0"/>
        <v>0</v>
      </c>
    </row>
    <row r="42" spans="1:16" ht="15.75" thickBot="1" x14ac:dyDescent="0.3">
      <c r="A42" s="35">
        <v>1000101</v>
      </c>
      <c r="B42" s="24" t="s">
        <v>35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1000029</v>
      </c>
      <c r="B43" s="24" t="s">
        <v>30</v>
      </c>
      <c r="C43" s="41"/>
      <c r="D43" s="47"/>
      <c r="F43" s="28">
        <v>1</v>
      </c>
      <c r="G43" s="28"/>
      <c r="H43" s="28"/>
      <c r="I43" s="28"/>
      <c r="J43" s="28"/>
      <c r="K43" s="28"/>
      <c r="L43" s="28"/>
      <c r="M43" s="28"/>
      <c r="N43" s="28"/>
      <c r="O43" s="28"/>
      <c r="P43" s="418">
        <f t="shared" si="0"/>
        <v>1</v>
      </c>
    </row>
    <row r="44" spans="1:16" ht="15.75" thickBot="1" x14ac:dyDescent="0.3">
      <c r="A44" s="35">
        <v>1000472</v>
      </c>
      <c r="B44" s="24" t="s">
        <v>222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10248</v>
      </c>
      <c r="B45" s="24" t="s">
        <v>183</v>
      </c>
      <c r="C45" s="41"/>
      <c r="D45" s="47"/>
      <c r="F45" s="28">
        <v>6</v>
      </c>
      <c r="G45" s="28"/>
      <c r="H45" s="28"/>
      <c r="I45" s="28"/>
      <c r="J45" s="28">
        <v>6</v>
      </c>
      <c r="K45" s="28"/>
      <c r="L45" s="28">
        <v>6</v>
      </c>
      <c r="M45" s="28"/>
      <c r="N45" s="28">
        <v>6</v>
      </c>
      <c r="O45" s="28"/>
      <c r="P45" s="418">
        <f t="shared" si="0"/>
        <v>24</v>
      </c>
    </row>
    <row r="46" spans="1:16" ht="15.75" thickBot="1" x14ac:dyDescent="0.3">
      <c r="A46" s="35">
        <v>1000034</v>
      </c>
      <c r="B46" s="24" t="s">
        <v>28</v>
      </c>
      <c r="C46" s="41"/>
      <c r="D46" s="47"/>
      <c r="F46" s="28"/>
      <c r="G46" s="28"/>
      <c r="H46" s="28"/>
      <c r="I46" s="28"/>
      <c r="J46" s="28">
        <v>1</v>
      </c>
      <c r="K46" s="28"/>
      <c r="L46" s="28"/>
      <c r="M46" s="28"/>
      <c r="N46" s="28"/>
      <c r="O46" s="28"/>
      <c r="P46" s="418">
        <f t="shared" si="0"/>
        <v>1</v>
      </c>
    </row>
    <row r="47" spans="1:16" ht="15.75" thickBot="1" x14ac:dyDescent="0.3">
      <c r="A47" s="35">
        <v>1000036</v>
      </c>
      <c r="B47" s="24" t="s">
        <v>75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1000040</v>
      </c>
      <c r="B48" s="24" t="s">
        <v>77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1000534</v>
      </c>
      <c r="B49" s="24" t="s">
        <v>260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1000080</v>
      </c>
      <c r="B50" s="24" t="s">
        <v>275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1000436</v>
      </c>
      <c r="B51" s="24" t="s">
        <v>276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1000550</v>
      </c>
      <c r="B52" s="24" t="s">
        <v>277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1000551</v>
      </c>
      <c r="B53" s="24" t="s">
        <v>278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s="200" customFormat="1" ht="15.75" thickBot="1" x14ac:dyDescent="0.3">
      <c r="A54" s="38">
        <v>1000552</v>
      </c>
      <c r="B54" s="17" t="s">
        <v>279</v>
      </c>
      <c r="C54" s="41"/>
      <c r="D54" s="46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1000032</v>
      </c>
      <c r="B55" s="22" t="s">
        <v>26</v>
      </c>
      <c r="C55" s="17"/>
      <c r="D55" s="46"/>
      <c r="F55" s="28"/>
      <c r="G55" s="28"/>
      <c r="H55" s="28"/>
      <c r="I55" s="28"/>
      <c r="J55" s="28">
        <v>2</v>
      </c>
      <c r="K55" s="28"/>
      <c r="L55" s="28"/>
      <c r="M55" s="28"/>
      <c r="N55" s="28"/>
      <c r="O55" s="28"/>
      <c r="P55" s="418">
        <f t="shared" si="0"/>
        <v>2</v>
      </c>
    </row>
    <row r="56" spans="1:16" ht="15.75" thickBot="1" x14ac:dyDescent="0.3">
      <c r="A56" s="35">
        <v>1000075</v>
      </c>
      <c r="B56" s="22" t="s">
        <v>47</v>
      </c>
      <c r="D56" s="46"/>
      <c r="F56" s="28"/>
      <c r="G56" s="28"/>
      <c r="H56" s="28"/>
      <c r="I56" s="28"/>
      <c r="J56" s="28"/>
      <c r="K56" s="28"/>
      <c r="L56" s="28"/>
      <c r="M56" s="28"/>
      <c r="N56" s="28">
        <v>3</v>
      </c>
      <c r="O56" s="28"/>
      <c r="P56" s="418">
        <f t="shared" si="0"/>
        <v>3</v>
      </c>
    </row>
    <row r="57" spans="1:16" ht="15.75" thickBot="1" x14ac:dyDescent="0.3">
      <c r="A57" s="35"/>
      <c r="B57" s="22"/>
      <c r="D57" s="4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513" t="s">
        <v>336</v>
      </c>
      <c r="B58" s="22"/>
      <c r="D58" s="4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35"/>
      <c r="B59" s="22"/>
      <c r="D59" s="4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  <row r="60" spans="1:16" ht="15.75" thickBot="1" x14ac:dyDescent="0.3">
      <c r="A60" s="35"/>
      <c r="B60" s="22"/>
      <c r="D60" s="46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ref="P60" si="1">SUM(F60:O60)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62A7-5E1E-440F-A0A1-89CEDF37F549}">
  <sheetPr>
    <tabColor rgb="FF7030A0"/>
    <pageSetUpPr fitToPage="1"/>
  </sheetPr>
  <dimension ref="A1:P62"/>
  <sheetViews>
    <sheetView topLeftCell="A17" zoomScale="70" zoomScaleNormal="70" workbookViewId="0">
      <selection activeCell="A12" sqref="A12:B12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125" style="27" customWidth="1"/>
    <col min="4" max="4" width="8.375" style="27" bestFit="1" customWidth="1"/>
    <col min="5" max="5" width="1.625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7.5" style="27" customWidth="1"/>
    <col min="10" max="10" width="9.125" style="27" bestFit="1" customWidth="1"/>
    <col min="11" max="11" width="6.25" style="27" customWidth="1"/>
    <col min="12" max="12" width="9.125" style="27" bestFit="1" customWidth="1"/>
    <col min="13" max="13" width="7.375" style="27" customWidth="1"/>
    <col min="14" max="14" width="9.125" style="27" bestFit="1" customWidth="1"/>
    <col min="15" max="15" width="7" style="27" customWidth="1"/>
    <col min="16" max="16" width="9.5" style="27" customWidth="1"/>
    <col min="17" max="16384" width="10.875" style="27"/>
  </cols>
  <sheetData>
    <row r="1" spans="1:16" ht="15" customHeight="1" x14ac:dyDescent="0.45">
      <c r="A1" s="686" t="s">
        <v>135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24" customHeight="1" thickBot="1" x14ac:dyDescent="0.5">
      <c r="A2" s="688"/>
      <c r="B2" s="689"/>
      <c r="C2" s="18"/>
      <c r="D2" s="436" t="s">
        <v>362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359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69" t="s">
        <v>308</v>
      </c>
      <c r="G4" s="20" t="s">
        <v>357</v>
      </c>
      <c r="H4" s="69" t="s">
        <v>310</v>
      </c>
      <c r="I4" s="20" t="s">
        <v>357</v>
      </c>
      <c r="J4" s="69" t="s">
        <v>311</v>
      </c>
      <c r="K4" s="20" t="s">
        <v>357</v>
      </c>
      <c r="L4" s="69" t="s">
        <v>312</v>
      </c>
      <c r="M4" s="20" t="s">
        <v>357</v>
      </c>
      <c r="N4" s="69" t="s">
        <v>313</v>
      </c>
      <c r="O4" s="20" t="s">
        <v>357</v>
      </c>
      <c r="P4" s="21" t="s">
        <v>98</v>
      </c>
    </row>
    <row r="5" spans="1:16" ht="15.75" thickBot="1" x14ac:dyDescent="0.3">
      <c r="A5" s="30">
        <v>1000006</v>
      </c>
      <c r="B5" s="23" t="s">
        <v>4</v>
      </c>
      <c r="C5" s="41"/>
      <c r="D5" s="48">
        <v>160</v>
      </c>
      <c r="F5" s="147"/>
      <c r="G5" s="147"/>
      <c r="H5" s="147"/>
      <c r="I5" s="147"/>
      <c r="J5" s="147">
        <v>50</v>
      </c>
      <c r="K5" s="147"/>
      <c r="L5" s="147">
        <v>50</v>
      </c>
      <c r="M5" s="147"/>
      <c r="N5" s="147"/>
      <c r="O5" s="147"/>
      <c r="P5" s="418">
        <f t="shared" ref="P5:P62" si="0">SUM(F5:O5)</f>
        <v>100</v>
      </c>
    </row>
    <row r="6" spans="1:16" ht="15.75" thickBot="1" x14ac:dyDescent="0.3">
      <c r="A6" s="35">
        <v>1000008</v>
      </c>
      <c r="B6" s="22" t="s">
        <v>7</v>
      </c>
      <c r="C6" s="41"/>
      <c r="D6" s="47">
        <v>150</v>
      </c>
      <c r="F6" s="147"/>
      <c r="G6" s="147"/>
      <c r="H6" s="147"/>
      <c r="I6" s="147"/>
      <c r="J6" s="147">
        <v>50</v>
      </c>
      <c r="K6" s="147"/>
      <c r="L6" s="147">
        <v>50</v>
      </c>
      <c r="M6" s="147"/>
      <c r="N6" s="147"/>
      <c r="O6" s="147"/>
      <c r="P6" s="418">
        <f t="shared" si="0"/>
        <v>100</v>
      </c>
    </row>
    <row r="7" spans="1:16" ht="15.75" thickBot="1" x14ac:dyDescent="0.3">
      <c r="A7" s="35">
        <v>1000001</v>
      </c>
      <c r="B7" s="22" t="s">
        <v>8</v>
      </c>
      <c r="C7" s="41"/>
      <c r="D7" s="47">
        <v>2</v>
      </c>
      <c r="F7" s="147">
        <v>2</v>
      </c>
      <c r="G7" s="147"/>
      <c r="H7" s="147">
        <v>2</v>
      </c>
      <c r="I7" s="147"/>
      <c r="J7" s="147">
        <v>2</v>
      </c>
      <c r="K7" s="147"/>
      <c r="L7" s="147">
        <v>2</v>
      </c>
      <c r="M7" s="147"/>
      <c r="N7" s="147">
        <v>2</v>
      </c>
      <c r="O7" s="147"/>
      <c r="P7" s="418">
        <f t="shared" si="0"/>
        <v>10</v>
      </c>
    </row>
    <row r="8" spans="1:16" ht="15.75" thickBot="1" x14ac:dyDescent="0.3">
      <c r="A8" s="35">
        <v>1000002</v>
      </c>
      <c r="B8" s="22" t="s">
        <v>9</v>
      </c>
      <c r="C8" s="41"/>
      <c r="D8" s="47">
        <v>1</v>
      </c>
      <c r="F8" s="147"/>
      <c r="G8" s="147"/>
      <c r="H8" s="147"/>
      <c r="I8" s="147"/>
      <c r="J8" s="147"/>
      <c r="K8" s="147"/>
      <c r="L8" s="147">
        <v>1</v>
      </c>
      <c r="M8" s="147"/>
      <c r="N8" s="147"/>
      <c r="O8" s="147"/>
      <c r="P8" s="418">
        <f t="shared" si="0"/>
        <v>1</v>
      </c>
    </row>
    <row r="9" spans="1:16" ht="15.75" thickBot="1" x14ac:dyDescent="0.3">
      <c r="A9" s="35">
        <v>1000054</v>
      </c>
      <c r="B9" s="22" t="s">
        <v>12</v>
      </c>
      <c r="C9" s="41"/>
      <c r="D9" s="47">
        <v>40</v>
      </c>
      <c r="F9" s="147">
        <v>20</v>
      </c>
      <c r="G9" s="147"/>
      <c r="H9" s="147">
        <v>20</v>
      </c>
      <c r="I9" s="147"/>
      <c r="J9" s="147">
        <v>20</v>
      </c>
      <c r="K9" s="147"/>
      <c r="L9" s="147">
        <v>25</v>
      </c>
      <c r="M9" s="147"/>
      <c r="N9" s="147">
        <v>20</v>
      </c>
      <c r="O9" s="147"/>
      <c r="P9" s="418">
        <f t="shared" si="0"/>
        <v>105</v>
      </c>
    </row>
    <row r="10" spans="1:16" ht="15.75" thickBot="1" x14ac:dyDescent="0.3">
      <c r="A10" s="35">
        <v>1000017</v>
      </c>
      <c r="B10" s="22" t="s">
        <v>14</v>
      </c>
      <c r="C10" s="41"/>
      <c r="D10" s="47">
        <v>35</v>
      </c>
      <c r="F10" s="147">
        <v>20</v>
      </c>
      <c r="G10" s="147"/>
      <c r="H10" s="147">
        <v>20</v>
      </c>
      <c r="I10" s="147"/>
      <c r="J10" s="147">
        <v>20</v>
      </c>
      <c r="K10" s="147"/>
      <c r="L10" s="147">
        <v>25</v>
      </c>
      <c r="M10" s="147"/>
      <c r="N10" s="147">
        <v>20</v>
      </c>
      <c r="O10" s="147"/>
      <c r="P10" s="418">
        <f t="shared" si="0"/>
        <v>105</v>
      </c>
    </row>
    <row r="11" spans="1:16" ht="15.75" thickBot="1" x14ac:dyDescent="0.3">
      <c r="A11" s="35">
        <v>1000016</v>
      </c>
      <c r="B11" s="22" t="s">
        <v>15</v>
      </c>
      <c r="C11" s="41"/>
      <c r="D11" s="47">
        <v>5</v>
      </c>
      <c r="F11" s="147">
        <v>5</v>
      </c>
      <c r="G11" s="147"/>
      <c r="H11" s="147"/>
      <c r="I11" s="147"/>
      <c r="J11" s="147">
        <v>5</v>
      </c>
      <c r="K11" s="147"/>
      <c r="L11" s="147"/>
      <c r="M11" s="147"/>
      <c r="N11" s="147">
        <v>5</v>
      </c>
      <c r="O11" s="147"/>
      <c r="P11" s="418">
        <f t="shared" si="0"/>
        <v>15</v>
      </c>
    </row>
    <row r="12" spans="1:16" ht="15.75" thickBot="1" x14ac:dyDescent="0.3">
      <c r="A12" s="35">
        <v>1000041</v>
      </c>
      <c r="B12" s="22" t="s">
        <v>16</v>
      </c>
      <c r="C12" s="41"/>
      <c r="D12" s="47">
        <v>1</v>
      </c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30">
        <f t="shared" si="0"/>
        <v>0</v>
      </c>
    </row>
    <row r="13" spans="1:16" ht="15.75" thickBot="1" x14ac:dyDescent="0.3">
      <c r="A13" s="35">
        <v>1000009</v>
      </c>
      <c r="B13" s="22" t="s">
        <v>19</v>
      </c>
      <c r="C13" s="41"/>
      <c r="D13" s="47">
        <v>1</v>
      </c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30">
        <f t="shared" si="0"/>
        <v>0</v>
      </c>
    </row>
    <row r="14" spans="1:16" ht="15.75" thickBot="1" x14ac:dyDescent="0.3">
      <c r="A14" s="35">
        <v>1000045</v>
      </c>
      <c r="B14" s="22" t="s">
        <v>23</v>
      </c>
      <c r="C14" s="41"/>
      <c r="D14" s="47">
        <v>0</v>
      </c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30">
        <f t="shared" si="0"/>
        <v>0</v>
      </c>
    </row>
    <row r="15" spans="1:16" ht="15.75" thickBot="1" x14ac:dyDescent="0.3">
      <c r="A15" s="35">
        <v>1000030</v>
      </c>
      <c r="B15" s="22" t="s">
        <v>24</v>
      </c>
      <c r="C15" s="41"/>
      <c r="D15" s="47">
        <v>0</v>
      </c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30">
        <f t="shared" si="0"/>
        <v>0</v>
      </c>
    </row>
    <row r="16" spans="1:16" ht="15.75" thickBot="1" x14ac:dyDescent="0.3">
      <c r="A16" s="35">
        <v>1000031</v>
      </c>
      <c r="B16" s="24" t="s">
        <v>25</v>
      </c>
      <c r="C16" s="41"/>
      <c r="D16" s="47">
        <v>0</v>
      </c>
      <c r="F16" s="147">
        <v>4</v>
      </c>
      <c r="G16" s="147"/>
      <c r="H16" s="147">
        <v>4</v>
      </c>
      <c r="I16" s="147"/>
      <c r="J16" s="147"/>
      <c r="K16" s="147"/>
      <c r="L16" s="147"/>
      <c r="M16" s="147"/>
      <c r="N16" s="147"/>
      <c r="O16" s="147"/>
      <c r="P16" s="418">
        <f t="shared" si="0"/>
        <v>8</v>
      </c>
    </row>
    <row r="17" spans="1:16" ht="15.75" thickBot="1" x14ac:dyDescent="0.3">
      <c r="A17" s="35">
        <v>1000032</v>
      </c>
      <c r="B17" s="22" t="s">
        <v>26</v>
      </c>
      <c r="C17" s="41"/>
      <c r="D17" s="47">
        <v>1</v>
      </c>
      <c r="F17" s="147">
        <v>4</v>
      </c>
      <c r="G17" s="147"/>
      <c r="H17" s="147">
        <v>4</v>
      </c>
      <c r="I17" s="147"/>
      <c r="J17" s="147"/>
      <c r="K17" s="147"/>
      <c r="L17" s="147"/>
      <c r="M17" s="147"/>
      <c r="N17" s="147"/>
      <c r="O17" s="147"/>
      <c r="P17" s="418">
        <f t="shared" si="0"/>
        <v>8</v>
      </c>
    </row>
    <row r="18" spans="1:16" ht="15.75" thickBot="1" x14ac:dyDescent="0.3">
      <c r="A18" s="35">
        <v>1000033</v>
      </c>
      <c r="B18" s="25" t="s">
        <v>27</v>
      </c>
      <c r="C18" s="41"/>
      <c r="D18" s="47">
        <v>0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30">
        <f t="shared" si="0"/>
        <v>0</v>
      </c>
    </row>
    <row r="19" spans="1:16" ht="15.75" thickBot="1" x14ac:dyDescent="0.3">
      <c r="A19" s="35">
        <v>1000029</v>
      </c>
      <c r="B19" s="22" t="s">
        <v>30</v>
      </c>
      <c r="C19" s="41"/>
      <c r="D19" s="47">
        <v>0</v>
      </c>
      <c r="F19" s="147"/>
      <c r="G19" s="147"/>
      <c r="H19" s="147"/>
      <c r="I19" s="147"/>
      <c r="J19" s="147"/>
      <c r="K19" s="147"/>
      <c r="L19" s="147">
        <v>1</v>
      </c>
      <c r="M19" s="147"/>
      <c r="N19" s="147"/>
      <c r="O19" s="147"/>
      <c r="P19" s="418">
        <f t="shared" si="0"/>
        <v>1</v>
      </c>
    </row>
    <row r="20" spans="1:16" ht="15.75" thickBot="1" x14ac:dyDescent="0.3">
      <c r="A20" s="35">
        <v>1000025</v>
      </c>
      <c r="B20" s="22" t="s">
        <v>32</v>
      </c>
      <c r="C20" s="41"/>
      <c r="D20" s="47">
        <v>2</v>
      </c>
      <c r="F20" s="147"/>
      <c r="G20" s="147"/>
      <c r="H20" s="147"/>
      <c r="I20" s="147"/>
      <c r="J20" s="147"/>
      <c r="K20" s="147"/>
      <c r="L20" s="147">
        <v>5</v>
      </c>
      <c r="M20" s="147"/>
      <c r="N20" s="147"/>
      <c r="O20" s="147"/>
      <c r="P20" s="418">
        <f t="shared" si="0"/>
        <v>5</v>
      </c>
    </row>
    <row r="21" spans="1:16" ht="15.75" thickBot="1" x14ac:dyDescent="0.3">
      <c r="A21" s="35">
        <v>1000100</v>
      </c>
      <c r="B21" s="22" t="s">
        <v>34</v>
      </c>
      <c r="C21" s="41"/>
      <c r="D21" s="47">
        <v>0</v>
      </c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418">
        <f>SUM(F20:O20)</f>
        <v>5</v>
      </c>
    </row>
    <row r="22" spans="1:16" ht="15.75" thickBot="1" x14ac:dyDescent="0.3">
      <c r="A22" s="35">
        <v>1000082</v>
      </c>
      <c r="B22" s="22" t="s">
        <v>37</v>
      </c>
      <c r="C22" s="41"/>
      <c r="D22" s="47">
        <v>50</v>
      </c>
      <c r="F22" s="147">
        <v>32</v>
      </c>
      <c r="G22" s="147"/>
      <c r="H22" s="147">
        <v>32</v>
      </c>
      <c r="I22" s="147"/>
      <c r="J22" s="147">
        <v>16</v>
      </c>
      <c r="K22" s="147"/>
      <c r="L22" s="147">
        <v>32</v>
      </c>
      <c r="M22" s="147"/>
      <c r="N22" s="147">
        <v>24</v>
      </c>
      <c r="O22" s="147"/>
      <c r="P22" s="418">
        <f t="shared" si="0"/>
        <v>136</v>
      </c>
    </row>
    <row r="23" spans="1:16" ht="15.75" thickBot="1" x14ac:dyDescent="0.3">
      <c r="A23" s="35">
        <v>1000146</v>
      </c>
      <c r="B23" s="22" t="s">
        <v>39</v>
      </c>
      <c r="C23" s="41"/>
      <c r="D23" s="47">
        <v>5</v>
      </c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30">
        <f t="shared" si="0"/>
        <v>0</v>
      </c>
    </row>
    <row r="24" spans="1:16" ht="15.75" thickBot="1" x14ac:dyDescent="0.3">
      <c r="A24" s="35">
        <v>10248</v>
      </c>
      <c r="B24" s="22" t="s">
        <v>183</v>
      </c>
      <c r="C24" s="41"/>
      <c r="D24" s="47">
        <v>0</v>
      </c>
      <c r="F24" s="147">
        <v>6</v>
      </c>
      <c r="G24" s="147"/>
      <c r="H24" s="147">
        <v>6</v>
      </c>
      <c r="I24" s="147"/>
      <c r="J24" s="147"/>
      <c r="K24" s="147"/>
      <c r="L24" s="147"/>
      <c r="M24" s="147"/>
      <c r="N24" s="147"/>
      <c r="O24" s="147"/>
      <c r="P24" s="418">
        <f t="shared" si="0"/>
        <v>12</v>
      </c>
    </row>
    <row r="25" spans="1:16" ht="15.75" thickBot="1" x14ac:dyDescent="0.3">
      <c r="A25" s="35">
        <v>1000090</v>
      </c>
      <c r="B25" s="22" t="s">
        <v>40</v>
      </c>
      <c r="C25" s="41"/>
      <c r="D25" s="47">
        <v>2</v>
      </c>
      <c r="F25" s="147">
        <v>3</v>
      </c>
      <c r="G25" s="147"/>
      <c r="H25" s="147">
        <v>3</v>
      </c>
      <c r="I25" s="147"/>
      <c r="J25" s="147"/>
      <c r="K25" s="147"/>
      <c r="L25" s="147"/>
      <c r="M25" s="147"/>
      <c r="N25" s="147"/>
      <c r="O25" s="147"/>
      <c r="P25" s="418">
        <f t="shared" si="0"/>
        <v>6</v>
      </c>
    </row>
    <row r="26" spans="1:16" ht="15.75" thickBot="1" x14ac:dyDescent="0.3">
      <c r="A26" s="35">
        <v>1000052</v>
      </c>
      <c r="B26" s="22" t="s">
        <v>41</v>
      </c>
      <c r="C26" s="41"/>
      <c r="D26" s="47">
        <v>3</v>
      </c>
      <c r="F26" s="147">
        <v>4</v>
      </c>
      <c r="G26" s="147"/>
      <c r="H26" s="147">
        <v>4</v>
      </c>
      <c r="I26" s="147"/>
      <c r="J26" s="147">
        <v>3</v>
      </c>
      <c r="K26" s="147"/>
      <c r="L26" s="147">
        <v>4</v>
      </c>
      <c r="M26" s="147"/>
      <c r="N26" s="147">
        <v>4</v>
      </c>
      <c r="O26" s="147"/>
      <c r="P26" s="418">
        <f t="shared" si="0"/>
        <v>19</v>
      </c>
    </row>
    <row r="27" spans="1:16" ht="15.75" thickBot="1" x14ac:dyDescent="0.3">
      <c r="A27" s="35">
        <v>1000089</v>
      </c>
      <c r="B27" s="22" t="s">
        <v>42</v>
      </c>
      <c r="C27" s="41"/>
      <c r="D27" s="47">
        <v>3</v>
      </c>
      <c r="F27" s="147">
        <v>2</v>
      </c>
      <c r="G27" s="147"/>
      <c r="H27" s="147">
        <v>3</v>
      </c>
      <c r="I27" s="147"/>
      <c r="J27" s="147">
        <v>2</v>
      </c>
      <c r="K27" s="147"/>
      <c r="L27" s="147">
        <v>2</v>
      </c>
      <c r="M27" s="147"/>
      <c r="N27" s="147"/>
      <c r="O27" s="147"/>
      <c r="P27" s="418">
        <f t="shared" si="0"/>
        <v>9</v>
      </c>
    </row>
    <row r="28" spans="1:16" ht="15.75" thickBot="1" x14ac:dyDescent="0.3">
      <c r="A28" s="35">
        <v>1000051</v>
      </c>
      <c r="B28" s="22" t="s">
        <v>43</v>
      </c>
      <c r="C28" s="41"/>
      <c r="D28" s="47">
        <v>2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418">
        <f t="shared" si="0"/>
        <v>0</v>
      </c>
    </row>
    <row r="29" spans="1:16" ht="15.75" thickBot="1" x14ac:dyDescent="0.3">
      <c r="A29" s="35">
        <v>1000048</v>
      </c>
      <c r="B29" s="22" t="s">
        <v>45</v>
      </c>
      <c r="C29" s="41"/>
      <c r="D29" s="47">
        <v>0</v>
      </c>
      <c r="F29" s="147">
        <v>1</v>
      </c>
      <c r="G29" s="147"/>
      <c r="H29" s="147">
        <v>1</v>
      </c>
      <c r="I29" s="147"/>
      <c r="J29" s="147"/>
      <c r="K29" s="147"/>
      <c r="L29" s="147">
        <v>1</v>
      </c>
      <c r="M29" s="147"/>
      <c r="N29" s="147">
        <v>1</v>
      </c>
      <c r="O29" s="147"/>
      <c r="P29" s="418">
        <f t="shared" si="0"/>
        <v>4</v>
      </c>
    </row>
    <row r="30" spans="1:16" ht="15.75" thickBot="1" x14ac:dyDescent="0.3">
      <c r="A30" s="35">
        <v>1000147</v>
      </c>
      <c r="B30" s="22" t="s">
        <v>52</v>
      </c>
      <c r="C30" s="41"/>
      <c r="D30" s="47">
        <v>0</v>
      </c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30">
        <f t="shared" si="0"/>
        <v>0</v>
      </c>
    </row>
    <row r="31" spans="1:16" ht="15.75" thickBot="1" x14ac:dyDescent="0.3">
      <c r="A31" s="35">
        <v>1000142</v>
      </c>
      <c r="B31" s="22" t="s">
        <v>54</v>
      </c>
      <c r="C31" s="41"/>
      <c r="D31" s="47">
        <v>1</v>
      </c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30">
        <f t="shared" si="0"/>
        <v>0</v>
      </c>
    </row>
    <row r="32" spans="1:16" ht="15.75" thickBot="1" x14ac:dyDescent="0.3">
      <c r="A32" s="35">
        <v>1000070</v>
      </c>
      <c r="B32" s="22" t="s">
        <v>13</v>
      </c>
      <c r="C32" s="41"/>
      <c r="D32" s="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30">
        <f t="shared" si="0"/>
        <v>0</v>
      </c>
    </row>
    <row r="33" spans="1:16" s="15" customFormat="1" ht="15.95" customHeight="1" thickBot="1" x14ac:dyDescent="0.3">
      <c r="A33" s="35">
        <v>1000007</v>
      </c>
      <c r="B33" s="22" t="s">
        <v>5</v>
      </c>
      <c r="C33" s="41"/>
      <c r="D33" s="47"/>
      <c r="E33" s="27"/>
      <c r="F33" s="147">
        <v>50</v>
      </c>
      <c r="G33" s="147"/>
      <c r="H33" s="147">
        <v>50</v>
      </c>
      <c r="I33" s="147"/>
      <c r="J33" s="147"/>
      <c r="K33" s="147"/>
      <c r="L33" s="147"/>
      <c r="M33" s="147"/>
      <c r="N33" s="147"/>
      <c r="O33" s="147"/>
      <c r="P33" s="418">
        <f t="shared" si="0"/>
        <v>100</v>
      </c>
    </row>
    <row r="34" spans="1:16" ht="15.75" thickBot="1" x14ac:dyDescent="0.3">
      <c r="A34" s="35">
        <v>1000075</v>
      </c>
      <c r="B34" s="22" t="s">
        <v>47</v>
      </c>
      <c r="C34" s="41"/>
      <c r="D34" s="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30">
        <f t="shared" si="0"/>
        <v>0</v>
      </c>
    </row>
    <row r="35" spans="1:16" ht="15.75" thickBot="1" x14ac:dyDescent="0.3">
      <c r="A35" s="35">
        <v>1000027</v>
      </c>
      <c r="B35" s="22" t="s">
        <v>33</v>
      </c>
      <c r="C35" s="41"/>
      <c r="D35" s="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30">
        <f t="shared" si="0"/>
        <v>0</v>
      </c>
    </row>
    <row r="36" spans="1:16" ht="15.75" thickBot="1" x14ac:dyDescent="0.3">
      <c r="A36" s="35">
        <v>1000050</v>
      </c>
      <c r="B36" s="22" t="s">
        <v>22</v>
      </c>
      <c r="C36" s="41"/>
      <c r="D36" s="47"/>
      <c r="F36" s="147"/>
      <c r="G36" s="147"/>
      <c r="H36" s="147">
        <v>2</v>
      </c>
      <c r="I36" s="147"/>
      <c r="J36" s="147"/>
      <c r="K36" s="147"/>
      <c r="L36" s="147">
        <v>2</v>
      </c>
      <c r="M36" s="147"/>
      <c r="N36" s="147"/>
      <c r="O36" s="147"/>
      <c r="P36" s="418">
        <f t="shared" si="0"/>
        <v>4</v>
      </c>
    </row>
    <row r="37" spans="1:16" ht="15.75" thickBot="1" x14ac:dyDescent="0.3">
      <c r="A37" s="35">
        <v>1000146</v>
      </c>
      <c r="B37" s="22" t="s">
        <v>39</v>
      </c>
      <c r="C37" s="41"/>
      <c r="D37" s="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30">
        <f t="shared" si="0"/>
        <v>0</v>
      </c>
    </row>
    <row r="38" spans="1:16" ht="15.75" thickBot="1" x14ac:dyDescent="0.3">
      <c r="A38" s="35">
        <v>1000049</v>
      </c>
      <c r="B38" s="22" t="s">
        <v>21</v>
      </c>
      <c r="C38" s="41"/>
      <c r="D38" s="47"/>
      <c r="F38" s="147"/>
      <c r="G38" s="147"/>
      <c r="H38" s="147">
        <v>2</v>
      </c>
      <c r="I38" s="147"/>
      <c r="J38" s="147"/>
      <c r="K38" s="147"/>
      <c r="L38" s="147"/>
      <c r="M38" s="147"/>
      <c r="N38" s="147"/>
      <c r="O38" s="147"/>
      <c r="P38" s="418">
        <f t="shared" si="0"/>
        <v>2</v>
      </c>
    </row>
    <row r="39" spans="1:16" ht="15.75" thickBot="1" x14ac:dyDescent="0.3">
      <c r="A39" s="35">
        <v>1000045</v>
      </c>
      <c r="B39" s="22" t="s">
        <v>23</v>
      </c>
      <c r="C39" s="41"/>
      <c r="D39" s="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30">
        <f t="shared" si="0"/>
        <v>0</v>
      </c>
    </row>
    <row r="40" spans="1:16" ht="15.75" thickBot="1" x14ac:dyDescent="0.3">
      <c r="A40" s="35">
        <v>1000004</v>
      </c>
      <c r="B40" s="22" t="s">
        <v>10</v>
      </c>
      <c r="C40" s="41"/>
      <c r="D40" s="47"/>
      <c r="F40" s="147">
        <v>2</v>
      </c>
      <c r="G40" s="147"/>
      <c r="H40" s="147">
        <v>2</v>
      </c>
      <c r="I40" s="147"/>
      <c r="J40" s="147">
        <v>2</v>
      </c>
      <c r="K40" s="147"/>
      <c r="L40" s="147">
        <v>2</v>
      </c>
      <c r="M40" s="147"/>
      <c r="N40" s="147">
        <v>2</v>
      </c>
      <c r="O40" s="147"/>
      <c r="P40" s="418">
        <f t="shared" si="0"/>
        <v>10</v>
      </c>
    </row>
    <row r="41" spans="1:16" ht="15.75" thickBot="1" x14ac:dyDescent="0.3">
      <c r="A41" s="35">
        <v>1000449</v>
      </c>
      <c r="B41" s="22" t="s">
        <v>202</v>
      </c>
      <c r="C41" s="41"/>
      <c r="D41" s="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30">
        <f t="shared" si="0"/>
        <v>0</v>
      </c>
    </row>
    <row r="42" spans="1:16" ht="15.75" thickBot="1" x14ac:dyDescent="0.3">
      <c r="A42" s="35">
        <v>1000073</v>
      </c>
      <c r="B42" s="22" t="s">
        <v>36</v>
      </c>
      <c r="C42" s="41"/>
      <c r="D42" s="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30">
        <f t="shared" si="0"/>
        <v>0</v>
      </c>
    </row>
    <row r="43" spans="1:16" ht="15.75" thickBot="1" x14ac:dyDescent="0.3">
      <c r="A43" s="35">
        <v>1000084</v>
      </c>
      <c r="B43" s="22" t="s">
        <v>38</v>
      </c>
      <c r="C43" s="41"/>
      <c r="D43" s="47"/>
      <c r="F43" s="147">
        <v>16</v>
      </c>
      <c r="G43" s="147"/>
      <c r="H43" s="147">
        <v>16</v>
      </c>
      <c r="I43" s="147"/>
      <c r="J43" s="147">
        <v>8</v>
      </c>
      <c r="K43" s="147"/>
      <c r="L43" s="147">
        <v>16</v>
      </c>
      <c r="M43" s="147"/>
      <c r="N43" s="147">
        <v>12</v>
      </c>
      <c r="O43" s="147"/>
      <c r="P43" s="418">
        <f t="shared" si="0"/>
        <v>68</v>
      </c>
    </row>
    <row r="44" spans="1:16" ht="15.75" thickBot="1" x14ac:dyDescent="0.3">
      <c r="A44" s="35">
        <v>10000102</v>
      </c>
      <c r="B44" s="22" t="s">
        <v>2</v>
      </c>
      <c r="C44" s="41"/>
      <c r="D44" s="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30">
        <f t="shared" si="0"/>
        <v>0</v>
      </c>
    </row>
    <row r="45" spans="1:16" ht="15.75" thickBot="1" x14ac:dyDescent="0.3">
      <c r="A45" s="35">
        <v>1000067</v>
      </c>
      <c r="B45" s="22" t="s">
        <v>11</v>
      </c>
      <c r="C45" s="41"/>
      <c r="D45" s="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30">
        <f t="shared" si="0"/>
        <v>0</v>
      </c>
    </row>
    <row r="46" spans="1:16" ht="15.75" thickBot="1" x14ac:dyDescent="0.3">
      <c r="A46" s="35">
        <v>1000092</v>
      </c>
      <c r="B46" s="22" t="s">
        <v>51</v>
      </c>
      <c r="C46" s="41"/>
      <c r="D46" s="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30">
        <f t="shared" si="0"/>
        <v>0</v>
      </c>
    </row>
    <row r="47" spans="1:16" ht="15.75" thickBot="1" x14ac:dyDescent="0.3">
      <c r="A47" s="35">
        <v>1000035</v>
      </c>
      <c r="B47" s="22" t="s">
        <v>29</v>
      </c>
      <c r="C47" s="41"/>
      <c r="D47" s="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30">
        <f t="shared" si="0"/>
        <v>0</v>
      </c>
    </row>
    <row r="48" spans="1:16" ht="15.75" thickBot="1" x14ac:dyDescent="0.3">
      <c r="A48" s="35">
        <v>1000034</v>
      </c>
      <c r="B48" s="22" t="s">
        <v>28</v>
      </c>
      <c r="C48" s="41"/>
      <c r="D48" s="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30">
        <f t="shared" si="0"/>
        <v>0</v>
      </c>
    </row>
    <row r="49" spans="1:16" ht="15.75" thickBot="1" x14ac:dyDescent="0.3">
      <c r="A49" s="35">
        <v>1000008</v>
      </c>
      <c r="B49" s="22" t="s">
        <v>7</v>
      </c>
      <c r="C49" s="41"/>
      <c r="D49" s="47"/>
      <c r="F49" s="147">
        <v>50</v>
      </c>
      <c r="G49" s="147"/>
      <c r="H49" s="147">
        <v>50</v>
      </c>
      <c r="I49" s="147"/>
      <c r="J49" s="147"/>
      <c r="K49" s="147"/>
      <c r="L49" s="147"/>
      <c r="M49" s="147"/>
      <c r="N49" s="147"/>
      <c r="O49" s="147"/>
      <c r="P49" s="418">
        <f t="shared" si="0"/>
        <v>100</v>
      </c>
    </row>
    <row r="50" spans="1:16" ht="15.75" thickBot="1" x14ac:dyDescent="0.3">
      <c r="A50" s="35">
        <v>1000472</v>
      </c>
      <c r="B50" s="22" t="s">
        <v>222</v>
      </c>
      <c r="C50" s="41"/>
      <c r="D50" s="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30">
        <f t="shared" si="0"/>
        <v>0</v>
      </c>
    </row>
    <row r="51" spans="1:16" ht="15.75" thickBot="1" x14ac:dyDescent="0.3">
      <c r="A51" s="35">
        <v>1000057</v>
      </c>
      <c r="B51" s="22" t="s">
        <v>70</v>
      </c>
      <c r="C51" s="41"/>
      <c r="D51" s="47"/>
      <c r="F51" s="147">
        <v>1</v>
      </c>
      <c r="G51" s="147"/>
      <c r="H51" s="147">
        <v>1</v>
      </c>
      <c r="I51" s="147"/>
      <c r="J51" s="147"/>
      <c r="K51" s="147"/>
      <c r="L51" s="147">
        <v>1</v>
      </c>
      <c r="M51" s="147"/>
      <c r="N51" s="147"/>
      <c r="O51" s="147"/>
      <c r="P51" s="418">
        <f t="shared" si="0"/>
        <v>3</v>
      </c>
    </row>
    <row r="52" spans="1:16" ht="15.75" thickBot="1" x14ac:dyDescent="0.3">
      <c r="A52" s="35">
        <v>1000101</v>
      </c>
      <c r="B52" s="22" t="s">
        <v>35</v>
      </c>
      <c r="C52" s="41"/>
      <c r="D52" s="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806">
        <f t="shared" si="0"/>
        <v>0</v>
      </c>
    </row>
    <row r="53" spans="1:16" ht="15.75" thickBot="1" x14ac:dyDescent="0.3">
      <c r="A53" s="35">
        <v>10211</v>
      </c>
      <c r="B53" s="22" t="s">
        <v>3</v>
      </c>
      <c r="C53" s="41"/>
      <c r="D53" s="47"/>
      <c r="F53" s="147">
        <v>50</v>
      </c>
      <c r="G53" s="147"/>
      <c r="H53" s="147">
        <v>50</v>
      </c>
      <c r="I53" s="147"/>
      <c r="J53" s="147">
        <v>50</v>
      </c>
      <c r="K53" s="147"/>
      <c r="L53" s="147">
        <v>50</v>
      </c>
      <c r="M53" s="147"/>
      <c r="N53" s="147"/>
      <c r="O53" s="147"/>
      <c r="P53" s="418">
        <f t="shared" si="0"/>
        <v>200</v>
      </c>
    </row>
    <row r="54" spans="1:16" ht="15.75" thickBot="1" x14ac:dyDescent="0.3">
      <c r="A54" s="35">
        <v>1000080</v>
      </c>
      <c r="B54" s="22" t="s">
        <v>275</v>
      </c>
      <c r="C54" s="41"/>
      <c r="D54" s="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30">
        <f t="shared" si="0"/>
        <v>0</v>
      </c>
    </row>
    <row r="55" spans="1:16" ht="15.75" thickBot="1" x14ac:dyDescent="0.3">
      <c r="A55" s="35">
        <v>1000436</v>
      </c>
      <c r="B55" s="22" t="s">
        <v>276</v>
      </c>
      <c r="C55" s="41"/>
      <c r="D55" s="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30">
        <f t="shared" si="0"/>
        <v>0</v>
      </c>
    </row>
    <row r="56" spans="1:16" ht="15.75" thickBot="1" x14ac:dyDescent="0.3">
      <c r="A56" s="35">
        <v>1000550</v>
      </c>
      <c r="B56" s="22" t="s">
        <v>277</v>
      </c>
      <c r="C56" s="41"/>
      <c r="D56" s="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30">
        <f t="shared" si="0"/>
        <v>0</v>
      </c>
    </row>
    <row r="57" spans="1:16" ht="14.25" customHeight="1" thickBot="1" x14ac:dyDescent="0.3">
      <c r="A57" s="35">
        <v>1000551</v>
      </c>
      <c r="B57" s="22" t="s">
        <v>278</v>
      </c>
      <c r="C57" s="41"/>
      <c r="D57" s="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30">
        <f t="shared" si="0"/>
        <v>0</v>
      </c>
    </row>
    <row r="58" spans="1:16" s="200" customFormat="1" ht="15.75" thickBot="1" x14ac:dyDescent="0.3">
      <c r="A58" s="38">
        <v>1000552</v>
      </c>
      <c r="B58" s="17" t="s">
        <v>279</v>
      </c>
      <c r="C58" s="41"/>
      <c r="D58" s="46"/>
      <c r="E58" s="2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30">
        <f t="shared" si="0"/>
        <v>0</v>
      </c>
    </row>
    <row r="59" spans="1:16" ht="15.75" thickBot="1" x14ac:dyDescent="0.3">
      <c r="A59" s="35">
        <v>10000102</v>
      </c>
      <c r="B59" s="12" t="s">
        <v>2</v>
      </c>
      <c r="D59" s="46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30">
        <f t="shared" si="0"/>
        <v>0</v>
      </c>
    </row>
    <row r="60" spans="1:16" ht="15.75" thickBot="1" x14ac:dyDescent="0.3">
      <c r="A60" s="35">
        <v>10211</v>
      </c>
      <c r="B60" s="12" t="s">
        <v>3</v>
      </c>
      <c r="D60" s="46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30">
        <f t="shared" si="0"/>
        <v>0</v>
      </c>
    </row>
    <row r="61" spans="1:16" ht="15.75" thickBot="1" x14ac:dyDescent="0.3">
      <c r="A61" s="35"/>
      <c r="B61" s="12" t="s">
        <v>470</v>
      </c>
      <c r="D61" s="46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30">
        <f t="shared" si="0"/>
        <v>0</v>
      </c>
    </row>
    <row r="62" spans="1:16" ht="15.75" thickBot="1" x14ac:dyDescent="0.3">
      <c r="A62" s="35"/>
      <c r="B62" s="17" t="s">
        <v>451</v>
      </c>
      <c r="D62" s="46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7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503A-9BC2-4474-B25A-7603E31CA48C}">
  <sheetPr>
    <tabColor rgb="FF7030A0"/>
    <pageSetUpPr fitToPage="1"/>
  </sheetPr>
  <dimension ref="A1:P47"/>
  <sheetViews>
    <sheetView topLeftCell="A14" zoomScale="85" zoomScaleNormal="85" workbookViewId="0">
      <selection activeCell="R37" sqref="R37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6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5.5" style="27" customWidth="1"/>
    <col min="14" max="14" width="9.125" style="27" bestFit="1" customWidth="1"/>
    <col min="15" max="15" width="6.375" style="27" customWidth="1"/>
    <col min="16" max="16384" width="10.875" style="27"/>
  </cols>
  <sheetData>
    <row r="1" spans="1:16" ht="9" customHeight="1" x14ac:dyDescent="0.45">
      <c r="A1" s="686" t="s">
        <v>155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362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419" t="s">
        <v>360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353</v>
      </c>
      <c r="G4" s="20" t="s">
        <v>325</v>
      </c>
      <c r="H4" s="19" t="s">
        <v>344</v>
      </c>
      <c r="I4" s="20" t="s">
        <v>325</v>
      </c>
      <c r="J4" s="19" t="s">
        <v>345</v>
      </c>
      <c r="K4" s="20" t="s">
        <v>325</v>
      </c>
      <c r="L4" s="19" t="s">
        <v>346</v>
      </c>
      <c r="M4" s="20" t="s">
        <v>325</v>
      </c>
      <c r="N4" s="19" t="s">
        <v>347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>
        <v>5</v>
      </c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47" si="0">SUM(F5:O5)</f>
        <v>5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180</v>
      </c>
      <c r="F7" s="28">
        <v>100</v>
      </c>
      <c r="G7" s="28"/>
      <c r="H7" s="28">
        <v>100</v>
      </c>
      <c r="I7" s="28"/>
      <c r="J7" s="28">
        <v>100</v>
      </c>
      <c r="K7" s="28"/>
      <c r="L7" s="28"/>
      <c r="M7" s="28"/>
      <c r="N7" s="28">
        <v>100</v>
      </c>
      <c r="O7" s="28"/>
      <c r="P7" s="418">
        <f t="shared" si="0"/>
        <v>400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170</v>
      </c>
      <c r="F8" s="28">
        <v>100</v>
      </c>
      <c r="G8" s="28"/>
      <c r="H8" s="28">
        <v>100</v>
      </c>
      <c r="I8" s="28"/>
      <c r="J8" s="28">
        <v>100</v>
      </c>
      <c r="K8" s="28"/>
      <c r="L8" s="28"/>
      <c r="M8" s="28"/>
      <c r="N8" s="28">
        <v>100</v>
      </c>
      <c r="O8" s="28"/>
      <c r="P8" s="418">
        <f t="shared" si="0"/>
        <v>400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>
        <v>3</v>
      </c>
      <c r="G9" s="28"/>
      <c r="H9" s="28"/>
      <c r="I9" s="28"/>
      <c r="J9" s="28"/>
      <c r="K9" s="28"/>
      <c r="L9" s="28"/>
      <c r="M9" s="28"/>
      <c r="N9" s="28"/>
      <c r="O9" s="28"/>
      <c r="P9" s="418">
        <f t="shared" si="0"/>
        <v>3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>
        <v>1</v>
      </c>
      <c r="K10" s="28"/>
      <c r="L10" s="28"/>
      <c r="M10" s="28"/>
      <c r="N10" s="28">
        <v>2</v>
      </c>
      <c r="O10" s="28"/>
      <c r="P10" s="418">
        <f t="shared" si="0"/>
        <v>3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1</v>
      </c>
      <c r="F11" s="28">
        <v>4</v>
      </c>
      <c r="G11" s="28"/>
      <c r="H11" s="28">
        <v>3</v>
      </c>
      <c r="I11" s="28"/>
      <c r="J11" s="28">
        <v>3</v>
      </c>
      <c r="K11" s="28"/>
      <c r="L11" s="28"/>
      <c r="M11" s="28"/>
      <c r="N11" s="28">
        <v>3</v>
      </c>
      <c r="O11" s="28"/>
      <c r="P11" s="418">
        <f t="shared" si="0"/>
        <v>13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28"/>
      <c r="G12" s="28"/>
      <c r="H12" s="28"/>
      <c r="I12" s="28"/>
      <c r="J12" s="28">
        <v>1</v>
      </c>
      <c r="K12" s="28"/>
      <c r="L12" s="28"/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40</v>
      </c>
      <c r="F13" s="28">
        <v>10</v>
      </c>
      <c r="G13" s="28"/>
      <c r="H13" s="28">
        <v>10</v>
      </c>
      <c r="I13" s="28"/>
      <c r="J13" s="28">
        <v>10</v>
      </c>
      <c r="K13" s="28"/>
      <c r="L13" s="28"/>
      <c r="M13" s="28"/>
      <c r="N13" s="28">
        <v>10</v>
      </c>
      <c r="O13" s="28"/>
      <c r="P13" s="418">
        <f t="shared" si="0"/>
        <v>40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0</v>
      </c>
      <c r="F14" s="28"/>
      <c r="G14" s="28"/>
      <c r="H14" s="28"/>
      <c r="I14" s="28"/>
      <c r="J14" s="28">
        <v>1</v>
      </c>
      <c r="K14" s="28"/>
      <c r="L14" s="28"/>
      <c r="M14" s="28"/>
      <c r="N14" s="28"/>
      <c r="O14" s="28"/>
      <c r="P14" s="418">
        <f t="shared" si="0"/>
        <v>1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40</v>
      </c>
      <c r="F15" s="28"/>
      <c r="G15" s="28"/>
      <c r="H15" s="28">
        <v>10</v>
      </c>
      <c r="I15" s="28"/>
      <c r="J15" s="28">
        <v>10</v>
      </c>
      <c r="K15" s="28"/>
      <c r="L15" s="28"/>
      <c r="M15" s="28"/>
      <c r="N15" s="28">
        <v>10</v>
      </c>
      <c r="O15" s="28"/>
      <c r="P15" s="418">
        <f t="shared" si="0"/>
        <v>30</v>
      </c>
    </row>
    <row r="16" spans="1:16" ht="15.75" thickBot="1" x14ac:dyDescent="0.3">
      <c r="A16" s="35">
        <v>1000016</v>
      </c>
      <c r="B16" s="12" t="s">
        <v>15</v>
      </c>
      <c r="C16" s="41"/>
      <c r="D16" s="47">
        <v>5</v>
      </c>
      <c r="F16" s="28">
        <v>5</v>
      </c>
      <c r="G16" s="28"/>
      <c r="H16" s="28"/>
      <c r="I16" s="28"/>
      <c r="J16" s="28">
        <v>5</v>
      </c>
      <c r="K16" s="28"/>
      <c r="L16" s="28"/>
      <c r="M16" s="28"/>
      <c r="N16" s="28"/>
      <c r="O16" s="28"/>
      <c r="P16" s="418">
        <f t="shared" si="0"/>
        <v>10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28">
        <v>2</v>
      </c>
      <c r="G17" s="28"/>
      <c r="H17" s="28"/>
      <c r="I17" s="28"/>
      <c r="J17" s="28">
        <v>2</v>
      </c>
      <c r="K17" s="28"/>
      <c r="L17" s="28"/>
      <c r="M17" s="28"/>
      <c r="N17" s="28">
        <v>2</v>
      </c>
      <c r="O17" s="28"/>
      <c r="P17" s="418">
        <f t="shared" si="0"/>
        <v>6</v>
      </c>
    </row>
    <row r="18" spans="1:16" ht="15.75" thickBot="1" x14ac:dyDescent="0.3">
      <c r="A18" s="35">
        <v>1000045</v>
      </c>
      <c r="B18" s="12" t="s">
        <v>23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1000033</v>
      </c>
      <c r="B19" s="12" t="s">
        <v>27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1</v>
      </c>
      <c r="F20" s="28"/>
      <c r="G20" s="28"/>
      <c r="H20" s="28"/>
      <c r="I20" s="28"/>
      <c r="J20" s="28">
        <v>5</v>
      </c>
      <c r="K20" s="28"/>
      <c r="L20" s="28"/>
      <c r="M20" s="28"/>
      <c r="N20" s="28">
        <v>5</v>
      </c>
      <c r="O20" s="28"/>
      <c r="P20" s="418">
        <f t="shared" si="0"/>
        <v>10</v>
      </c>
    </row>
    <row r="21" spans="1:16" ht="15.75" thickBot="1" x14ac:dyDescent="0.3">
      <c r="A21" s="35">
        <v>1000027</v>
      </c>
      <c r="B21" s="12" t="s">
        <v>33</v>
      </c>
      <c r="C21" s="41"/>
      <c r="D21" s="47">
        <v>1</v>
      </c>
      <c r="F21" s="28">
        <v>9</v>
      </c>
      <c r="G21" s="28"/>
      <c r="H21" s="28"/>
      <c r="I21" s="28"/>
      <c r="J21" s="28"/>
      <c r="K21" s="28"/>
      <c r="L21" s="28"/>
      <c r="M21" s="28"/>
      <c r="N21" s="28">
        <v>9</v>
      </c>
      <c r="O21" s="28"/>
      <c r="P21" s="418">
        <f t="shared" si="0"/>
        <v>18</v>
      </c>
    </row>
    <row r="22" spans="1:16" ht="15.75" thickBot="1" x14ac:dyDescent="0.3">
      <c r="A22" s="35">
        <v>1000101</v>
      </c>
      <c r="B22" s="12" t="s">
        <v>35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1000073</v>
      </c>
      <c r="B23" s="12" t="s">
        <v>36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1000084</v>
      </c>
      <c r="B24" s="12" t="s">
        <v>38</v>
      </c>
      <c r="C24" s="41"/>
      <c r="D24" s="47">
        <v>20</v>
      </c>
      <c r="F24" s="28">
        <v>12</v>
      </c>
      <c r="G24" s="28"/>
      <c r="H24" s="28">
        <v>12</v>
      </c>
      <c r="I24" s="28"/>
      <c r="J24" s="28">
        <v>12</v>
      </c>
      <c r="K24" s="28"/>
      <c r="L24" s="28"/>
      <c r="M24" s="28"/>
      <c r="N24" s="28">
        <v>12</v>
      </c>
      <c r="O24" s="28"/>
      <c r="P24" s="418">
        <f t="shared" si="0"/>
        <v>48</v>
      </c>
    </row>
    <row r="25" spans="1:16" ht="15.75" thickBot="1" x14ac:dyDescent="0.3">
      <c r="A25" s="35">
        <v>10248</v>
      </c>
      <c r="B25" s="12" t="s">
        <v>183</v>
      </c>
      <c r="C25" s="41"/>
      <c r="D25" s="47">
        <v>0</v>
      </c>
      <c r="F25" s="28"/>
      <c r="G25" s="28"/>
      <c r="H25" s="28"/>
      <c r="I25" s="28"/>
      <c r="J25" s="28">
        <v>6</v>
      </c>
      <c r="K25" s="28"/>
      <c r="L25" s="28"/>
      <c r="M25" s="28"/>
      <c r="N25" s="28">
        <v>6</v>
      </c>
      <c r="O25" s="28"/>
      <c r="P25" s="418">
        <f t="shared" si="0"/>
        <v>12</v>
      </c>
    </row>
    <row r="26" spans="1:16" ht="15.75" thickBot="1" x14ac:dyDescent="0.3">
      <c r="A26" s="35">
        <v>1000052</v>
      </c>
      <c r="B26" s="12" t="s">
        <v>41</v>
      </c>
      <c r="C26" s="41"/>
      <c r="D26" s="47">
        <v>2</v>
      </c>
      <c r="F26" s="28">
        <v>4</v>
      </c>
      <c r="G26" s="28"/>
      <c r="H26" s="28">
        <v>4</v>
      </c>
      <c r="I26" s="28"/>
      <c r="J26" s="28">
        <v>2</v>
      </c>
      <c r="K26" s="28"/>
      <c r="L26" s="28"/>
      <c r="M26" s="28"/>
      <c r="N26" s="28">
        <v>2</v>
      </c>
      <c r="O26" s="28"/>
      <c r="P26" s="418">
        <f t="shared" si="0"/>
        <v>12</v>
      </c>
    </row>
    <row r="27" spans="1:16" ht="15.75" thickBot="1" x14ac:dyDescent="0.3">
      <c r="A27" s="35">
        <v>1000089</v>
      </c>
      <c r="B27" s="12" t="s">
        <v>42</v>
      </c>
      <c r="C27" s="41"/>
      <c r="D27" s="47">
        <v>2</v>
      </c>
      <c r="F27" s="28">
        <v>3</v>
      </c>
      <c r="G27" s="28"/>
      <c r="H27" s="28">
        <v>3</v>
      </c>
      <c r="I27" s="28"/>
      <c r="J27" s="28">
        <v>2</v>
      </c>
      <c r="K27" s="28"/>
      <c r="L27" s="28"/>
      <c r="M27" s="28"/>
      <c r="N27" s="28">
        <v>2</v>
      </c>
      <c r="O27" s="28"/>
      <c r="P27" s="418">
        <f t="shared" si="0"/>
        <v>10</v>
      </c>
    </row>
    <row r="28" spans="1:16" ht="15.75" thickBot="1" x14ac:dyDescent="0.3">
      <c r="A28" s="35">
        <v>1000051</v>
      </c>
      <c r="B28" s="12" t="s">
        <v>43</v>
      </c>
      <c r="C28" s="41"/>
      <c r="D28" s="47">
        <v>1</v>
      </c>
      <c r="F28" s="28"/>
      <c r="G28" s="28"/>
      <c r="H28" s="28"/>
      <c r="I28" s="28"/>
      <c r="J28" s="28">
        <v>2</v>
      </c>
      <c r="K28" s="28"/>
      <c r="L28" s="28"/>
      <c r="M28" s="28"/>
      <c r="N28" s="28"/>
      <c r="O28" s="28"/>
      <c r="P28" s="418">
        <f t="shared" si="0"/>
        <v>2</v>
      </c>
    </row>
    <row r="29" spans="1:16" ht="15.75" thickBot="1" x14ac:dyDescent="0.3">
      <c r="A29" s="35">
        <v>1000048</v>
      </c>
      <c r="B29" s="12" t="s">
        <v>45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1000076</v>
      </c>
      <c r="B30" s="12" t="s">
        <v>46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1000147</v>
      </c>
      <c r="B31" s="12" t="s">
        <v>52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1000142</v>
      </c>
      <c r="B32" s="12" t="s">
        <v>54</v>
      </c>
      <c r="C32" s="41"/>
      <c r="D32" s="47">
        <v>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1000087</v>
      </c>
      <c r="B33" s="12" t="s">
        <v>69</v>
      </c>
      <c r="C33" s="41"/>
      <c r="D33" s="47">
        <v>0</v>
      </c>
      <c r="F33" s="28">
        <v>2</v>
      </c>
      <c r="G33" s="28"/>
      <c r="H33" s="28"/>
      <c r="I33" s="28"/>
      <c r="J33" s="28"/>
      <c r="K33" s="28"/>
      <c r="L33" s="28"/>
      <c r="M33" s="28"/>
      <c r="N33" s="28"/>
      <c r="O33" s="28"/>
      <c r="P33" s="418">
        <f t="shared" si="0"/>
        <v>2</v>
      </c>
    </row>
    <row r="34" spans="1:16" ht="15.75" thickBot="1" x14ac:dyDescent="0.3">
      <c r="A34" s="35">
        <v>1000486</v>
      </c>
      <c r="B34" s="12" t="s">
        <v>263</v>
      </c>
      <c r="C34" s="41"/>
      <c r="D34" s="47">
        <v>20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1000049</v>
      </c>
      <c r="B35" s="12" t="s">
        <v>21</v>
      </c>
      <c r="C35" s="41"/>
      <c r="D35" s="47"/>
      <c r="F35" s="28"/>
      <c r="G35" s="28"/>
      <c r="H35" s="28"/>
      <c r="I35" s="28"/>
      <c r="J35" s="28">
        <v>2</v>
      </c>
      <c r="K35" s="28"/>
      <c r="L35" s="28"/>
      <c r="M35" s="28"/>
      <c r="N35" s="28"/>
      <c r="O35" s="28"/>
      <c r="P35" s="418">
        <f t="shared" si="0"/>
        <v>2</v>
      </c>
    </row>
    <row r="36" spans="1:16" s="15" customFormat="1" ht="15.95" customHeight="1" thickBot="1" x14ac:dyDescent="0.3">
      <c r="A36" s="35">
        <v>1000439</v>
      </c>
      <c r="B36" s="12" t="s">
        <v>193</v>
      </c>
      <c r="C36" s="41"/>
      <c r="D36" s="47"/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1000214</v>
      </c>
      <c r="B37" s="12" t="s">
        <v>49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1000100</v>
      </c>
      <c r="B38" s="12" t="s">
        <v>34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1000029</v>
      </c>
      <c r="B39" s="12" t="s">
        <v>30</v>
      </c>
      <c r="C39" s="41"/>
      <c r="D39" s="47"/>
      <c r="F39" s="28"/>
      <c r="G39" s="28"/>
      <c r="H39" s="28"/>
      <c r="I39" s="28"/>
      <c r="J39" s="28">
        <v>1</v>
      </c>
      <c r="K39" s="28"/>
      <c r="L39" s="28"/>
      <c r="M39" s="28"/>
      <c r="N39" s="28"/>
      <c r="O39" s="28"/>
      <c r="P39" s="418">
        <f t="shared" si="0"/>
        <v>1</v>
      </c>
    </row>
    <row r="40" spans="1:16" ht="15.75" thickBot="1" x14ac:dyDescent="0.3">
      <c r="A40" s="35">
        <v>1000383</v>
      </c>
      <c r="B40" s="12" t="s">
        <v>264</v>
      </c>
      <c r="C40" s="41"/>
      <c r="D40" s="47"/>
      <c r="F40" s="28">
        <v>72</v>
      </c>
      <c r="G40" s="28"/>
      <c r="H40" s="28">
        <v>72</v>
      </c>
      <c r="I40" s="28"/>
      <c r="J40" s="28">
        <v>72</v>
      </c>
      <c r="K40" s="28"/>
      <c r="L40" s="28"/>
      <c r="M40" s="28"/>
      <c r="N40" s="28">
        <v>72</v>
      </c>
      <c r="O40" s="28"/>
      <c r="P40" s="418">
        <f t="shared" si="0"/>
        <v>288</v>
      </c>
    </row>
    <row r="41" spans="1:16" ht="15.75" thickBot="1" x14ac:dyDescent="0.3">
      <c r="A41" s="35">
        <v>1000080</v>
      </c>
      <c r="B41" s="12" t="s">
        <v>275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418">
        <f t="shared" si="0"/>
        <v>0</v>
      </c>
    </row>
    <row r="42" spans="1:16" ht="15.75" thickBot="1" x14ac:dyDescent="0.3">
      <c r="A42" s="35">
        <v>1000436</v>
      </c>
      <c r="B42" s="12" t="s">
        <v>276</v>
      </c>
      <c r="C42" s="41"/>
      <c r="D42" s="47"/>
      <c r="F42" s="28">
        <v>10</v>
      </c>
      <c r="G42" s="28"/>
      <c r="H42" s="28">
        <v>10</v>
      </c>
      <c r="I42" s="28"/>
      <c r="J42" s="28">
        <v>10</v>
      </c>
      <c r="K42" s="28"/>
      <c r="L42" s="28"/>
      <c r="M42" s="28"/>
      <c r="N42" s="28">
        <v>10</v>
      </c>
      <c r="O42" s="28"/>
      <c r="P42" s="418">
        <f t="shared" si="0"/>
        <v>40</v>
      </c>
    </row>
    <row r="43" spans="1:16" ht="15.75" thickBot="1" x14ac:dyDescent="0.3">
      <c r="A43" s="35">
        <v>1000550</v>
      </c>
      <c r="B43" s="12" t="s">
        <v>277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1000551</v>
      </c>
      <c r="B44" s="12" t="s">
        <v>278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243">
        <v>1000552</v>
      </c>
      <c r="B45" s="251" t="s">
        <v>279</v>
      </c>
      <c r="C45" s="215"/>
      <c r="D45" s="38"/>
      <c r="E45" s="21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1000041</v>
      </c>
      <c r="B46" s="22" t="s">
        <v>16</v>
      </c>
      <c r="D46" s="38"/>
      <c r="F46" s="28">
        <v>10</v>
      </c>
      <c r="G46" s="28"/>
      <c r="H46" s="28"/>
      <c r="I46" s="28"/>
      <c r="J46" s="28"/>
      <c r="K46" s="28"/>
      <c r="L46" s="28"/>
      <c r="M46" s="28"/>
      <c r="N46" s="28"/>
      <c r="O46" s="28"/>
      <c r="P46" s="418">
        <f t="shared" si="0"/>
        <v>10</v>
      </c>
    </row>
    <row r="47" spans="1:16" ht="15.75" thickBot="1" x14ac:dyDescent="0.3">
      <c r="A47" s="172">
        <v>1000049</v>
      </c>
      <c r="B47" s="12" t="s">
        <v>21</v>
      </c>
      <c r="D47" s="3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71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EA11-E1C7-4A6E-BE8E-9059747CE176}">
  <sheetPr>
    <tabColor rgb="FF7030A0"/>
    <pageSetUpPr fitToPage="1"/>
  </sheetPr>
  <dimension ref="A1:Q54"/>
  <sheetViews>
    <sheetView topLeftCell="A27" workbookViewId="0">
      <selection activeCell="S15" sqref="S15"/>
    </sheetView>
  </sheetViews>
  <sheetFormatPr baseColWidth="10" defaultColWidth="10.875" defaultRowHeight="15" x14ac:dyDescent="0.25"/>
  <cols>
    <col min="1" max="1" width="10.375" style="161" customWidth="1"/>
    <col min="2" max="2" width="39.375" style="161" customWidth="1"/>
    <col min="3" max="3" width="1.375" style="161" customWidth="1"/>
    <col min="4" max="4" width="8.125" style="161" bestFit="1" customWidth="1"/>
    <col min="5" max="5" width="2.125" style="161" customWidth="1"/>
    <col min="6" max="6" width="8.5" style="161" customWidth="1"/>
    <col min="7" max="7" width="5.625" style="161" customWidth="1"/>
    <col min="8" max="8" width="8.5" style="161" customWidth="1"/>
    <col min="9" max="9" width="6.25" style="161" customWidth="1"/>
    <col min="10" max="10" width="8.25" style="161" customWidth="1"/>
    <col min="11" max="11" width="5.875" style="161" customWidth="1"/>
    <col min="12" max="12" width="8.625" style="161" customWidth="1"/>
    <col min="13" max="13" width="6" style="161" customWidth="1"/>
    <col min="14" max="14" width="8.5" style="161" customWidth="1"/>
    <col min="15" max="15" width="6.125" style="161" customWidth="1"/>
    <col min="16" max="16384" width="10.875" style="161"/>
  </cols>
  <sheetData>
    <row r="1" spans="1:16" ht="15" customHeight="1" x14ac:dyDescent="0.45">
      <c r="A1" s="686" t="s">
        <v>245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  <c r="L2"/>
      <c r="M2"/>
    </row>
    <row r="3" spans="1:16" s="3" customFormat="1" ht="16.5" customHeight="1" thickBot="1" x14ac:dyDescent="0.3">
      <c r="A3" s="5"/>
      <c r="B3" s="419" t="s">
        <v>361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161"/>
      <c r="F4" s="19" t="s">
        <v>343</v>
      </c>
      <c r="G4" s="20" t="s">
        <v>325</v>
      </c>
      <c r="H4" s="19" t="s">
        <v>344</v>
      </c>
      <c r="I4" s="20" t="s">
        <v>325</v>
      </c>
      <c r="J4" s="19" t="s">
        <v>345</v>
      </c>
      <c r="K4" s="20" t="s">
        <v>325</v>
      </c>
      <c r="L4" s="19" t="s">
        <v>346</v>
      </c>
      <c r="M4" s="20" t="s">
        <v>325</v>
      </c>
      <c r="N4" s="19" t="s">
        <v>347</v>
      </c>
      <c r="O4" s="20" t="s">
        <v>325</v>
      </c>
      <c r="P4" s="21" t="s">
        <v>98</v>
      </c>
    </row>
    <row r="5" spans="1:16" ht="15.75" thickBot="1" x14ac:dyDescent="0.3">
      <c r="A5" s="168">
        <v>10000015</v>
      </c>
      <c r="B5" s="11" t="s">
        <v>1</v>
      </c>
      <c r="C5" s="175"/>
      <c r="D5" s="17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8">
        <f t="shared" ref="P5:P54" si="0">SUM(F5:O5)</f>
        <v>0</v>
      </c>
    </row>
    <row r="6" spans="1:16" ht="15.75" thickBot="1" x14ac:dyDescent="0.3">
      <c r="A6" s="172">
        <v>10000102</v>
      </c>
      <c r="B6" s="12" t="s">
        <v>2</v>
      </c>
      <c r="C6" s="175"/>
      <c r="D6" s="17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8">
        <f t="shared" si="0"/>
        <v>0</v>
      </c>
    </row>
    <row r="7" spans="1:16" ht="15.75" thickBot="1" x14ac:dyDescent="0.3">
      <c r="A7" s="172">
        <v>1000006</v>
      </c>
      <c r="B7" s="12" t="s">
        <v>4</v>
      </c>
      <c r="C7" s="175"/>
      <c r="D7" s="177"/>
      <c r="F7" s="167">
        <v>50</v>
      </c>
      <c r="G7" s="167"/>
      <c r="H7" s="167"/>
      <c r="I7" s="167"/>
      <c r="J7" s="167">
        <v>50</v>
      </c>
      <c r="K7" s="167"/>
      <c r="L7" s="167"/>
      <c r="M7" s="167"/>
      <c r="N7" s="167"/>
      <c r="O7" s="167"/>
      <c r="P7" s="437">
        <f t="shared" si="0"/>
        <v>100</v>
      </c>
    </row>
    <row r="8" spans="1:16" ht="15.75" thickBot="1" x14ac:dyDescent="0.3">
      <c r="A8" s="172">
        <v>1000007</v>
      </c>
      <c r="B8" s="12" t="s">
        <v>5</v>
      </c>
      <c r="C8" s="175"/>
      <c r="D8" s="177"/>
      <c r="F8" s="167">
        <v>50</v>
      </c>
      <c r="G8" s="167"/>
      <c r="H8" s="167"/>
      <c r="I8" s="167"/>
      <c r="J8" s="167">
        <v>50</v>
      </c>
      <c r="K8" s="167"/>
      <c r="L8" s="167"/>
      <c r="M8" s="167"/>
      <c r="N8" s="167"/>
      <c r="O8" s="167"/>
      <c r="P8" s="437">
        <f t="shared" si="0"/>
        <v>100</v>
      </c>
    </row>
    <row r="9" spans="1:16" ht="15.75" thickBot="1" x14ac:dyDescent="0.3">
      <c r="A9" s="172">
        <v>1000001</v>
      </c>
      <c r="B9" s="12" t="s">
        <v>8</v>
      </c>
      <c r="C9" s="175"/>
      <c r="D9" s="17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8">
        <f t="shared" si="0"/>
        <v>0</v>
      </c>
    </row>
    <row r="10" spans="1:16" ht="15.75" thickBot="1" x14ac:dyDescent="0.3">
      <c r="A10" s="172">
        <v>1000002</v>
      </c>
      <c r="B10" s="12" t="s">
        <v>9</v>
      </c>
      <c r="C10" s="175"/>
      <c r="D10" s="177"/>
      <c r="F10" s="167"/>
      <c r="G10" s="167"/>
      <c r="H10" s="167"/>
      <c r="I10" s="167"/>
      <c r="J10" s="167"/>
      <c r="K10" s="167"/>
      <c r="L10" s="167"/>
      <c r="M10" s="167"/>
      <c r="N10" s="167">
        <v>1</v>
      </c>
      <c r="O10" s="167"/>
      <c r="P10" s="437">
        <f t="shared" si="0"/>
        <v>1</v>
      </c>
    </row>
    <row r="11" spans="1:16" ht="15.75" thickBot="1" x14ac:dyDescent="0.3">
      <c r="A11" s="172">
        <v>1000054</v>
      </c>
      <c r="B11" s="12" t="s">
        <v>12</v>
      </c>
      <c r="C11" s="175"/>
      <c r="D11" s="177"/>
      <c r="F11" s="167">
        <v>15</v>
      </c>
      <c r="G11" s="167"/>
      <c r="H11" s="167"/>
      <c r="I11" s="167"/>
      <c r="J11" s="167">
        <v>15</v>
      </c>
      <c r="K11" s="167"/>
      <c r="L11" s="167"/>
      <c r="M11" s="167"/>
      <c r="N11" s="167">
        <v>15</v>
      </c>
      <c r="O11" s="167"/>
      <c r="P11" s="437">
        <f t="shared" si="0"/>
        <v>45</v>
      </c>
    </row>
    <row r="12" spans="1:16" ht="15.75" thickBot="1" x14ac:dyDescent="0.3">
      <c r="A12" s="60">
        <v>1000070</v>
      </c>
      <c r="B12" s="14" t="s">
        <v>13</v>
      </c>
      <c r="C12" s="175"/>
      <c r="D12" s="17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8">
        <f t="shared" si="0"/>
        <v>0</v>
      </c>
    </row>
    <row r="13" spans="1:16" ht="15.75" thickBot="1" x14ac:dyDescent="0.3">
      <c r="A13" s="172">
        <v>1000017</v>
      </c>
      <c r="B13" s="12" t="s">
        <v>14</v>
      </c>
      <c r="C13" s="175"/>
      <c r="D13" s="177"/>
      <c r="F13" s="167">
        <v>10</v>
      </c>
      <c r="G13" s="167"/>
      <c r="H13" s="167"/>
      <c r="I13" s="167"/>
      <c r="J13" s="167">
        <v>10</v>
      </c>
      <c r="K13" s="167"/>
      <c r="L13" s="167"/>
      <c r="M13" s="167"/>
      <c r="N13" s="167">
        <v>10</v>
      </c>
      <c r="O13" s="167"/>
      <c r="P13" s="437">
        <f t="shared" si="0"/>
        <v>30</v>
      </c>
    </row>
    <row r="14" spans="1:16" ht="15.75" thickBot="1" x14ac:dyDescent="0.3">
      <c r="A14" s="172">
        <v>1000016</v>
      </c>
      <c r="B14" s="12" t="s">
        <v>15</v>
      </c>
      <c r="C14" s="175"/>
      <c r="D14" s="177"/>
      <c r="F14" s="167">
        <v>5</v>
      </c>
      <c r="G14" s="167"/>
      <c r="H14" s="167"/>
      <c r="I14" s="167"/>
      <c r="J14" s="167">
        <v>5</v>
      </c>
      <c r="K14" s="167"/>
      <c r="L14" s="167"/>
      <c r="M14" s="167"/>
      <c r="N14" s="167">
        <v>5</v>
      </c>
      <c r="O14" s="167"/>
      <c r="P14" s="437">
        <f t="shared" si="0"/>
        <v>15</v>
      </c>
    </row>
    <row r="15" spans="1:16" ht="15.75" thickBot="1" x14ac:dyDescent="0.3">
      <c r="A15" s="172">
        <v>1000041</v>
      </c>
      <c r="B15" s="12" t="s">
        <v>16</v>
      </c>
      <c r="C15" s="175"/>
      <c r="D15" s="17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8">
        <f t="shared" si="0"/>
        <v>0</v>
      </c>
    </row>
    <row r="16" spans="1:16" ht="15.75" thickBot="1" x14ac:dyDescent="0.3">
      <c r="A16" s="172">
        <v>1000049</v>
      </c>
      <c r="B16" s="12" t="s">
        <v>21</v>
      </c>
      <c r="C16" s="175"/>
      <c r="D16" s="17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8">
        <f t="shared" si="0"/>
        <v>0</v>
      </c>
    </row>
    <row r="17" spans="1:16" ht="15.75" thickBot="1" x14ac:dyDescent="0.3">
      <c r="A17" s="172">
        <v>1000050</v>
      </c>
      <c r="B17" s="12" t="s">
        <v>22</v>
      </c>
      <c r="C17" s="175"/>
      <c r="D17" s="17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8">
        <f t="shared" si="0"/>
        <v>0</v>
      </c>
    </row>
    <row r="18" spans="1:16" ht="15.75" thickBot="1" x14ac:dyDescent="0.3">
      <c r="A18" s="172">
        <v>1000031</v>
      </c>
      <c r="B18" s="12" t="s">
        <v>25</v>
      </c>
      <c r="C18" s="175"/>
      <c r="D18" s="17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8">
        <f t="shared" si="0"/>
        <v>0</v>
      </c>
    </row>
    <row r="19" spans="1:16" ht="15.75" thickBot="1" x14ac:dyDescent="0.3">
      <c r="A19" s="172">
        <v>1000026</v>
      </c>
      <c r="B19" s="12" t="s">
        <v>31</v>
      </c>
      <c r="C19" s="175"/>
      <c r="D19" s="17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>
        <f t="shared" si="0"/>
        <v>0</v>
      </c>
    </row>
    <row r="20" spans="1:16" ht="15.75" thickBot="1" x14ac:dyDescent="0.3">
      <c r="A20" s="172">
        <v>1000025</v>
      </c>
      <c r="B20" s="12" t="s">
        <v>32</v>
      </c>
      <c r="C20" s="175"/>
      <c r="D20" s="177"/>
      <c r="F20" s="167">
        <v>5</v>
      </c>
      <c r="G20" s="167"/>
      <c r="H20" s="167"/>
      <c r="I20" s="167"/>
      <c r="J20" s="167">
        <v>5</v>
      </c>
      <c r="K20" s="167"/>
      <c r="L20" s="167"/>
      <c r="M20" s="167"/>
      <c r="N20" s="167"/>
      <c r="O20" s="167"/>
      <c r="P20" s="437">
        <f t="shared" si="0"/>
        <v>10</v>
      </c>
    </row>
    <row r="21" spans="1:16" ht="15.75" thickBot="1" x14ac:dyDescent="0.3">
      <c r="A21" s="172">
        <v>1000100</v>
      </c>
      <c r="B21" s="12" t="s">
        <v>34</v>
      </c>
      <c r="C21" s="175"/>
      <c r="D21" s="17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>
        <f t="shared" si="0"/>
        <v>0</v>
      </c>
    </row>
    <row r="22" spans="1:16" ht="15.75" thickBot="1" x14ac:dyDescent="0.3">
      <c r="A22" s="172">
        <v>1000073</v>
      </c>
      <c r="B22" s="12" t="s">
        <v>36</v>
      </c>
      <c r="C22" s="175"/>
      <c r="D22" s="17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8">
        <f t="shared" si="0"/>
        <v>0</v>
      </c>
    </row>
    <row r="23" spans="1:16" ht="15.75" thickBot="1" x14ac:dyDescent="0.3">
      <c r="A23" s="172">
        <v>1000146</v>
      </c>
      <c r="B23" s="12" t="s">
        <v>39</v>
      </c>
      <c r="C23" s="175"/>
      <c r="D23" s="17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8">
        <f t="shared" si="0"/>
        <v>0</v>
      </c>
    </row>
    <row r="24" spans="1:16" ht="15.75" thickBot="1" x14ac:dyDescent="0.3">
      <c r="A24" s="172">
        <v>10248</v>
      </c>
      <c r="B24" s="12" t="s">
        <v>183</v>
      </c>
      <c r="C24" s="175"/>
      <c r="D24" s="17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8">
        <f t="shared" si="0"/>
        <v>0</v>
      </c>
    </row>
    <row r="25" spans="1:16" ht="15.75" thickBot="1" x14ac:dyDescent="0.3">
      <c r="A25" s="172">
        <v>1000052</v>
      </c>
      <c r="B25" s="12" t="s">
        <v>41</v>
      </c>
      <c r="C25" s="175"/>
      <c r="D25" s="177"/>
      <c r="F25" s="167">
        <v>2</v>
      </c>
      <c r="G25" s="167"/>
      <c r="H25" s="167"/>
      <c r="I25" s="167"/>
      <c r="J25" s="167">
        <v>2</v>
      </c>
      <c r="K25" s="167"/>
      <c r="L25" s="167"/>
      <c r="M25" s="167"/>
      <c r="N25" s="167">
        <v>1</v>
      </c>
      <c r="O25" s="167"/>
      <c r="P25" s="437">
        <f t="shared" si="0"/>
        <v>5</v>
      </c>
    </row>
    <row r="26" spans="1:16" ht="15.75" thickBot="1" x14ac:dyDescent="0.3">
      <c r="A26" s="172">
        <v>1000089</v>
      </c>
      <c r="B26" s="12" t="s">
        <v>42</v>
      </c>
      <c r="C26" s="175"/>
      <c r="D26" s="177"/>
      <c r="F26" s="167"/>
      <c r="G26" s="167"/>
      <c r="H26" s="167"/>
      <c r="I26" s="167"/>
      <c r="J26" s="167"/>
      <c r="K26" s="167"/>
      <c r="L26" s="167"/>
      <c r="M26" s="167"/>
      <c r="N26" s="167">
        <v>1</v>
      </c>
      <c r="O26" s="167"/>
      <c r="P26" s="437">
        <f t="shared" si="0"/>
        <v>1</v>
      </c>
    </row>
    <row r="27" spans="1:16" ht="15.75" thickBot="1" x14ac:dyDescent="0.3">
      <c r="A27" s="172">
        <v>1000051</v>
      </c>
      <c r="B27" s="12" t="s">
        <v>43</v>
      </c>
      <c r="C27" s="175"/>
      <c r="D27" s="17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8">
        <f t="shared" si="0"/>
        <v>0</v>
      </c>
    </row>
    <row r="28" spans="1:16" ht="15.75" thickBot="1" x14ac:dyDescent="0.3">
      <c r="A28" s="172">
        <v>1000048</v>
      </c>
      <c r="B28" s="12" t="s">
        <v>45</v>
      </c>
      <c r="C28" s="175"/>
      <c r="D28" s="17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8">
        <f t="shared" si="0"/>
        <v>0</v>
      </c>
    </row>
    <row r="29" spans="1:16" ht="15.75" thickBot="1" x14ac:dyDescent="0.3">
      <c r="A29" s="172">
        <v>1000076</v>
      </c>
      <c r="B29" s="12" t="s">
        <v>46</v>
      </c>
      <c r="C29" s="175"/>
      <c r="D29" s="17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8">
        <f t="shared" si="0"/>
        <v>0</v>
      </c>
    </row>
    <row r="30" spans="1:16" ht="15.75" thickBot="1" x14ac:dyDescent="0.3">
      <c r="A30" s="172">
        <v>1000142</v>
      </c>
      <c r="B30" s="12" t="s">
        <v>54</v>
      </c>
      <c r="C30" s="175"/>
      <c r="D30" s="177"/>
      <c r="F30" s="167"/>
      <c r="G30" s="167"/>
      <c r="H30" s="167"/>
      <c r="I30" s="167"/>
      <c r="J30" s="167"/>
      <c r="K30" s="167"/>
      <c r="L30" s="167"/>
      <c r="M30" s="167"/>
      <c r="N30" s="167">
        <v>1</v>
      </c>
      <c r="O30" s="167"/>
      <c r="P30" s="437">
        <f t="shared" si="0"/>
        <v>1</v>
      </c>
    </row>
    <row r="31" spans="1:16" ht="15.75" thickBot="1" x14ac:dyDescent="0.3">
      <c r="A31" s="172">
        <v>1000008</v>
      </c>
      <c r="B31" s="12" t="s">
        <v>7</v>
      </c>
      <c r="C31" s="175"/>
      <c r="D31" s="17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8">
        <f t="shared" si="0"/>
        <v>0</v>
      </c>
    </row>
    <row r="32" spans="1:16" ht="15.75" thickBot="1" x14ac:dyDescent="0.3">
      <c r="A32" s="172">
        <v>1000082</v>
      </c>
      <c r="B32" s="12" t="s">
        <v>37</v>
      </c>
      <c r="C32" s="175"/>
      <c r="D32" s="177"/>
      <c r="F32" s="167">
        <v>16</v>
      </c>
      <c r="G32" s="167"/>
      <c r="H32" s="167"/>
      <c r="I32" s="167"/>
      <c r="J32" s="167">
        <v>16</v>
      </c>
      <c r="K32" s="167"/>
      <c r="L32" s="167"/>
      <c r="M32" s="167"/>
      <c r="N32" s="167">
        <v>16</v>
      </c>
      <c r="O32" s="167"/>
      <c r="P32" s="437">
        <f t="shared" si="0"/>
        <v>48</v>
      </c>
    </row>
    <row r="33" spans="1:16" s="15" customFormat="1" ht="15.95" customHeight="1" thickBot="1" x14ac:dyDescent="0.3">
      <c r="A33" s="172">
        <v>1000084</v>
      </c>
      <c r="B33" s="12" t="s">
        <v>38</v>
      </c>
      <c r="C33" s="175"/>
      <c r="D33" s="177"/>
      <c r="E33" s="161"/>
      <c r="F33" s="167">
        <v>8</v>
      </c>
      <c r="G33" s="167"/>
      <c r="H33" s="167"/>
      <c r="I33" s="167"/>
      <c r="J33" s="167">
        <v>8</v>
      </c>
      <c r="K33" s="167"/>
      <c r="L33" s="167"/>
      <c r="M33" s="167"/>
      <c r="N33" s="167">
        <v>8</v>
      </c>
      <c r="O33" s="167"/>
      <c r="P33" s="437">
        <f t="shared" si="0"/>
        <v>24</v>
      </c>
    </row>
    <row r="34" spans="1:16" ht="15.75" thickBot="1" x14ac:dyDescent="0.3">
      <c r="A34" s="172">
        <v>1000036</v>
      </c>
      <c r="B34" s="12" t="s">
        <v>75</v>
      </c>
      <c r="C34" s="175"/>
      <c r="D34" s="17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8">
        <f t="shared" si="0"/>
        <v>0</v>
      </c>
    </row>
    <row r="35" spans="1:16" ht="15.75" thickBot="1" x14ac:dyDescent="0.3">
      <c r="A35" s="172">
        <v>1000033</v>
      </c>
      <c r="B35" s="12" t="s">
        <v>27</v>
      </c>
      <c r="C35" s="175"/>
      <c r="D35" s="17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8">
        <f t="shared" si="0"/>
        <v>0</v>
      </c>
    </row>
    <row r="36" spans="1:16" ht="15.75" thickBot="1" x14ac:dyDescent="0.3">
      <c r="A36" s="172">
        <v>1000446</v>
      </c>
      <c r="B36" s="12" t="s">
        <v>201</v>
      </c>
      <c r="C36" s="175"/>
      <c r="D36" s="17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8">
        <f t="shared" si="0"/>
        <v>0</v>
      </c>
    </row>
    <row r="37" spans="1:16" ht="15.75" thickBot="1" x14ac:dyDescent="0.3">
      <c r="A37" s="172">
        <v>1000067</v>
      </c>
      <c r="B37" s="12" t="s">
        <v>11</v>
      </c>
      <c r="C37" s="175"/>
      <c r="D37" s="17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8">
        <f t="shared" si="0"/>
        <v>0</v>
      </c>
    </row>
    <row r="38" spans="1:16" ht="15.75" thickBot="1" x14ac:dyDescent="0.3">
      <c r="A38" s="172">
        <v>1000147</v>
      </c>
      <c r="B38" s="12" t="s">
        <v>52</v>
      </c>
      <c r="C38" s="175"/>
      <c r="D38" s="17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8">
        <f t="shared" si="0"/>
        <v>0</v>
      </c>
    </row>
    <row r="39" spans="1:16" ht="15.75" thickBot="1" x14ac:dyDescent="0.3">
      <c r="A39" s="172">
        <v>1000004</v>
      </c>
      <c r="B39" s="12" t="s">
        <v>10</v>
      </c>
      <c r="C39" s="175"/>
      <c r="D39" s="17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8">
        <f t="shared" si="0"/>
        <v>0</v>
      </c>
    </row>
    <row r="40" spans="1:16" ht="15.75" thickBot="1" x14ac:dyDescent="0.3">
      <c r="A40" s="172">
        <v>1000027</v>
      </c>
      <c r="B40" s="12" t="s">
        <v>33</v>
      </c>
      <c r="C40" s="175"/>
      <c r="D40" s="17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8">
        <f t="shared" si="0"/>
        <v>0</v>
      </c>
    </row>
    <row r="41" spans="1:16" ht="15.75" thickBot="1" x14ac:dyDescent="0.3">
      <c r="A41" s="172">
        <v>1000034</v>
      </c>
      <c r="B41" s="12" t="s">
        <v>28</v>
      </c>
      <c r="C41" s="175"/>
      <c r="D41" s="17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8">
        <f t="shared" si="0"/>
        <v>0</v>
      </c>
    </row>
    <row r="42" spans="1:16" ht="15.75" thickBot="1" x14ac:dyDescent="0.3">
      <c r="A42" s="172">
        <v>1000045</v>
      </c>
      <c r="B42" s="12" t="s">
        <v>23</v>
      </c>
      <c r="C42" s="175"/>
      <c r="D42" s="17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8">
        <f t="shared" si="0"/>
        <v>0</v>
      </c>
    </row>
    <row r="43" spans="1:16" ht="15.75" thickBot="1" x14ac:dyDescent="0.3">
      <c r="A43" s="172">
        <v>1000383</v>
      </c>
      <c r="B43" s="12" t="s">
        <v>264</v>
      </c>
      <c r="C43" s="175"/>
      <c r="D43" s="17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8">
        <f t="shared" si="0"/>
        <v>0</v>
      </c>
    </row>
    <row r="44" spans="1:16" ht="15.75" thickBot="1" x14ac:dyDescent="0.3">
      <c r="A44" s="172">
        <v>1000075</v>
      </c>
      <c r="B44" s="12" t="s">
        <v>47</v>
      </c>
      <c r="C44" s="175"/>
      <c r="D44" s="17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8">
        <f t="shared" si="0"/>
        <v>0</v>
      </c>
    </row>
    <row r="45" spans="1:16" ht="15.75" thickBot="1" x14ac:dyDescent="0.3">
      <c r="A45" s="172">
        <v>1000486</v>
      </c>
      <c r="B45" s="12" t="s">
        <v>263</v>
      </c>
      <c r="C45" s="175"/>
      <c r="D45" s="17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>
        <f t="shared" si="0"/>
        <v>0</v>
      </c>
    </row>
    <row r="46" spans="1:16" ht="15.75" thickBot="1" x14ac:dyDescent="0.3">
      <c r="A46" s="172">
        <v>1000090</v>
      </c>
      <c r="B46" s="12" t="s">
        <v>40</v>
      </c>
      <c r="C46" s="175"/>
      <c r="D46" s="17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8">
        <f t="shared" si="0"/>
        <v>0</v>
      </c>
    </row>
    <row r="47" spans="1:16" ht="15.75" thickBot="1" x14ac:dyDescent="0.3">
      <c r="A47" s="172">
        <v>1000057</v>
      </c>
      <c r="B47" s="12" t="s">
        <v>70</v>
      </c>
      <c r="C47" s="175"/>
      <c r="D47" s="177"/>
      <c r="F47" s="167"/>
      <c r="G47" s="167"/>
      <c r="H47" s="167"/>
      <c r="I47" s="167"/>
      <c r="J47" s="167"/>
      <c r="K47" s="167"/>
      <c r="L47" s="167"/>
      <c r="M47" s="167"/>
      <c r="N47" s="167">
        <v>1</v>
      </c>
      <c r="O47" s="167"/>
      <c r="P47" s="437">
        <f t="shared" si="0"/>
        <v>1</v>
      </c>
    </row>
    <row r="48" spans="1:16" ht="15.75" thickBot="1" x14ac:dyDescent="0.3">
      <c r="A48" s="172">
        <v>1000029</v>
      </c>
      <c r="B48" s="12" t="s">
        <v>30</v>
      </c>
      <c r="C48" s="175"/>
      <c r="D48" s="17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8">
        <f t="shared" si="0"/>
        <v>0</v>
      </c>
    </row>
    <row r="49" spans="1:17" ht="15.75" thickBot="1" x14ac:dyDescent="0.3">
      <c r="A49" s="172">
        <v>1000080</v>
      </c>
      <c r="B49" s="12" t="s">
        <v>275</v>
      </c>
      <c r="C49" s="175"/>
      <c r="D49" s="17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8">
        <f t="shared" si="0"/>
        <v>0</v>
      </c>
    </row>
    <row r="50" spans="1:17" ht="15.75" thickBot="1" x14ac:dyDescent="0.3">
      <c r="A50" s="172">
        <v>1000436</v>
      </c>
      <c r="B50" s="12" t="s">
        <v>276</v>
      </c>
      <c r="C50" s="175"/>
      <c r="D50" s="177"/>
      <c r="F50" s="167">
        <v>10</v>
      </c>
      <c r="G50" s="167"/>
      <c r="H50" s="167"/>
      <c r="I50" s="167"/>
      <c r="J50" s="167">
        <v>10</v>
      </c>
      <c r="K50" s="167"/>
      <c r="L50" s="167"/>
      <c r="M50" s="167"/>
      <c r="N50" s="167"/>
      <c r="O50" s="167"/>
      <c r="P50" s="437">
        <f t="shared" si="0"/>
        <v>20</v>
      </c>
    </row>
    <row r="51" spans="1:17" ht="16.5" thickBot="1" x14ac:dyDescent="0.3">
      <c r="A51" s="172">
        <v>1000550</v>
      </c>
      <c r="B51" s="12" t="s">
        <v>277</v>
      </c>
      <c r="C51" s="175"/>
      <c r="D51" s="17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8">
        <f t="shared" si="0"/>
        <v>0</v>
      </c>
      <c r="Q51"/>
    </row>
    <row r="52" spans="1:17" ht="16.5" thickBot="1" x14ac:dyDescent="0.3">
      <c r="A52" s="36">
        <v>1000551</v>
      </c>
      <c r="B52" s="12" t="s">
        <v>278</v>
      </c>
      <c r="C52"/>
      <c r="D52" s="35"/>
      <c r="E52" s="215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8">
        <f t="shared" si="0"/>
        <v>0</v>
      </c>
    </row>
    <row r="53" spans="1:17" ht="16.5" thickBot="1" x14ac:dyDescent="0.3">
      <c r="A53" s="207">
        <v>1000552</v>
      </c>
      <c r="B53" s="246" t="s">
        <v>279</v>
      </c>
      <c r="C53"/>
      <c r="D53" s="38"/>
      <c r="E53" s="215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8">
        <f t="shared" si="0"/>
        <v>0</v>
      </c>
    </row>
    <row r="54" spans="1:17" ht="15.75" thickBot="1" x14ac:dyDescent="0.3">
      <c r="A54" s="183">
        <v>1000214</v>
      </c>
      <c r="B54" s="22" t="s">
        <v>49</v>
      </c>
      <c r="D54" s="38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8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20CD-C278-453B-90C2-0ECD34141B03}">
  <sheetPr>
    <tabColor rgb="FF7030A0"/>
    <pageSetUpPr fitToPage="1"/>
  </sheetPr>
  <dimension ref="A1:P55"/>
  <sheetViews>
    <sheetView topLeftCell="A10" zoomScale="70" zoomScaleNormal="70" workbookViewId="0">
      <selection activeCell="A43" sqref="A43:B43"/>
    </sheetView>
  </sheetViews>
  <sheetFormatPr baseColWidth="10" defaultColWidth="10.875" defaultRowHeight="15" x14ac:dyDescent="0.25"/>
  <cols>
    <col min="1" max="1" width="9.75" style="27" bestFit="1" customWidth="1"/>
    <col min="2" max="2" width="47.75" style="27" bestFit="1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7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6.875" style="27" customWidth="1"/>
    <col min="14" max="14" width="9.125" style="27" bestFit="1" customWidth="1"/>
    <col min="15" max="15" width="7.75" style="27" customWidth="1"/>
    <col min="16" max="16384" width="10.875" style="27"/>
  </cols>
  <sheetData>
    <row r="1" spans="1:16" ht="17.25" customHeight="1" x14ac:dyDescent="0.45">
      <c r="A1" s="686" t="s">
        <v>161</v>
      </c>
      <c r="B1" s="687"/>
      <c r="C1" s="18"/>
      <c r="D1" s="18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2.75" customHeight="1" thickBot="1" x14ac:dyDescent="0.5">
      <c r="A2" s="688"/>
      <c r="B2" s="689"/>
      <c r="C2" s="18"/>
      <c r="D2" s="439" t="s">
        <v>362</v>
      </c>
      <c r="F2" s="754"/>
      <c r="G2" s="755"/>
      <c r="H2" s="755"/>
      <c r="I2" s="755"/>
      <c r="J2" s="756"/>
      <c r="K2" s="2"/>
    </row>
    <row r="3" spans="1:16" s="3" customFormat="1" ht="27" customHeight="1" thickBot="1" x14ac:dyDescent="0.3">
      <c r="A3" s="5"/>
      <c r="B3" s="5" t="s">
        <v>435</v>
      </c>
      <c r="C3" s="18"/>
      <c r="D3" s="18"/>
    </row>
    <row r="4" spans="1:16" s="3" customFormat="1" ht="15" customHeight="1" thickBot="1" x14ac:dyDescent="0.3">
      <c r="A4" s="6" t="s">
        <v>0</v>
      </c>
      <c r="B4" s="6" t="s">
        <v>105</v>
      </c>
      <c r="C4" s="4"/>
      <c r="D4" s="21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486">
        <v>10000015</v>
      </c>
      <c r="B5" s="11" t="s">
        <v>1</v>
      </c>
      <c r="C5" s="487"/>
      <c r="D5" s="505">
        <v>1</v>
      </c>
      <c r="E5" s="485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6">
        <f t="shared" ref="P5:P55" si="0">SUM(F5:O5)</f>
        <v>0</v>
      </c>
    </row>
    <row r="6" spans="1:16" ht="15.75" thickBot="1" x14ac:dyDescent="0.3">
      <c r="A6" s="491">
        <v>1000006</v>
      </c>
      <c r="B6" s="12" t="s">
        <v>4</v>
      </c>
      <c r="C6" s="487"/>
      <c r="D6" s="503">
        <v>500</v>
      </c>
      <c r="E6" s="485"/>
      <c r="F6" s="489">
        <v>150</v>
      </c>
      <c r="G6" s="489"/>
      <c r="H6" s="489">
        <v>150</v>
      </c>
      <c r="I6" s="489"/>
      <c r="J6" s="489">
        <v>150</v>
      </c>
      <c r="K6" s="489"/>
      <c r="L6" s="489">
        <v>150</v>
      </c>
      <c r="M6" s="489"/>
      <c r="N6" s="489">
        <v>150</v>
      </c>
      <c r="O6" s="489"/>
      <c r="P6" s="490">
        <f t="shared" si="0"/>
        <v>750</v>
      </c>
    </row>
    <row r="7" spans="1:16" ht="15.75" thickBot="1" x14ac:dyDescent="0.3">
      <c r="A7" s="491">
        <v>1000008</v>
      </c>
      <c r="B7" s="12" t="s">
        <v>7</v>
      </c>
      <c r="C7" s="487"/>
      <c r="D7" s="503">
        <v>100</v>
      </c>
      <c r="E7" s="485"/>
      <c r="F7" s="489">
        <v>50</v>
      </c>
      <c r="G7" s="489"/>
      <c r="H7" s="489">
        <v>150</v>
      </c>
      <c r="I7" s="489"/>
      <c r="J7" s="489">
        <v>50</v>
      </c>
      <c r="K7" s="489"/>
      <c r="L7" s="489">
        <v>50</v>
      </c>
      <c r="M7" s="489"/>
      <c r="N7" s="489">
        <v>50</v>
      </c>
      <c r="O7" s="489"/>
      <c r="P7" s="490">
        <f t="shared" si="0"/>
        <v>350</v>
      </c>
    </row>
    <row r="8" spans="1:16" ht="15.75" thickBot="1" x14ac:dyDescent="0.3">
      <c r="A8" s="491">
        <v>1000001</v>
      </c>
      <c r="B8" s="12" t="s">
        <v>8</v>
      </c>
      <c r="C8" s="487"/>
      <c r="D8" s="503">
        <v>3</v>
      </c>
      <c r="E8" s="485"/>
      <c r="F8" s="489">
        <v>3</v>
      </c>
      <c r="G8" s="489"/>
      <c r="H8" s="489">
        <v>3</v>
      </c>
      <c r="I8" s="489"/>
      <c r="J8" s="489">
        <v>2</v>
      </c>
      <c r="K8" s="489"/>
      <c r="L8" s="489">
        <v>3</v>
      </c>
      <c r="M8" s="489"/>
      <c r="N8" s="489">
        <v>2</v>
      </c>
      <c r="O8" s="489"/>
      <c r="P8" s="490">
        <f t="shared" si="0"/>
        <v>13</v>
      </c>
    </row>
    <row r="9" spans="1:16" ht="15.75" thickBot="1" x14ac:dyDescent="0.3">
      <c r="A9" s="491">
        <v>1000002</v>
      </c>
      <c r="B9" s="12" t="s">
        <v>9</v>
      </c>
      <c r="C9" s="487"/>
      <c r="D9" s="503">
        <v>1</v>
      </c>
      <c r="E9" s="485"/>
      <c r="F9" s="489">
        <v>1</v>
      </c>
      <c r="G9" s="489"/>
      <c r="H9" s="489"/>
      <c r="I9" s="489"/>
      <c r="J9" s="489"/>
      <c r="K9" s="489"/>
      <c r="L9" s="489"/>
      <c r="M9" s="489"/>
      <c r="N9" s="489"/>
      <c r="O9" s="489"/>
      <c r="P9" s="490">
        <f t="shared" si="0"/>
        <v>1</v>
      </c>
    </row>
    <row r="10" spans="1:16" ht="15.75" thickBot="1" x14ac:dyDescent="0.3">
      <c r="A10" s="491">
        <v>1000004</v>
      </c>
      <c r="B10" s="12" t="s">
        <v>10</v>
      </c>
      <c r="C10" s="487"/>
      <c r="D10" s="503">
        <v>2</v>
      </c>
      <c r="E10" s="485"/>
      <c r="F10" s="489">
        <v>2</v>
      </c>
      <c r="G10" s="489"/>
      <c r="H10" s="489">
        <v>2</v>
      </c>
      <c r="I10" s="489"/>
      <c r="J10" s="489">
        <v>2</v>
      </c>
      <c r="K10" s="489"/>
      <c r="L10" s="489">
        <v>2</v>
      </c>
      <c r="M10" s="489"/>
      <c r="N10" s="489"/>
      <c r="O10" s="489"/>
      <c r="P10" s="490">
        <f t="shared" si="0"/>
        <v>8</v>
      </c>
    </row>
    <row r="11" spans="1:16" ht="15.75" thickBot="1" x14ac:dyDescent="0.3">
      <c r="A11" s="491">
        <v>1000054</v>
      </c>
      <c r="B11" s="12" t="s">
        <v>12</v>
      </c>
      <c r="C11" s="487"/>
      <c r="D11" s="503">
        <v>60</v>
      </c>
      <c r="E11" s="485"/>
      <c r="F11" s="489">
        <v>10</v>
      </c>
      <c r="G11" s="489"/>
      <c r="H11" s="489">
        <v>10</v>
      </c>
      <c r="I11" s="489"/>
      <c r="J11" s="489">
        <v>10</v>
      </c>
      <c r="K11" s="489"/>
      <c r="L11" s="489">
        <v>10</v>
      </c>
      <c r="M11" s="489"/>
      <c r="N11" s="489">
        <v>2</v>
      </c>
      <c r="O11" s="489"/>
      <c r="P11" s="490">
        <f t="shared" si="0"/>
        <v>42</v>
      </c>
    </row>
    <row r="12" spans="1:16" ht="15.75" thickBot="1" x14ac:dyDescent="0.3">
      <c r="A12" s="491">
        <v>1000017</v>
      </c>
      <c r="B12" s="12" t="s">
        <v>14</v>
      </c>
      <c r="C12" s="487"/>
      <c r="D12" s="503">
        <v>20</v>
      </c>
      <c r="E12" s="485"/>
      <c r="F12" s="489">
        <v>15</v>
      </c>
      <c r="G12" s="489"/>
      <c r="H12" s="489">
        <v>15</v>
      </c>
      <c r="I12" s="489"/>
      <c r="J12" s="489">
        <v>15</v>
      </c>
      <c r="K12" s="489"/>
      <c r="L12" s="489">
        <v>15</v>
      </c>
      <c r="M12" s="489"/>
      <c r="N12" s="489">
        <v>10</v>
      </c>
      <c r="O12" s="489"/>
      <c r="P12" s="490">
        <f t="shared" si="0"/>
        <v>70</v>
      </c>
    </row>
    <row r="13" spans="1:16" ht="15.75" thickBot="1" x14ac:dyDescent="0.3">
      <c r="A13" s="491">
        <v>1000016</v>
      </c>
      <c r="B13" s="12" t="s">
        <v>15</v>
      </c>
      <c r="C13" s="487"/>
      <c r="D13" s="503">
        <v>5</v>
      </c>
      <c r="E13" s="485"/>
      <c r="F13" s="489">
        <v>5</v>
      </c>
      <c r="G13" s="489"/>
      <c r="H13" s="489"/>
      <c r="I13" s="489"/>
      <c r="J13" s="489">
        <v>5</v>
      </c>
      <c r="K13" s="489"/>
      <c r="L13" s="489"/>
      <c r="M13" s="489"/>
      <c r="N13" s="489">
        <v>15</v>
      </c>
      <c r="O13" s="489"/>
      <c r="P13" s="490">
        <f t="shared" si="0"/>
        <v>25</v>
      </c>
    </row>
    <row r="14" spans="1:16" ht="15.75" thickBot="1" x14ac:dyDescent="0.3">
      <c r="A14" s="491">
        <v>1000041</v>
      </c>
      <c r="B14" s="12" t="s">
        <v>16</v>
      </c>
      <c r="C14" s="487"/>
      <c r="D14" s="503">
        <v>10</v>
      </c>
      <c r="E14" s="485"/>
      <c r="F14" s="489"/>
      <c r="G14" s="489"/>
      <c r="H14" s="489"/>
      <c r="I14" s="489"/>
      <c r="J14" s="489"/>
      <c r="K14" s="489"/>
      <c r="L14" s="489">
        <v>5</v>
      </c>
      <c r="M14" s="489"/>
      <c r="N14" s="489"/>
      <c r="O14" s="489"/>
      <c r="P14" s="490">
        <f t="shared" si="0"/>
        <v>5</v>
      </c>
    </row>
    <row r="15" spans="1:16" ht="15.75" thickBot="1" x14ac:dyDescent="0.3">
      <c r="A15" s="491">
        <v>1000049</v>
      </c>
      <c r="B15" s="13" t="s">
        <v>21</v>
      </c>
      <c r="C15" s="487"/>
      <c r="D15" s="503">
        <v>1</v>
      </c>
      <c r="E15" s="485"/>
      <c r="F15" s="489">
        <v>2</v>
      </c>
      <c r="G15" s="489"/>
      <c r="H15" s="489"/>
      <c r="I15" s="489"/>
      <c r="J15" s="489">
        <v>2</v>
      </c>
      <c r="K15" s="489"/>
      <c r="L15" s="489">
        <v>2</v>
      </c>
      <c r="M15" s="489"/>
      <c r="N15" s="489">
        <v>2</v>
      </c>
      <c r="O15" s="489"/>
      <c r="P15" s="490">
        <f t="shared" si="0"/>
        <v>8</v>
      </c>
    </row>
    <row r="16" spans="1:16" ht="15.75" thickBot="1" x14ac:dyDescent="0.3">
      <c r="A16" s="491">
        <v>1000050</v>
      </c>
      <c r="B16" s="12" t="s">
        <v>22</v>
      </c>
      <c r="C16" s="487"/>
      <c r="D16" s="503">
        <v>1</v>
      </c>
      <c r="E16" s="485"/>
      <c r="F16" s="489">
        <v>2</v>
      </c>
      <c r="G16" s="489"/>
      <c r="H16" s="489"/>
      <c r="I16" s="489"/>
      <c r="J16" s="489">
        <v>2</v>
      </c>
      <c r="K16" s="489"/>
      <c r="L16" s="489">
        <v>2</v>
      </c>
      <c r="M16" s="489"/>
      <c r="N16" s="489">
        <v>2</v>
      </c>
      <c r="O16" s="489"/>
      <c r="P16" s="490">
        <f t="shared" si="0"/>
        <v>8</v>
      </c>
    </row>
    <row r="17" spans="1:16" ht="15.75" thickBot="1" x14ac:dyDescent="0.3">
      <c r="A17" s="491">
        <v>1000045</v>
      </c>
      <c r="B17" s="12" t="s">
        <v>23</v>
      </c>
      <c r="C17" s="487"/>
      <c r="D17" s="503">
        <v>1</v>
      </c>
      <c r="E17" s="485"/>
      <c r="F17" s="489"/>
      <c r="G17" s="489"/>
      <c r="H17" s="489"/>
      <c r="I17" s="489"/>
      <c r="J17" s="489"/>
      <c r="K17" s="489"/>
      <c r="L17" s="489"/>
      <c r="M17" s="489"/>
      <c r="N17" s="489"/>
      <c r="O17" s="489"/>
      <c r="P17" s="486">
        <f t="shared" si="0"/>
        <v>0</v>
      </c>
    </row>
    <row r="18" spans="1:16" ht="15.75" thickBot="1" x14ac:dyDescent="0.3">
      <c r="A18" s="491">
        <v>1000030</v>
      </c>
      <c r="B18" s="12" t="s">
        <v>24</v>
      </c>
      <c r="C18" s="487"/>
      <c r="D18" s="503">
        <v>4</v>
      </c>
      <c r="E18" s="485"/>
      <c r="F18" s="489"/>
      <c r="G18" s="489"/>
      <c r="H18" s="489"/>
      <c r="I18" s="489"/>
      <c r="J18" s="489"/>
      <c r="K18" s="489"/>
      <c r="L18" s="489"/>
      <c r="M18" s="489"/>
      <c r="N18" s="489"/>
      <c r="O18" s="489"/>
      <c r="P18" s="486">
        <f t="shared" si="0"/>
        <v>0</v>
      </c>
    </row>
    <row r="19" spans="1:16" ht="15.75" thickBot="1" x14ac:dyDescent="0.3">
      <c r="A19" s="491">
        <v>1000031</v>
      </c>
      <c r="B19" s="12" t="s">
        <v>25</v>
      </c>
      <c r="C19" s="487"/>
      <c r="D19" s="503">
        <v>4</v>
      </c>
      <c r="E19" s="485"/>
      <c r="F19" s="489"/>
      <c r="G19" s="489"/>
      <c r="H19" s="489"/>
      <c r="I19" s="489"/>
      <c r="J19" s="489"/>
      <c r="K19" s="489"/>
      <c r="L19" s="489"/>
      <c r="M19" s="489"/>
      <c r="N19" s="489"/>
      <c r="O19" s="489"/>
      <c r="P19" s="486">
        <f t="shared" si="0"/>
        <v>0</v>
      </c>
    </row>
    <row r="20" spans="1:16" ht="15.75" thickBot="1" x14ac:dyDescent="0.3">
      <c r="A20" s="491">
        <v>1000026</v>
      </c>
      <c r="B20" s="12" t="s">
        <v>31</v>
      </c>
      <c r="C20" s="487"/>
      <c r="D20" s="503">
        <v>4</v>
      </c>
      <c r="E20" s="485"/>
      <c r="F20" s="489">
        <v>1</v>
      </c>
      <c r="G20" s="489"/>
      <c r="H20" s="489"/>
      <c r="I20" s="489"/>
      <c r="J20" s="489"/>
      <c r="K20" s="489"/>
      <c r="L20" s="489">
        <v>1</v>
      </c>
      <c r="M20" s="489"/>
      <c r="N20" s="489"/>
      <c r="O20" s="489"/>
      <c r="P20" s="490">
        <f t="shared" si="0"/>
        <v>2</v>
      </c>
    </row>
    <row r="21" spans="1:16" ht="15.75" thickBot="1" x14ac:dyDescent="0.3">
      <c r="A21" s="491">
        <v>1000027</v>
      </c>
      <c r="B21" s="12" t="s">
        <v>33</v>
      </c>
      <c r="C21" s="487"/>
      <c r="D21" s="503">
        <v>12</v>
      </c>
      <c r="E21" s="485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6">
        <f t="shared" si="0"/>
        <v>0</v>
      </c>
    </row>
    <row r="22" spans="1:16" ht="15.75" thickBot="1" x14ac:dyDescent="0.3">
      <c r="A22" s="491">
        <v>1000100</v>
      </c>
      <c r="B22" s="12" t="s">
        <v>34</v>
      </c>
      <c r="C22" s="487"/>
      <c r="D22" s="503">
        <v>1</v>
      </c>
      <c r="E22" s="485"/>
      <c r="F22" s="489"/>
      <c r="G22" s="489"/>
      <c r="H22" s="489"/>
      <c r="I22" s="489"/>
      <c r="J22" s="489"/>
      <c r="K22" s="489"/>
      <c r="L22" s="489">
        <v>2</v>
      </c>
      <c r="M22" s="489"/>
      <c r="N22" s="489"/>
      <c r="O22" s="489"/>
      <c r="P22" s="490">
        <f t="shared" si="0"/>
        <v>2</v>
      </c>
    </row>
    <row r="23" spans="1:16" ht="15.75" thickBot="1" x14ac:dyDescent="0.3">
      <c r="A23" s="499">
        <v>1000082</v>
      </c>
      <c r="B23" s="13" t="s">
        <v>37</v>
      </c>
      <c r="C23" s="487"/>
      <c r="D23" s="503">
        <v>60</v>
      </c>
      <c r="E23" s="485"/>
      <c r="F23" s="489">
        <v>24</v>
      </c>
      <c r="G23" s="489"/>
      <c r="H23" s="489">
        <v>24</v>
      </c>
      <c r="I23" s="489"/>
      <c r="J23" s="489">
        <v>24</v>
      </c>
      <c r="K23" s="489"/>
      <c r="L23" s="489">
        <v>24</v>
      </c>
      <c r="M23" s="489"/>
      <c r="N23" s="489">
        <v>24</v>
      </c>
      <c r="O23" s="489"/>
      <c r="P23" s="490">
        <f t="shared" si="0"/>
        <v>120</v>
      </c>
    </row>
    <row r="24" spans="1:16" ht="15.75" thickBot="1" x14ac:dyDescent="0.3">
      <c r="A24" s="499">
        <v>1000084</v>
      </c>
      <c r="B24" s="13" t="s">
        <v>38</v>
      </c>
      <c r="C24" s="487"/>
      <c r="D24" s="503">
        <v>30</v>
      </c>
      <c r="E24" s="485"/>
      <c r="F24" s="489">
        <v>12</v>
      </c>
      <c r="G24" s="489"/>
      <c r="H24" s="489">
        <v>12</v>
      </c>
      <c r="I24" s="489"/>
      <c r="J24" s="489">
        <v>12</v>
      </c>
      <c r="K24" s="489"/>
      <c r="L24" s="489">
        <v>12</v>
      </c>
      <c r="M24" s="489"/>
      <c r="N24" s="489">
        <v>12</v>
      </c>
      <c r="O24" s="489"/>
      <c r="P24" s="490">
        <f t="shared" si="0"/>
        <v>60</v>
      </c>
    </row>
    <row r="25" spans="1:16" ht="15.75" thickBot="1" x14ac:dyDescent="0.3">
      <c r="A25" s="499">
        <v>1000052</v>
      </c>
      <c r="B25" s="13" t="s">
        <v>41</v>
      </c>
      <c r="C25" s="487"/>
      <c r="D25" s="503">
        <v>6</v>
      </c>
      <c r="E25" s="485"/>
      <c r="F25" s="489">
        <v>3</v>
      </c>
      <c r="G25" s="489"/>
      <c r="H25" s="489">
        <v>3</v>
      </c>
      <c r="I25" s="489"/>
      <c r="J25" s="489">
        <v>2</v>
      </c>
      <c r="K25" s="489"/>
      <c r="L25" s="489">
        <v>3</v>
      </c>
      <c r="M25" s="489"/>
      <c r="N25" s="489">
        <v>3</v>
      </c>
      <c r="O25" s="489"/>
      <c r="P25" s="490">
        <f t="shared" si="0"/>
        <v>14</v>
      </c>
    </row>
    <row r="26" spans="1:16" ht="15.75" thickBot="1" x14ac:dyDescent="0.3">
      <c r="A26" s="499">
        <v>1000089</v>
      </c>
      <c r="B26" s="13" t="s">
        <v>42</v>
      </c>
      <c r="C26" s="487"/>
      <c r="D26" s="503">
        <v>6</v>
      </c>
      <c r="E26" s="485"/>
      <c r="F26" s="489">
        <v>3</v>
      </c>
      <c r="G26" s="489"/>
      <c r="H26" s="489">
        <v>3</v>
      </c>
      <c r="I26" s="489"/>
      <c r="J26" s="489">
        <v>2</v>
      </c>
      <c r="K26" s="489"/>
      <c r="L26" s="489">
        <v>3</v>
      </c>
      <c r="M26" s="489"/>
      <c r="N26" s="489">
        <v>3</v>
      </c>
      <c r="O26" s="489"/>
      <c r="P26" s="490">
        <f t="shared" si="0"/>
        <v>14</v>
      </c>
    </row>
    <row r="27" spans="1:16" ht="15.75" thickBot="1" x14ac:dyDescent="0.3">
      <c r="A27" s="499">
        <v>1000051</v>
      </c>
      <c r="B27" s="13" t="s">
        <v>43</v>
      </c>
      <c r="C27" s="487"/>
      <c r="D27" s="503">
        <v>1</v>
      </c>
      <c r="E27" s="485"/>
      <c r="F27" s="489">
        <v>2</v>
      </c>
      <c r="G27" s="489"/>
      <c r="H27" s="489"/>
      <c r="I27" s="489"/>
      <c r="J27" s="489"/>
      <c r="K27" s="489"/>
      <c r="L27" s="489"/>
      <c r="M27" s="489"/>
      <c r="N27" s="489"/>
      <c r="O27" s="489"/>
      <c r="P27" s="490">
        <f t="shared" si="0"/>
        <v>2</v>
      </c>
    </row>
    <row r="28" spans="1:16" ht="15.75" thickBot="1" x14ac:dyDescent="0.3">
      <c r="A28" s="499">
        <v>1000048</v>
      </c>
      <c r="B28" s="13" t="s">
        <v>45</v>
      </c>
      <c r="C28" s="487"/>
      <c r="D28" s="503">
        <v>1</v>
      </c>
      <c r="E28" s="485"/>
      <c r="F28" s="489"/>
      <c r="G28" s="489"/>
      <c r="H28" s="489">
        <v>1</v>
      </c>
      <c r="I28" s="489"/>
      <c r="J28" s="489"/>
      <c r="K28" s="489"/>
      <c r="L28" s="489"/>
      <c r="M28" s="489"/>
      <c r="N28" s="489">
        <v>1</v>
      </c>
      <c r="O28" s="489"/>
      <c r="P28" s="490">
        <f t="shared" si="0"/>
        <v>2</v>
      </c>
    </row>
    <row r="29" spans="1:16" ht="15.75" thickBot="1" x14ac:dyDescent="0.3">
      <c r="A29" s="499">
        <v>1000142</v>
      </c>
      <c r="B29" s="13" t="s">
        <v>54</v>
      </c>
      <c r="C29" s="487"/>
      <c r="D29" s="503">
        <v>1</v>
      </c>
      <c r="E29" s="485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6">
        <f t="shared" si="0"/>
        <v>0</v>
      </c>
    </row>
    <row r="30" spans="1:16" ht="15.75" thickBot="1" x14ac:dyDescent="0.3">
      <c r="A30" s="499">
        <v>1000205</v>
      </c>
      <c r="B30" s="13" t="s">
        <v>82</v>
      </c>
      <c r="C30" s="487"/>
      <c r="D30" s="503">
        <v>1</v>
      </c>
      <c r="E30" s="485"/>
      <c r="F30" s="489"/>
      <c r="G30" s="489"/>
      <c r="H30" s="489">
        <v>1</v>
      </c>
      <c r="I30" s="489"/>
      <c r="J30" s="489"/>
      <c r="K30" s="489"/>
      <c r="L30" s="489"/>
      <c r="M30" s="489"/>
      <c r="N30" s="489"/>
      <c r="O30" s="489"/>
      <c r="P30" s="490">
        <f t="shared" si="0"/>
        <v>1</v>
      </c>
    </row>
    <row r="31" spans="1:16" ht="15.75" thickBot="1" x14ac:dyDescent="0.3">
      <c r="A31" s="499">
        <v>1000070</v>
      </c>
      <c r="B31" s="13" t="s">
        <v>13</v>
      </c>
      <c r="C31" s="487"/>
      <c r="D31" s="503">
        <v>1</v>
      </c>
      <c r="E31" s="485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6">
        <f t="shared" si="0"/>
        <v>0</v>
      </c>
    </row>
    <row r="32" spans="1:16" s="15" customFormat="1" ht="15.95" customHeight="1" thickBot="1" x14ac:dyDescent="0.3">
      <c r="A32" s="499">
        <v>1000067</v>
      </c>
      <c r="B32" s="13" t="s">
        <v>11</v>
      </c>
      <c r="C32" s="487"/>
      <c r="D32" s="503"/>
      <c r="E32" s="485"/>
      <c r="F32" s="489">
        <v>1</v>
      </c>
      <c r="G32" s="489"/>
      <c r="H32" s="489"/>
      <c r="I32" s="489"/>
      <c r="J32" s="489"/>
      <c r="K32" s="489"/>
      <c r="L32" s="489"/>
      <c r="M32" s="489"/>
      <c r="N32" s="489"/>
      <c r="O32" s="489"/>
      <c r="P32" s="490">
        <f t="shared" si="0"/>
        <v>1</v>
      </c>
    </row>
    <row r="33" spans="1:16" ht="15.75" thickBot="1" x14ac:dyDescent="0.3">
      <c r="A33" s="499">
        <v>1000146</v>
      </c>
      <c r="B33" s="13" t="s">
        <v>39</v>
      </c>
      <c r="C33" s="487"/>
      <c r="D33" s="503"/>
      <c r="E33" s="485"/>
      <c r="F33" s="489">
        <v>10</v>
      </c>
      <c r="G33" s="489"/>
      <c r="H33" s="489"/>
      <c r="I33" s="489"/>
      <c r="J33" s="489">
        <v>10</v>
      </c>
      <c r="K33" s="489"/>
      <c r="L33" s="489"/>
      <c r="M33" s="489"/>
      <c r="N33" s="489">
        <v>10</v>
      </c>
      <c r="O33" s="489"/>
      <c r="P33" s="490">
        <f t="shared" si="0"/>
        <v>30</v>
      </c>
    </row>
    <row r="34" spans="1:16" ht="15.75" thickBot="1" x14ac:dyDescent="0.3">
      <c r="A34" s="499">
        <v>1000032</v>
      </c>
      <c r="B34" s="13" t="s">
        <v>26</v>
      </c>
      <c r="C34" s="487"/>
      <c r="D34" s="503"/>
      <c r="E34" s="48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6">
        <f t="shared" si="0"/>
        <v>0</v>
      </c>
    </row>
    <row r="35" spans="1:16" ht="15.75" thickBot="1" x14ac:dyDescent="0.3">
      <c r="A35" s="499">
        <v>1000412</v>
      </c>
      <c r="B35" s="13" t="s">
        <v>239</v>
      </c>
      <c r="C35" s="487"/>
      <c r="D35" s="503"/>
      <c r="E35" s="485"/>
      <c r="F35" s="489"/>
      <c r="G35" s="489"/>
      <c r="H35" s="489"/>
      <c r="I35" s="489"/>
      <c r="J35" s="489"/>
      <c r="K35" s="489"/>
      <c r="L35" s="489"/>
      <c r="M35" s="489"/>
      <c r="N35" s="489">
        <v>2</v>
      </c>
      <c r="O35" s="489"/>
      <c r="P35" s="490">
        <f t="shared" si="0"/>
        <v>2</v>
      </c>
    </row>
    <row r="36" spans="1:16" ht="15.75" thickBot="1" x14ac:dyDescent="0.3">
      <c r="A36" s="499">
        <v>1000011</v>
      </c>
      <c r="B36" s="13" t="s">
        <v>18</v>
      </c>
      <c r="C36" s="487"/>
      <c r="D36" s="503"/>
      <c r="E36" s="485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6">
        <f t="shared" si="0"/>
        <v>0</v>
      </c>
    </row>
    <row r="37" spans="1:16" ht="15.75" thickBot="1" x14ac:dyDescent="0.3">
      <c r="A37" s="499">
        <v>1000075</v>
      </c>
      <c r="B37" s="13" t="s">
        <v>47</v>
      </c>
      <c r="C37" s="487"/>
      <c r="D37" s="503"/>
      <c r="E37" s="485"/>
      <c r="F37" s="489"/>
      <c r="G37" s="489"/>
      <c r="H37" s="489">
        <v>1</v>
      </c>
      <c r="I37" s="489"/>
      <c r="J37" s="489"/>
      <c r="K37" s="489"/>
      <c r="L37" s="489">
        <v>2</v>
      </c>
      <c r="M37" s="489"/>
      <c r="N37" s="489"/>
      <c r="O37" s="489"/>
      <c r="P37" s="490">
        <f t="shared" si="0"/>
        <v>3</v>
      </c>
    </row>
    <row r="38" spans="1:16" ht="15.75" thickBot="1" x14ac:dyDescent="0.3">
      <c r="A38" s="499">
        <v>1000147</v>
      </c>
      <c r="B38" s="13" t="s">
        <v>52</v>
      </c>
      <c r="C38" s="487"/>
      <c r="D38" s="503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5.75" thickBot="1" x14ac:dyDescent="0.3">
      <c r="A39" s="499">
        <v>10000102</v>
      </c>
      <c r="B39" s="13" t="s">
        <v>2</v>
      </c>
      <c r="C39" s="487"/>
      <c r="D39" s="503"/>
      <c r="E39" s="485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6">
        <f t="shared" si="0"/>
        <v>0</v>
      </c>
    </row>
    <row r="40" spans="1:16" ht="15.75" thickBot="1" x14ac:dyDescent="0.3">
      <c r="A40" s="499">
        <v>1000029</v>
      </c>
      <c r="B40" s="13" t="s">
        <v>30</v>
      </c>
      <c r="C40" s="487"/>
      <c r="D40" s="503"/>
      <c r="E40" s="48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6">
        <f t="shared" si="0"/>
        <v>0</v>
      </c>
    </row>
    <row r="41" spans="1:16" ht="15.75" thickBot="1" x14ac:dyDescent="0.3">
      <c r="A41" s="499">
        <v>1000073</v>
      </c>
      <c r="B41" s="13" t="s">
        <v>36</v>
      </c>
      <c r="C41" s="487"/>
      <c r="D41" s="503"/>
      <c r="E41" s="485"/>
      <c r="F41" s="489"/>
      <c r="G41" s="489"/>
      <c r="H41" s="489"/>
      <c r="I41" s="489"/>
      <c r="J41" s="489"/>
      <c r="K41" s="489"/>
      <c r="L41" s="489"/>
      <c r="M41" s="489"/>
      <c r="N41" s="489"/>
      <c r="O41" s="489"/>
      <c r="P41" s="486">
        <f t="shared" si="0"/>
        <v>0</v>
      </c>
    </row>
    <row r="42" spans="1:16" ht="15.75" thickBot="1" x14ac:dyDescent="0.3">
      <c r="A42" s="499">
        <v>1000092</v>
      </c>
      <c r="B42" s="13" t="s">
        <v>51</v>
      </c>
      <c r="C42" s="487"/>
      <c r="D42" s="503"/>
      <c r="E42" s="485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5.75" thickBot="1" x14ac:dyDescent="0.3">
      <c r="A43" s="499">
        <v>1000214</v>
      </c>
      <c r="B43" s="13" t="s">
        <v>49</v>
      </c>
      <c r="C43" s="487"/>
      <c r="D43" s="503"/>
      <c r="E43" s="485"/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6">
        <f t="shared" si="0"/>
        <v>0</v>
      </c>
    </row>
    <row r="44" spans="1:16" ht="15.75" thickBot="1" x14ac:dyDescent="0.3">
      <c r="A44" s="499">
        <v>1000033</v>
      </c>
      <c r="B44" s="13" t="s">
        <v>27</v>
      </c>
      <c r="C44" s="487"/>
      <c r="D44" s="503"/>
      <c r="E44" s="485"/>
      <c r="F44" s="489">
        <v>1</v>
      </c>
      <c r="G44" s="489"/>
      <c r="H44" s="489">
        <v>1</v>
      </c>
      <c r="I44" s="489"/>
      <c r="J44" s="489">
        <v>1</v>
      </c>
      <c r="K44" s="489"/>
      <c r="L44" s="489">
        <v>1</v>
      </c>
      <c r="M44" s="489"/>
      <c r="N44" s="489">
        <v>1</v>
      </c>
      <c r="O44" s="489"/>
      <c r="P44" s="490">
        <f t="shared" si="0"/>
        <v>5</v>
      </c>
    </row>
    <row r="45" spans="1:16" ht="15.75" thickBot="1" x14ac:dyDescent="0.3">
      <c r="A45" s="499">
        <v>1000452</v>
      </c>
      <c r="B45" s="13" t="s">
        <v>203</v>
      </c>
      <c r="C45" s="487"/>
      <c r="D45" s="503"/>
      <c r="E45" s="485"/>
      <c r="F45" s="489">
        <v>1</v>
      </c>
      <c r="G45" s="489"/>
      <c r="H45" s="489"/>
      <c r="I45" s="489"/>
      <c r="J45" s="489"/>
      <c r="K45" s="489"/>
      <c r="L45" s="489">
        <v>1</v>
      </c>
      <c r="M45" s="489"/>
      <c r="N45" s="489"/>
      <c r="O45" s="489"/>
      <c r="P45" s="490">
        <f t="shared" si="0"/>
        <v>2</v>
      </c>
    </row>
    <row r="46" spans="1:16" ht="15.75" thickBot="1" x14ac:dyDescent="0.3">
      <c r="A46" s="499">
        <v>1000080</v>
      </c>
      <c r="B46" s="13" t="s">
        <v>275</v>
      </c>
      <c r="C46" s="487"/>
      <c r="D46" s="503"/>
      <c r="E46" s="485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6">
        <f t="shared" si="0"/>
        <v>0</v>
      </c>
    </row>
    <row r="47" spans="1:16" ht="15.75" thickBot="1" x14ac:dyDescent="0.3">
      <c r="A47" s="499">
        <v>1000436</v>
      </c>
      <c r="B47" s="13" t="s">
        <v>276</v>
      </c>
      <c r="C47" s="487"/>
      <c r="D47" s="503"/>
      <c r="E47" s="485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6">
        <f t="shared" si="0"/>
        <v>0</v>
      </c>
    </row>
    <row r="48" spans="1:16" ht="15.75" thickBot="1" x14ac:dyDescent="0.3">
      <c r="A48" s="499">
        <v>1000550</v>
      </c>
      <c r="B48" s="13" t="s">
        <v>277</v>
      </c>
      <c r="C48" s="487"/>
      <c r="D48" s="503"/>
      <c r="E48" s="485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6">
        <f t="shared" si="0"/>
        <v>0</v>
      </c>
    </row>
    <row r="49" spans="1:16" ht="15.75" thickBot="1" x14ac:dyDescent="0.3">
      <c r="A49" s="499">
        <v>1000551</v>
      </c>
      <c r="B49" s="13" t="s">
        <v>278</v>
      </c>
      <c r="C49" s="487"/>
      <c r="D49" s="503"/>
      <c r="E49" s="485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6">
        <f t="shared" si="0"/>
        <v>0</v>
      </c>
    </row>
    <row r="50" spans="1:16" ht="15.75" thickBot="1" x14ac:dyDescent="0.3">
      <c r="A50" s="243">
        <v>1000552</v>
      </c>
      <c r="B50" s="251" t="s">
        <v>279</v>
      </c>
      <c r="C50" s="496"/>
      <c r="D50" s="495"/>
      <c r="E50" s="496"/>
      <c r="F50" s="489"/>
      <c r="G50" s="489"/>
      <c r="H50" s="489"/>
      <c r="I50" s="489"/>
      <c r="J50" s="489"/>
      <c r="K50" s="489"/>
      <c r="L50" s="489"/>
      <c r="M50" s="489"/>
      <c r="N50" s="489"/>
      <c r="O50" s="489"/>
      <c r="P50" s="486">
        <f t="shared" si="0"/>
        <v>0</v>
      </c>
    </row>
    <row r="51" spans="1:16" ht="15.75" thickBot="1" x14ac:dyDescent="0.3">
      <c r="A51" s="172">
        <v>1000024</v>
      </c>
      <c r="B51" s="12" t="s">
        <v>32</v>
      </c>
      <c r="D51" s="38"/>
      <c r="F51" s="489"/>
      <c r="G51" s="489"/>
      <c r="H51" s="489"/>
      <c r="I51" s="489"/>
      <c r="J51" s="489"/>
      <c r="K51" s="489"/>
      <c r="L51" s="489"/>
      <c r="M51" s="489"/>
      <c r="N51" s="489">
        <v>5</v>
      </c>
      <c r="O51" s="489"/>
      <c r="P51" s="490">
        <f t="shared" si="0"/>
        <v>5</v>
      </c>
    </row>
    <row r="52" spans="1:16" ht="15.75" thickBot="1" x14ac:dyDescent="0.3">
      <c r="A52" s="35">
        <v>1000010</v>
      </c>
      <c r="B52" s="12" t="s">
        <v>17</v>
      </c>
      <c r="D52" s="38"/>
      <c r="F52" s="489"/>
      <c r="G52" s="489"/>
      <c r="H52" s="489"/>
      <c r="I52" s="489"/>
      <c r="J52" s="489"/>
      <c r="K52" s="489"/>
      <c r="L52" s="489"/>
      <c r="M52" s="489"/>
      <c r="N52" s="489">
        <v>2</v>
      </c>
      <c r="O52" s="489"/>
      <c r="P52" s="490">
        <f t="shared" si="0"/>
        <v>2</v>
      </c>
    </row>
    <row r="53" spans="1:16" ht="15.75" thickBot="1" x14ac:dyDescent="0.3">
      <c r="A53" s="35">
        <v>1000439</v>
      </c>
      <c r="B53" s="12" t="s">
        <v>193</v>
      </c>
      <c r="D53" s="38"/>
      <c r="F53" s="489"/>
      <c r="G53" s="489"/>
      <c r="H53" s="489"/>
      <c r="I53" s="489"/>
      <c r="J53" s="489"/>
      <c r="K53" s="489"/>
      <c r="L53" s="489"/>
      <c r="M53" s="489"/>
      <c r="N53" s="489">
        <v>2</v>
      </c>
      <c r="O53" s="489"/>
      <c r="P53" s="490">
        <f t="shared" si="0"/>
        <v>2</v>
      </c>
    </row>
    <row r="54" spans="1:16" ht="15.75" thickBot="1" x14ac:dyDescent="0.3">
      <c r="A54" s="35"/>
      <c r="B54" s="12"/>
      <c r="D54" s="38"/>
      <c r="F54" s="489"/>
      <c r="G54" s="489"/>
      <c r="H54" s="489"/>
      <c r="I54" s="489"/>
      <c r="J54" s="489"/>
      <c r="K54" s="489"/>
      <c r="L54" s="489"/>
      <c r="M54" s="489"/>
      <c r="N54" s="489"/>
      <c r="O54" s="489"/>
      <c r="P54" s="486">
        <f t="shared" si="0"/>
        <v>0</v>
      </c>
    </row>
    <row r="55" spans="1:16" ht="15.75" thickBot="1" x14ac:dyDescent="0.3">
      <c r="A55" s="172"/>
      <c r="B55" s="12"/>
      <c r="D55" s="38"/>
      <c r="F55" s="489"/>
      <c r="G55" s="489"/>
      <c r="H55" s="489"/>
      <c r="I55" s="489"/>
      <c r="J55" s="489"/>
      <c r="K55" s="489"/>
      <c r="L55" s="489"/>
      <c r="M55" s="489"/>
      <c r="N55" s="489"/>
      <c r="O55" s="489"/>
      <c r="P55" s="486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4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2E87-971B-4C91-A7C1-971C5F2F6B58}">
  <sheetPr>
    <tabColor rgb="FF7030A0"/>
    <pageSetUpPr fitToPage="1"/>
  </sheetPr>
  <dimension ref="A1:P56"/>
  <sheetViews>
    <sheetView zoomScale="70" zoomScaleNormal="70" workbookViewId="0">
      <selection activeCell="Q52" sqref="Q52"/>
    </sheetView>
  </sheetViews>
  <sheetFormatPr baseColWidth="10" defaultColWidth="10.875" defaultRowHeight="15" x14ac:dyDescent="0.25"/>
  <cols>
    <col min="1" max="1" width="9.75" style="27" bestFit="1" customWidth="1"/>
    <col min="2" max="2" width="35.625" style="27" bestFit="1" customWidth="1"/>
    <col min="3" max="3" width="1.12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7.25" style="27" customWidth="1"/>
    <col min="8" max="8" width="9.125" style="27" bestFit="1" customWidth="1"/>
    <col min="9" max="9" width="7.375" style="27" customWidth="1"/>
    <col min="10" max="10" width="8.5" style="27" customWidth="1"/>
    <col min="11" max="11" width="7.75" style="27" customWidth="1"/>
    <col min="12" max="12" width="10" style="27" customWidth="1"/>
    <col min="13" max="13" width="7.75" style="27" customWidth="1"/>
    <col min="14" max="14" width="8.25" style="27" customWidth="1"/>
    <col min="15" max="15" width="7.375" style="27" customWidth="1"/>
    <col min="16" max="16" width="10.625" style="27" customWidth="1"/>
    <col min="17" max="16384" width="10.875" style="27"/>
  </cols>
  <sheetData>
    <row r="1" spans="1:16" ht="15" customHeight="1" x14ac:dyDescent="0.45">
      <c r="A1" s="686" t="s">
        <v>138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21.75" customHeight="1" thickBot="1" x14ac:dyDescent="0.5">
      <c r="A2" s="688"/>
      <c r="B2" s="689"/>
      <c r="C2" s="18"/>
      <c r="D2" s="431" t="s">
        <v>362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363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0</v>
      </c>
      <c r="F5" s="28">
        <v>5</v>
      </c>
      <c r="G5" s="28"/>
      <c r="H5" s="28"/>
      <c r="I5" s="28"/>
      <c r="J5" s="28"/>
      <c r="K5" s="28"/>
      <c r="L5" s="28">
        <v>5</v>
      </c>
      <c r="M5" s="28"/>
      <c r="N5" s="28"/>
      <c r="O5" s="28"/>
      <c r="P5" s="418">
        <f t="shared" ref="P5:P56" si="0">SUM(F5:O5)</f>
        <v>10</v>
      </c>
    </row>
    <row r="6" spans="1:16" ht="15.75" thickBot="1" x14ac:dyDescent="0.3">
      <c r="A6" s="35">
        <v>1000006</v>
      </c>
      <c r="B6" s="12" t="s">
        <v>4</v>
      </c>
      <c r="C6" s="41"/>
      <c r="D6" s="47">
        <v>70</v>
      </c>
      <c r="F6" s="28">
        <v>50</v>
      </c>
      <c r="G6" s="28"/>
      <c r="H6" s="28">
        <v>50</v>
      </c>
      <c r="I6" s="28"/>
      <c r="J6" s="28">
        <v>50</v>
      </c>
      <c r="K6" s="28"/>
      <c r="L6" s="28"/>
      <c r="M6" s="28"/>
      <c r="N6" s="28"/>
      <c r="O6" s="28"/>
      <c r="P6" s="418">
        <f t="shared" si="0"/>
        <v>150</v>
      </c>
    </row>
    <row r="7" spans="1:16" ht="15.75" thickBot="1" x14ac:dyDescent="0.3">
      <c r="A7" s="35">
        <v>1000007</v>
      </c>
      <c r="B7" s="12" t="s">
        <v>5</v>
      </c>
      <c r="C7" s="41"/>
      <c r="D7" s="47">
        <v>65</v>
      </c>
      <c r="F7" s="28">
        <v>50</v>
      </c>
      <c r="G7" s="28"/>
      <c r="H7" s="28">
        <v>50</v>
      </c>
      <c r="I7" s="28"/>
      <c r="J7" s="28">
        <v>50</v>
      </c>
      <c r="K7" s="28"/>
      <c r="L7" s="28"/>
      <c r="M7" s="28"/>
      <c r="N7" s="28"/>
      <c r="O7" s="28"/>
      <c r="P7" s="418">
        <f t="shared" si="0"/>
        <v>150</v>
      </c>
    </row>
    <row r="8" spans="1:16" ht="15.75" thickBot="1" x14ac:dyDescent="0.3">
      <c r="A8" s="35">
        <v>1000008</v>
      </c>
      <c r="B8" s="12" t="s">
        <v>7</v>
      </c>
      <c r="C8" s="41"/>
      <c r="D8" s="47">
        <v>60</v>
      </c>
      <c r="F8" s="28">
        <v>50</v>
      </c>
      <c r="G8" s="28"/>
      <c r="H8" s="28"/>
      <c r="I8" s="28"/>
      <c r="J8" s="28"/>
      <c r="K8" s="28"/>
      <c r="L8" s="28"/>
      <c r="M8" s="28"/>
      <c r="N8" s="28"/>
      <c r="O8" s="28"/>
      <c r="P8" s="418">
        <f t="shared" si="0"/>
        <v>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4</v>
      </c>
      <c r="F9" s="28">
        <v>2</v>
      </c>
      <c r="G9" s="28"/>
      <c r="H9" s="28">
        <v>2</v>
      </c>
      <c r="I9" s="28"/>
      <c r="J9" s="28"/>
      <c r="K9" s="28"/>
      <c r="L9" s="28"/>
      <c r="M9" s="28"/>
      <c r="N9" s="28">
        <v>2</v>
      </c>
      <c r="O9" s="28"/>
      <c r="P9" s="418">
        <f t="shared" si="0"/>
        <v>6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0</v>
      </c>
      <c r="F11" s="28">
        <v>4</v>
      </c>
      <c r="G11" s="28"/>
      <c r="H11" s="28">
        <v>4</v>
      </c>
      <c r="I11" s="28"/>
      <c r="J11" s="28">
        <v>3</v>
      </c>
      <c r="K11" s="28"/>
      <c r="L11" s="28"/>
      <c r="M11" s="28"/>
      <c r="N11" s="28">
        <v>2</v>
      </c>
      <c r="O11" s="28"/>
      <c r="P11" s="418">
        <f t="shared" si="0"/>
        <v>13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35</v>
      </c>
      <c r="F12" s="28">
        <v>10</v>
      </c>
      <c r="G12" s="28"/>
      <c r="H12" s="28">
        <v>5</v>
      </c>
      <c r="I12" s="28"/>
      <c r="J12" s="28">
        <v>10</v>
      </c>
      <c r="K12" s="28"/>
      <c r="L12" s="28"/>
      <c r="M12" s="28"/>
      <c r="N12" s="28">
        <v>10</v>
      </c>
      <c r="O12" s="28"/>
      <c r="P12" s="418">
        <f t="shared" si="0"/>
        <v>35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>
        <v>1</v>
      </c>
      <c r="G13" s="28"/>
      <c r="H13" s="28"/>
      <c r="I13" s="28"/>
      <c r="J13" s="28"/>
      <c r="K13" s="28"/>
      <c r="L13" s="28"/>
      <c r="M13" s="28"/>
      <c r="N13" s="28"/>
      <c r="O13" s="28"/>
      <c r="P13" s="418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35</v>
      </c>
      <c r="F14" s="28">
        <v>20</v>
      </c>
      <c r="G14" s="28"/>
      <c r="H14" s="28">
        <v>20</v>
      </c>
      <c r="I14" s="28"/>
      <c r="J14" s="28">
        <v>20</v>
      </c>
      <c r="K14" s="28"/>
      <c r="L14" s="28">
        <v>20</v>
      </c>
      <c r="M14" s="28"/>
      <c r="N14" s="28">
        <v>20</v>
      </c>
      <c r="O14" s="28"/>
      <c r="P14" s="418">
        <f t="shared" si="0"/>
        <v>100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28">
        <v>5</v>
      </c>
      <c r="G15" s="28"/>
      <c r="H15" s="28"/>
      <c r="I15" s="28"/>
      <c r="J15" s="28"/>
      <c r="K15" s="28"/>
      <c r="L15" s="28"/>
      <c r="M15" s="28"/>
      <c r="N15" s="28"/>
      <c r="O15" s="28"/>
      <c r="P15" s="418">
        <f t="shared" si="0"/>
        <v>5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3</v>
      </c>
      <c r="F16" s="28">
        <v>5</v>
      </c>
      <c r="G16" s="28"/>
      <c r="H16" s="28">
        <v>5</v>
      </c>
      <c r="I16" s="28"/>
      <c r="J16" s="28">
        <v>5</v>
      </c>
      <c r="K16" s="28"/>
      <c r="L16" s="28">
        <v>5</v>
      </c>
      <c r="M16" s="28"/>
      <c r="N16" s="28">
        <v>5</v>
      </c>
      <c r="O16" s="28"/>
      <c r="P16" s="418">
        <f t="shared" si="0"/>
        <v>25</v>
      </c>
    </row>
    <row r="17" spans="1:16" ht="15.75" thickBot="1" x14ac:dyDescent="0.3">
      <c r="A17" s="35">
        <v>1000009</v>
      </c>
      <c r="B17" s="12" t="s">
        <v>19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1000049</v>
      </c>
      <c r="B18" s="14" t="s">
        <v>21</v>
      </c>
      <c r="C18" s="41"/>
      <c r="D18" s="47">
        <v>1</v>
      </c>
      <c r="F18" s="28"/>
      <c r="G18" s="28"/>
      <c r="H18" s="28"/>
      <c r="I18" s="28"/>
      <c r="J18" s="28"/>
      <c r="K18" s="28"/>
      <c r="L18" s="28">
        <v>3</v>
      </c>
      <c r="M18" s="28"/>
      <c r="N18" s="28"/>
      <c r="O18" s="28"/>
      <c r="P18" s="418">
        <f t="shared" si="0"/>
        <v>3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8"/>
      <c r="G19" s="28"/>
      <c r="H19" s="28"/>
      <c r="I19" s="28"/>
      <c r="J19" s="28"/>
      <c r="K19" s="28"/>
      <c r="L19" s="28">
        <v>2</v>
      </c>
      <c r="M19" s="28"/>
      <c r="N19" s="28"/>
      <c r="O19" s="28"/>
      <c r="P19" s="418">
        <f t="shared" si="0"/>
        <v>2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1000032</v>
      </c>
      <c r="B21" s="12" t="s">
        <v>26</v>
      </c>
      <c r="C21" s="41"/>
      <c r="D21" s="47">
        <v>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1000027</v>
      </c>
      <c r="B22" s="12" t="s">
        <v>33</v>
      </c>
      <c r="C22" s="41"/>
      <c r="D22" s="47">
        <v>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1000100</v>
      </c>
      <c r="B23" s="12" t="s">
        <v>34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1000101</v>
      </c>
      <c r="B24" s="12" t="s">
        <v>35</v>
      </c>
      <c r="C24" s="41"/>
      <c r="D24" s="47">
        <v>0</v>
      </c>
      <c r="F24" s="28"/>
      <c r="G24" s="28"/>
      <c r="H24" s="28"/>
      <c r="I24" s="28"/>
      <c r="J24" s="28"/>
      <c r="K24" s="28"/>
      <c r="L24" s="28">
        <v>1</v>
      </c>
      <c r="M24" s="28"/>
      <c r="N24" s="28"/>
      <c r="O24" s="28"/>
      <c r="P24" s="418">
        <f t="shared" si="0"/>
        <v>1</v>
      </c>
    </row>
    <row r="25" spans="1:16" ht="15.75" thickBot="1" x14ac:dyDescent="0.3">
      <c r="A25" s="35">
        <v>1000146</v>
      </c>
      <c r="B25" s="12" t="s">
        <v>39</v>
      </c>
      <c r="C25" s="41"/>
      <c r="D25" s="47">
        <v>10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10248</v>
      </c>
      <c r="B26" s="12" t="s">
        <v>183</v>
      </c>
      <c r="C26" s="41"/>
      <c r="D26" s="47">
        <v>0</v>
      </c>
      <c r="F26" s="28">
        <v>15</v>
      </c>
      <c r="G26" s="28"/>
      <c r="H26" s="28"/>
      <c r="I26" s="28"/>
      <c r="J26" s="28">
        <v>12</v>
      </c>
      <c r="K26" s="28"/>
      <c r="L26" s="28">
        <v>12</v>
      </c>
      <c r="M26" s="28"/>
      <c r="N26" s="28">
        <v>9</v>
      </c>
      <c r="O26" s="28"/>
      <c r="P26" s="418">
        <f t="shared" si="0"/>
        <v>48</v>
      </c>
    </row>
    <row r="27" spans="1:16" ht="15.75" thickBot="1" x14ac:dyDescent="0.3">
      <c r="A27" s="35">
        <v>1000090</v>
      </c>
      <c r="B27" s="12" t="s">
        <v>40</v>
      </c>
      <c r="C27" s="41"/>
      <c r="D27" s="47">
        <v>4</v>
      </c>
      <c r="F27" s="28"/>
      <c r="G27" s="28"/>
      <c r="H27" s="28"/>
      <c r="I27" s="28"/>
      <c r="J27" s="28"/>
      <c r="K27" s="28"/>
      <c r="L27" s="28"/>
      <c r="M27" s="28"/>
      <c r="N27" s="28">
        <v>5</v>
      </c>
      <c r="O27" s="28"/>
      <c r="P27" s="418">
        <f t="shared" si="0"/>
        <v>5</v>
      </c>
    </row>
    <row r="28" spans="1:16" ht="15.75" thickBot="1" x14ac:dyDescent="0.3">
      <c r="A28" s="35">
        <v>1000052</v>
      </c>
      <c r="B28" s="12" t="s">
        <v>41</v>
      </c>
      <c r="C28" s="41"/>
      <c r="D28" s="47">
        <v>4</v>
      </c>
      <c r="F28" s="28"/>
      <c r="G28" s="28"/>
      <c r="H28" s="28"/>
      <c r="I28" s="28"/>
      <c r="J28" s="28"/>
      <c r="K28" s="28"/>
      <c r="L28" s="28">
        <v>2</v>
      </c>
      <c r="M28" s="28"/>
      <c r="N28" s="28"/>
      <c r="O28" s="28"/>
      <c r="P28" s="418">
        <f t="shared" si="0"/>
        <v>2</v>
      </c>
    </row>
    <row r="29" spans="1:16" ht="15.75" thickBot="1" x14ac:dyDescent="0.3">
      <c r="A29" s="35">
        <v>1000089</v>
      </c>
      <c r="B29" s="12" t="s">
        <v>42</v>
      </c>
      <c r="C29" s="41"/>
      <c r="D29" s="47">
        <v>4</v>
      </c>
      <c r="F29" s="28">
        <v>3</v>
      </c>
      <c r="G29" s="28"/>
      <c r="H29" s="28"/>
      <c r="I29" s="28"/>
      <c r="J29" s="28"/>
      <c r="K29" s="28"/>
      <c r="L29" s="28">
        <v>2</v>
      </c>
      <c r="M29" s="28"/>
      <c r="N29" s="28"/>
      <c r="O29" s="28"/>
      <c r="P29" s="418">
        <f t="shared" si="0"/>
        <v>5</v>
      </c>
    </row>
    <row r="30" spans="1:16" ht="15.75" thickBot="1" x14ac:dyDescent="0.3">
      <c r="A30" s="35">
        <v>1000051</v>
      </c>
      <c r="B30" s="12" t="s">
        <v>43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1000048</v>
      </c>
      <c r="B31" s="12" t="s">
        <v>45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1000142</v>
      </c>
      <c r="B32" s="12" t="s">
        <v>54</v>
      </c>
      <c r="C32" s="41"/>
      <c r="D32" s="47">
        <v>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1000147</v>
      </c>
      <c r="B33" s="12" t="s">
        <v>52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1000033</v>
      </c>
      <c r="B34" s="12" t="s">
        <v>27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s="15" customFormat="1" ht="15.95" customHeight="1" thickBot="1" x14ac:dyDescent="0.3">
      <c r="A35" s="35">
        <v>1000449</v>
      </c>
      <c r="B35" s="12" t="s">
        <v>202</v>
      </c>
      <c r="C35" s="41"/>
      <c r="D35" s="47"/>
      <c r="E35" s="27"/>
      <c r="F35" s="28"/>
      <c r="G35" s="28"/>
      <c r="H35" s="28"/>
      <c r="I35" s="28"/>
      <c r="J35" s="28"/>
      <c r="K35" s="28"/>
      <c r="L35" s="28"/>
      <c r="M35" s="28"/>
      <c r="N35" s="28">
        <v>2</v>
      </c>
      <c r="O35" s="28"/>
      <c r="P35" s="418">
        <f t="shared" si="0"/>
        <v>2</v>
      </c>
    </row>
    <row r="36" spans="1:16" ht="15.75" thickBot="1" x14ac:dyDescent="0.3">
      <c r="A36" s="35">
        <v>1000075</v>
      </c>
      <c r="B36" s="12" t="s">
        <v>47</v>
      </c>
      <c r="C36" s="41"/>
      <c r="D36" s="47"/>
      <c r="F36" s="28"/>
      <c r="G36" s="28"/>
      <c r="H36" s="28"/>
      <c r="I36" s="28"/>
      <c r="J36" s="28"/>
      <c r="K36" s="28"/>
      <c r="L36" s="28">
        <v>1</v>
      </c>
      <c r="M36" s="28"/>
      <c r="N36" s="28"/>
      <c r="O36" s="28"/>
      <c r="P36" s="418">
        <f t="shared" si="0"/>
        <v>1</v>
      </c>
    </row>
    <row r="37" spans="1:16" ht="15.75" thickBot="1" x14ac:dyDescent="0.3">
      <c r="A37" s="35">
        <v>1000067</v>
      </c>
      <c r="B37" s="12" t="s">
        <v>11</v>
      </c>
      <c r="C37" s="41"/>
      <c r="D37" s="47"/>
      <c r="F37" s="28"/>
      <c r="G37" s="28"/>
      <c r="H37" s="28">
        <v>1</v>
      </c>
      <c r="I37" s="28"/>
      <c r="J37" s="28"/>
      <c r="K37" s="28"/>
      <c r="L37" s="28"/>
      <c r="M37" s="28"/>
      <c r="N37" s="28"/>
      <c r="O37" s="28"/>
      <c r="P37" s="418">
        <f t="shared" si="0"/>
        <v>1</v>
      </c>
    </row>
    <row r="38" spans="1:16" ht="15.75" thickBot="1" x14ac:dyDescent="0.3">
      <c r="A38" s="35">
        <v>1000073</v>
      </c>
      <c r="B38" s="12" t="s">
        <v>36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1000010</v>
      </c>
      <c r="B39" s="12" t="s">
        <v>17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1000034</v>
      </c>
      <c r="B40" s="12" t="s">
        <v>28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1000084</v>
      </c>
      <c r="B41" s="12" t="s">
        <v>38</v>
      </c>
      <c r="C41" s="41"/>
      <c r="D41" s="47"/>
      <c r="F41" s="28">
        <v>12</v>
      </c>
      <c r="G41" s="28"/>
      <c r="H41" s="28">
        <v>16</v>
      </c>
      <c r="I41" s="28"/>
      <c r="J41" s="28">
        <v>16</v>
      </c>
      <c r="K41" s="28"/>
      <c r="L41" s="28"/>
      <c r="M41" s="28"/>
      <c r="N41" s="28">
        <v>8</v>
      </c>
      <c r="O41" s="28"/>
      <c r="P41" s="418">
        <f t="shared" si="0"/>
        <v>52</v>
      </c>
    </row>
    <row r="42" spans="1:16" ht="15.75" thickBot="1" x14ac:dyDescent="0.3">
      <c r="A42" s="35">
        <v>1000025</v>
      </c>
      <c r="B42" s="12" t="s">
        <v>32</v>
      </c>
      <c r="C42" s="41"/>
      <c r="D42" s="47"/>
      <c r="F42" s="28">
        <v>5</v>
      </c>
      <c r="G42" s="28"/>
      <c r="H42" s="28"/>
      <c r="I42" s="28"/>
      <c r="J42" s="28"/>
      <c r="K42" s="28"/>
      <c r="L42" s="28"/>
      <c r="M42" s="28"/>
      <c r="N42" s="28"/>
      <c r="O42" s="28"/>
      <c r="P42" s="418">
        <f t="shared" si="0"/>
        <v>5</v>
      </c>
    </row>
    <row r="43" spans="1:16" ht="15.75" thickBot="1" x14ac:dyDescent="0.3">
      <c r="A43" s="35">
        <v>1000439</v>
      </c>
      <c r="B43" s="12" t="s">
        <v>193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>
        <v>2</v>
      </c>
      <c r="O43" s="28"/>
      <c r="P43" s="418">
        <f t="shared" si="0"/>
        <v>2</v>
      </c>
    </row>
    <row r="44" spans="1:16" ht="15.75" thickBot="1" x14ac:dyDescent="0.3">
      <c r="A44" s="35">
        <v>10000102</v>
      </c>
      <c r="B44" s="12" t="s">
        <v>2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1000031</v>
      </c>
      <c r="B45" s="12" t="s">
        <v>25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1000472</v>
      </c>
      <c r="B46" s="12" t="s">
        <v>222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1000029</v>
      </c>
      <c r="B47" s="12" t="s">
        <v>30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>
        <v>1</v>
      </c>
      <c r="O47" s="28"/>
      <c r="P47" s="418">
        <f t="shared" si="0"/>
        <v>1</v>
      </c>
    </row>
    <row r="48" spans="1:16" ht="15.75" thickBot="1" x14ac:dyDescent="0.3">
      <c r="A48" s="35">
        <v>10249</v>
      </c>
      <c r="B48" s="12" t="s">
        <v>181</v>
      </c>
      <c r="C48" s="41"/>
      <c r="D48" s="47"/>
      <c r="F48" s="28">
        <v>16</v>
      </c>
      <c r="G48" s="28"/>
      <c r="H48" s="28">
        <v>32</v>
      </c>
      <c r="I48" s="28"/>
      <c r="J48" s="28">
        <v>32</v>
      </c>
      <c r="K48" s="28"/>
      <c r="L48" s="28"/>
      <c r="M48" s="28"/>
      <c r="N48" s="28">
        <v>16</v>
      </c>
      <c r="O48" s="28"/>
      <c r="P48" s="418">
        <f t="shared" si="0"/>
        <v>96</v>
      </c>
    </row>
    <row r="49" spans="1:16" ht="15.75" thickBot="1" x14ac:dyDescent="0.3">
      <c r="A49" s="35">
        <v>1000080</v>
      </c>
      <c r="B49" s="12" t="s">
        <v>275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1000436</v>
      </c>
      <c r="B50" s="12" t="s">
        <v>276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1000550</v>
      </c>
      <c r="B51" s="12" t="s">
        <v>277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1000551</v>
      </c>
      <c r="B52" s="12" t="s">
        <v>278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s="200" customFormat="1" ht="15.75" thickBot="1" x14ac:dyDescent="0.3">
      <c r="A53" s="38">
        <v>1000552</v>
      </c>
      <c r="B53" s="17" t="s">
        <v>279</v>
      </c>
      <c r="C53" s="41"/>
      <c r="D53" s="46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499">
        <v>1000214</v>
      </c>
      <c r="B54" s="13" t="s">
        <v>49</v>
      </c>
      <c r="D54" s="4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1000439</v>
      </c>
      <c r="B55" s="12" t="s">
        <v>193</v>
      </c>
      <c r="D55" s="46"/>
      <c r="F55" s="28"/>
      <c r="G55" s="28"/>
      <c r="H55" s="28"/>
      <c r="I55" s="28"/>
      <c r="J55" s="28"/>
      <c r="K55" s="28"/>
      <c r="L55" s="28"/>
      <c r="M55" s="28"/>
      <c r="N55" s="28">
        <v>1</v>
      </c>
      <c r="O55" s="28"/>
      <c r="P55" s="418">
        <f t="shared" si="0"/>
        <v>1</v>
      </c>
    </row>
    <row r="56" spans="1:16" ht="15.75" thickBot="1" x14ac:dyDescent="0.3">
      <c r="A56" s="35"/>
      <c r="B56" s="22"/>
      <c r="D56" s="4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</sheetData>
  <mergeCells count="2">
    <mergeCell ref="A1:B2"/>
    <mergeCell ref="F1:J2"/>
  </mergeCells>
  <phoneticPr fontId="108" type="noConversion"/>
  <pageMargins left="0.23622047244094491" right="0.23622047244094491" top="0.74803149606299213" bottom="0.74803149606299213" header="0.31496062992125984" footer="0.31496062992125984"/>
  <pageSetup paperSize="9" scale="6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60A9-3E66-4754-83C7-6E688069776C}">
  <sheetPr>
    <tabColor rgb="FF7030A0"/>
    <pageSetUpPr fitToPage="1"/>
  </sheetPr>
  <dimension ref="A1:P63"/>
  <sheetViews>
    <sheetView topLeftCell="A21" zoomScale="70" zoomScaleNormal="70" workbookViewId="0">
      <selection activeCell="R56" sqref="R56"/>
    </sheetView>
  </sheetViews>
  <sheetFormatPr baseColWidth="10" defaultColWidth="10.875" defaultRowHeight="15" x14ac:dyDescent="0.25"/>
  <cols>
    <col min="1" max="1" width="10.375" style="90" customWidth="1"/>
    <col min="2" max="2" width="39.375" style="90" customWidth="1"/>
    <col min="3" max="3" width="1.375" style="90" customWidth="1"/>
    <col min="4" max="4" width="8.125" style="90" bestFit="1" customWidth="1"/>
    <col min="5" max="5" width="1.625" style="90" customWidth="1"/>
    <col min="6" max="6" width="11.5" style="90" bestFit="1" customWidth="1"/>
    <col min="7" max="7" width="6.875" style="90" customWidth="1"/>
    <col min="8" max="8" width="11.5" style="90" bestFit="1" customWidth="1"/>
    <col min="9" max="9" width="6.5" style="90" customWidth="1"/>
    <col min="10" max="10" width="11.5" style="90" bestFit="1" customWidth="1"/>
    <col min="11" max="11" width="6.625" style="90" customWidth="1"/>
    <col min="12" max="12" width="11.5" style="90" bestFit="1" customWidth="1"/>
    <col min="13" max="13" width="5.75" style="90" customWidth="1"/>
    <col min="14" max="14" width="11.5" style="90" bestFit="1" customWidth="1"/>
    <col min="15" max="15" width="6.5" style="90" customWidth="1"/>
    <col min="16" max="16" width="10.75" style="90" customWidth="1"/>
    <col min="17" max="16384" width="10.875" style="90"/>
  </cols>
  <sheetData>
    <row r="1" spans="1:16" ht="15" customHeight="1" x14ac:dyDescent="0.45">
      <c r="A1" s="686" t="s">
        <v>191</v>
      </c>
      <c r="B1" s="687"/>
      <c r="F1" s="751" t="s">
        <v>474</v>
      </c>
      <c r="G1" s="752"/>
      <c r="H1" s="752"/>
      <c r="I1" s="752"/>
      <c r="J1" s="753"/>
      <c r="K1" s="91"/>
      <c r="L1"/>
      <c r="M1"/>
    </row>
    <row r="2" spans="1:16" s="63" customFormat="1" ht="22.5" customHeight="1" thickBot="1" x14ac:dyDescent="0.5">
      <c r="A2" s="688"/>
      <c r="B2" s="689"/>
      <c r="C2" s="92"/>
      <c r="D2" s="438" t="s">
        <v>362</v>
      </c>
      <c r="F2" s="754"/>
      <c r="G2" s="755"/>
      <c r="H2" s="755"/>
      <c r="I2" s="755"/>
      <c r="J2" s="756"/>
      <c r="K2" s="91"/>
      <c r="L2"/>
      <c r="M2"/>
    </row>
    <row r="3" spans="1:16" s="63" customFormat="1" ht="24" customHeight="1" thickBot="1" x14ac:dyDescent="0.3">
      <c r="A3" s="89"/>
      <c r="B3" s="89" t="s">
        <v>439</v>
      </c>
      <c r="C3" s="92"/>
    </row>
    <row r="4" spans="1:16" s="63" customFormat="1" ht="17.25" customHeight="1" thickBot="1" x14ac:dyDescent="0.3">
      <c r="A4" s="93" t="s">
        <v>0</v>
      </c>
      <c r="B4" s="93" t="s">
        <v>105</v>
      </c>
      <c r="C4" s="92"/>
      <c r="D4" s="94" t="s">
        <v>106</v>
      </c>
      <c r="E4" s="95"/>
      <c r="F4" s="561" t="s">
        <v>308</v>
      </c>
      <c r="G4" s="562" t="s">
        <v>325</v>
      </c>
      <c r="H4" s="561" t="s">
        <v>310</v>
      </c>
      <c r="I4" s="562" t="s">
        <v>325</v>
      </c>
      <c r="J4" s="561" t="s">
        <v>311</v>
      </c>
      <c r="K4" s="562" t="s">
        <v>325</v>
      </c>
      <c r="L4" s="561" t="s">
        <v>312</v>
      </c>
      <c r="M4" s="562" t="s">
        <v>325</v>
      </c>
      <c r="N4" s="561" t="s">
        <v>313</v>
      </c>
      <c r="O4" s="562" t="s">
        <v>325</v>
      </c>
      <c r="P4" s="94" t="s">
        <v>98</v>
      </c>
    </row>
    <row r="5" spans="1:16" ht="15.75" thickBot="1" x14ac:dyDescent="0.3">
      <c r="A5" s="96">
        <v>10000015</v>
      </c>
      <c r="B5" s="97" t="s">
        <v>1</v>
      </c>
      <c r="D5" s="98"/>
      <c r="F5" s="609"/>
      <c r="G5" s="609"/>
      <c r="H5" s="609"/>
      <c r="I5" s="609"/>
      <c r="J5" s="609"/>
      <c r="K5" s="609"/>
      <c r="L5" s="609">
        <v>5</v>
      </c>
      <c r="M5" s="609"/>
      <c r="N5" s="609">
        <v>5</v>
      </c>
      <c r="O5" s="609"/>
      <c r="P5" s="563">
        <f t="shared" ref="P5:P62" si="0">SUM(F5:O5)</f>
        <v>10</v>
      </c>
    </row>
    <row r="6" spans="1:16" ht="15.75" thickBot="1" x14ac:dyDescent="0.3">
      <c r="A6" s="99">
        <v>10000102</v>
      </c>
      <c r="B6" s="100" t="s">
        <v>2</v>
      </c>
      <c r="D6" s="101"/>
      <c r="F6" s="609"/>
      <c r="G6" s="609"/>
      <c r="H6" s="609"/>
      <c r="I6" s="609"/>
      <c r="J6" s="609"/>
      <c r="K6" s="609"/>
      <c r="L6" s="609"/>
      <c r="M6" s="609"/>
      <c r="N6" s="609"/>
      <c r="O6" s="609"/>
      <c r="P6" s="564">
        <f t="shared" si="0"/>
        <v>0</v>
      </c>
    </row>
    <row r="7" spans="1:16" ht="15.75" thickBot="1" x14ac:dyDescent="0.3">
      <c r="A7" s="99">
        <v>1000006</v>
      </c>
      <c r="B7" s="100" t="s">
        <v>4</v>
      </c>
      <c r="D7" s="101"/>
      <c r="F7" s="609">
        <v>100</v>
      </c>
      <c r="G7" s="609"/>
      <c r="H7" s="609">
        <v>100</v>
      </c>
      <c r="I7" s="609"/>
      <c r="J7" s="609"/>
      <c r="K7" s="609"/>
      <c r="L7" s="609"/>
      <c r="M7" s="609"/>
      <c r="N7" s="609"/>
      <c r="O7" s="609"/>
      <c r="P7" s="563">
        <f t="shared" si="0"/>
        <v>200</v>
      </c>
    </row>
    <row r="8" spans="1:16" ht="15.75" thickBot="1" x14ac:dyDescent="0.3">
      <c r="A8" s="99">
        <v>1000007</v>
      </c>
      <c r="B8" s="100" t="s">
        <v>5</v>
      </c>
      <c r="D8" s="101"/>
      <c r="F8" s="609">
        <v>100</v>
      </c>
      <c r="G8" s="609"/>
      <c r="H8" s="609">
        <v>100</v>
      </c>
      <c r="I8" s="609"/>
      <c r="J8" s="609">
        <v>100</v>
      </c>
      <c r="K8" s="609"/>
      <c r="L8" s="609">
        <v>100</v>
      </c>
      <c r="M8" s="609"/>
      <c r="N8" s="609">
        <v>100</v>
      </c>
      <c r="O8" s="609"/>
      <c r="P8" s="563">
        <f t="shared" si="0"/>
        <v>500</v>
      </c>
    </row>
    <row r="9" spans="1:16" ht="15.75" thickBot="1" x14ac:dyDescent="0.3">
      <c r="A9" s="102">
        <v>1000001</v>
      </c>
      <c r="B9" s="100" t="s">
        <v>8</v>
      </c>
      <c r="D9" s="101"/>
      <c r="F9" s="609">
        <v>6</v>
      </c>
      <c r="G9" s="609"/>
      <c r="H9" s="609">
        <v>6</v>
      </c>
      <c r="I9" s="609"/>
      <c r="J9" s="609">
        <v>4</v>
      </c>
      <c r="K9" s="609"/>
      <c r="L9" s="609"/>
      <c r="M9" s="609"/>
      <c r="N9" s="609">
        <v>3</v>
      </c>
      <c r="O9" s="609"/>
      <c r="P9" s="563">
        <f t="shared" si="0"/>
        <v>19</v>
      </c>
    </row>
    <row r="10" spans="1:16" ht="15.75" thickBot="1" x14ac:dyDescent="0.3">
      <c r="A10" s="102">
        <v>1000002</v>
      </c>
      <c r="B10" s="100" t="s">
        <v>9</v>
      </c>
      <c r="D10" s="101"/>
      <c r="F10" s="609"/>
      <c r="G10" s="609"/>
      <c r="H10" s="609"/>
      <c r="I10" s="609"/>
      <c r="J10" s="609"/>
      <c r="K10" s="609"/>
      <c r="L10" s="609"/>
      <c r="M10" s="609"/>
      <c r="N10" s="609"/>
      <c r="O10" s="609"/>
      <c r="P10" s="564">
        <f t="shared" si="0"/>
        <v>0</v>
      </c>
    </row>
    <row r="11" spans="1:16" ht="15.75" thickBot="1" x14ac:dyDescent="0.3">
      <c r="A11" s="102">
        <v>1000004</v>
      </c>
      <c r="B11" s="100" t="s">
        <v>10</v>
      </c>
      <c r="D11" s="101"/>
      <c r="F11" s="609">
        <v>2</v>
      </c>
      <c r="G11" s="609"/>
      <c r="H11" s="609">
        <v>2</v>
      </c>
      <c r="I11" s="609"/>
      <c r="J11" s="609">
        <v>2</v>
      </c>
      <c r="K11" s="609"/>
      <c r="L11" s="609"/>
      <c r="M11" s="609"/>
      <c r="N11" s="609">
        <v>2</v>
      </c>
      <c r="O11" s="609"/>
      <c r="P11" s="563">
        <f t="shared" si="0"/>
        <v>8</v>
      </c>
    </row>
    <row r="12" spans="1:16" ht="15.75" thickBot="1" x14ac:dyDescent="0.3">
      <c r="A12" s="102">
        <v>1000067</v>
      </c>
      <c r="B12" s="100" t="s">
        <v>11</v>
      </c>
      <c r="D12" s="101"/>
      <c r="F12" s="609">
        <v>2</v>
      </c>
      <c r="G12" s="609"/>
      <c r="H12" s="609">
        <v>4</v>
      </c>
      <c r="I12" s="609"/>
      <c r="J12" s="609">
        <v>1</v>
      </c>
      <c r="K12" s="609"/>
      <c r="L12" s="609">
        <v>2</v>
      </c>
      <c r="M12" s="609"/>
      <c r="N12" s="609">
        <v>1</v>
      </c>
      <c r="O12" s="609"/>
      <c r="P12" s="563">
        <f t="shared" si="0"/>
        <v>10</v>
      </c>
    </row>
    <row r="13" spans="1:16" ht="15.75" thickBot="1" x14ac:dyDescent="0.3">
      <c r="A13" s="102">
        <v>1000054</v>
      </c>
      <c r="B13" s="100" t="s">
        <v>12</v>
      </c>
      <c r="D13" s="101"/>
      <c r="F13" s="609">
        <v>5</v>
      </c>
      <c r="G13" s="609"/>
      <c r="H13" s="609">
        <v>5</v>
      </c>
      <c r="I13" s="609"/>
      <c r="J13" s="609">
        <v>10</v>
      </c>
      <c r="K13" s="609"/>
      <c r="L13" s="609">
        <v>10</v>
      </c>
      <c r="M13" s="609"/>
      <c r="N13" s="609">
        <v>10</v>
      </c>
      <c r="O13" s="609"/>
      <c r="P13" s="563">
        <f t="shared" si="0"/>
        <v>40</v>
      </c>
    </row>
    <row r="14" spans="1:16" ht="15.75" thickBot="1" x14ac:dyDescent="0.3">
      <c r="A14" s="102">
        <v>1000017</v>
      </c>
      <c r="B14" s="100" t="s">
        <v>14</v>
      </c>
      <c r="D14" s="101"/>
      <c r="F14" s="609">
        <v>5</v>
      </c>
      <c r="G14" s="609"/>
      <c r="H14" s="609">
        <v>15</v>
      </c>
      <c r="I14" s="609"/>
      <c r="J14" s="609">
        <v>15</v>
      </c>
      <c r="K14" s="609"/>
      <c r="L14" s="609">
        <v>15</v>
      </c>
      <c r="M14" s="609"/>
      <c r="N14" s="609">
        <v>15</v>
      </c>
      <c r="O14" s="609"/>
      <c r="P14" s="563">
        <f t="shared" si="0"/>
        <v>65</v>
      </c>
    </row>
    <row r="15" spans="1:16" ht="15.75" thickBot="1" x14ac:dyDescent="0.3">
      <c r="A15" s="102">
        <v>1000016</v>
      </c>
      <c r="B15" s="100" t="s">
        <v>15</v>
      </c>
      <c r="D15" s="101"/>
      <c r="F15" s="609"/>
      <c r="G15" s="609"/>
      <c r="H15" s="609"/>
      <c r="I15" s="609"/>
      <c r="J15" s="609"/>
      <c r="K15" s="609"/>
      <c r="L15" s="609"/>
      <c r="M15" s="609"/>
      <c r="N15" s="609"/>
      <c r="O15" s="609"/>
      <c r="P15" s="564">
        <f t="shared" si="0"/>
        <v>0</v>
      </c>
    </row>
    <row r="16" spans="1:16" ht="15.75" thickBot="1" x14ac:dyDescent="0.3">
      <c r="A16" s="102">
        <v>1000041</v>
      </c>
      <c r="B16" s="103" t="s">
        <v>16</v>
      </c>
      <c r="D16" s="101"/>
      <c r="F16" s="609"/>
      <c r="G16" s="609"/>
      <c r="H16" s="609"/>
      <c r="I16" s="609"/>
      <c r="J16" s="609"/>
      <c r="K16" s="609"/>
      <c r="L16" s="609"/>
      <c r="M16" s="609"/>
      <c r="N16" s="609"/>
      <c r="O16" s="609"/>
      <c r="P16" s="564">
        <f t="shared" si="0"/>
        <v>0</v>
      </c>
    </row>
    <row r="17" spans="1:16" ht="15.75" thickBot="1" x14ac:dyDescent="0.3">
      <c r="A17" s="102">
        <v>1000049</v>
      </c>
      <c r="B17" s="100" t="s">
        <v>21</v>
      </c>
      <c r="D17" s="101"/>
      <c r="F17" s="609">
        <v>4</v>
      </c>
      <c r="G17" s="609"/>
      <c r="H17" s="609"/>
      <c r="I17" s="609"/>
      <c r="J17" s="609"/>
      <c r="K17" s="609"/>
      <c r="L17" s="609">
        <v>4</v>
      </c>
      <c r="M17" s="609"/>
      <c r="N17" s="609">
        <v>1</v>
      </c>
      <c r="O17" s="609"/>
      <c r="P17" s="563">
        <f t="shared" si="0"/>
        <v>9</v>
      </c>
    </row>
    <row r="18" spans="1:16" ht="15.75" thickBot="1" x14ac:dyDescent="0.3">
      <c r="A18" s="102">
        <v>1000050</v>
      </c>
      <c r="B18" s="104" t="s">
        <v>22</v>
      </c>
      <c r="D18" s="101"/>
      <c r="F18" s="609"/>
      <c r="G18" s="609"/>
      <c r="H18" s="609"/>
      <c r="I18" s="609"/>
      <c r="J18" s="609"/>
      <c r="K18" s="609"/>
      <c r="L18" s="609">
        <v>4</v>
      </c>
      <c r="M18" s="609"/>
      <c r="N18" s="609">
        <v>1</v>
      </c>
      <c r="O18" s="609"/>
      <c r="P18" s="563">
        <f t="shared" si="0"/>
        <v>5</v>
      </c>
    </row>
    <row r="19" spans="1:16" ht="15.75" thickBot="1" x14ac:dyDescent="0.3">
      <c r="A19" s="102">
        <v>1000045</v>
      </c>
      <c r="B19" s="100" t="s">
        <v>23</v>
      </c>
      <c r="D19" s="101"/>
      <c r="F19" s="609"/>
      <c r="G19" s="609"/>
      <c r="H19" s="609"/>
      <c r="I19" s="609"/>
      <c r="J19" s="609"/>
      <c r="K19" s="609"/>
      <c r="L19" s="609"/>
      <c r="M19" s="609"/>
      <c r="N19" s="609"/>
      <c r="O19" s="609"/>
      <c r="P19" s="564">
        <f t="shared" si="0"/>
        <v>0</v>
      </c>
    </row>
    <row r="20" spans="1:16" ht="15.75" thickBot="1" x14ac:dyDescent="0.3">
      <c r="A20" s="102">
        <v>1000031</v>
      </c>
      <c r="B20" s="100" t="s">
        <v>25</v>
      </c>
      <c r="D20" s="101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564">
        <f t="shared" si="0"/>
        <v>0</v>
      </c>
    </row>
    <row r="21" spans="1:16" ht="15.75" thickBot="1" x14ac:dyDescent="0.3">
      <c r="A21" s="102">
        <v>1000025</v>
      </c>
      <c r="B21" s="100" t="s">
        <v>32</v>
      </c>
      <c r="D21" s="101"/>
      <c r="F21" s="609">
        <v>5</v>
      </c>
      <c r="G21" s="609"/>
      <c r="H21" s="609"/>
      <c r="I21" s="609"/>
      <c r="J21" s="609"/>
      <c r="K21" s="609"/>
      <c r="L21" s="609"/>
      <c r="M21" s="609"/>
      <c r="N21" s="609">
        <v>5</v>
      </c>
      <c r="O21" s="609"/>
      <c r="P21" s="563">
        <f t="shared" si="0"/>
        <v>10</v>
      </c>
    </row>
    <row r="22" spans="1:16" ht="15.75" thickBot="1" x14ac:dyDescent="0.3">
      <c r="A22" s="102">
        <v>1000027</v>
      </c>
      <c r="B22" s="100" t="s">
        <v>33</v>
      </c>
      <c r="D22" s="101"/>
      <c r="F22" s="609"/>
      <c r="G22" s="609"/>
      <c r="H22" s="609"/>
      <c r="I22" s="609"/>
      <c r="J22" s="609"/>
      <c r="K22" s="609"/>
      <c r="L22" s="609"/>
      <c r="M22" s="609"/>
      <c r="N22" s="609"/>
      <c r="O22" s="609"/>
      <c r="P22" s="564">
        <f t="shared" si="0"/>
        <v>0</v>
      </c>
    </row>
    <row r="23" spans="1:16" ht="15.75" thickBot="1" x14ac:dyDescent="0.3">
      <c r="A23" s="102">
        <v>1000100</v>
      </c>
      <c r="B23" s="100" t="s">
        <v>34</v>
      </c>
      <c r="D23" s="101"/>
      <c r="F23" s="609"/>
      <c r="G23" s="609"/>
      <c r="H23" s="609"/>
      <c r="I23" s="609"/>
      <c r="J23" s="609"/>
      <c r="K23" s="609"/>
      <c r="L23" s="609"/>
      <c r="M23" s="609"/>
      <c r="N23" s="609"/>
      <c r="O23" s="609"/>
      <c r="P23" s="564">
        <f>SUM(F23:O23)</f>
        <v>0</v>
      </c>
    </row>
    <row r="24" spans="1:16" ht="15.75" thickBot="1" x14ac:dyDescent="0.3">
      <c r="A24" s="102">
        <v>1000073</v>
      </c>
      <c r="B24" s="100" t="s">
        <v>36</v>
      </c>
      <c r="D24" s="101"/>
      <c r="F24" s="609"/>
      <c r="G24" s="609"/>
      <c r="H24" s="609"/>
      <c r="I24" s="609"/>
      <c r="J24" s="609"/>
      <c r="K24" s="609"/>
      <c r="L24" s="609"/>
      <c r="M24" s="609"/>
      <c r="N24" s="609"/>
      <c r="O24" s="609"/>
      <c r="P24" s="564">
        <f>SUM(F24:O24)</f>
        <v>0</v>
      </c>
    </row>
    <row r="25" spans="1:16" ht="15.75" thickBot="1" x14ac:dyDescent="0.3">
      <c r="A25" s="102">
        <v>1000146</v>
      </c>
      <c r="B25" s="100" t="s">
        <v>39</v>
      </c>
      <c r="D25" s="101"/>
      <c r="F25" s="609">
        <v>20</v>
      </c>
      <c r="G25" s="609"/>
      <c r="H25" s="609">
        <v>10</v>
      </c>
      <c r="I25" s="609"/>
      <c r="J25" s="609"/>
      <c r="K25" s="609"/>
      <c r="L25" s="609"/>
      <c r="M25" s="609"/>
      <c r="N25" s="609"/>
      <c r="O25" s="609"/>
      <c r="P25" s="563">
        <f t="shared" si="0"/>
        <v>30</v>
      </c>
    </row>
    <row r="26" spans="1:16" ht="15.75" thickBot="1" x14ac:dyDescent="0.3">
      <c r="A26" s="102">
        <v>10248</v>
      </c>
      <c r="B26" s="100" t="s">
        <v>183</v>
      </c>
      <c r="D26" s="101"/>
      <c r="F26" s="609">
        <v>12</v>
      </c>
      <c r="G26" s="609"/>
      <c r="H26" s="609">
        <v>12</v>
      </c>
      <c r="I26" s="609"/>
      <c r="J26" s="609"/>
      <c r="K26" s="609"/>
      <c r="L26" s="609">
        <v>12</v>
      </c>
      <c r="M26" s="609"/>
      <c r="N26" s="609">
        <v>12</v>
      </c>
      <c r="O26" s="609"/>
      <c r="P26" s="563">
        <f t="shared" si="0"/>
        <v>48</v>
      </c>
    </row>
    <row r="27" spans="1:16" ht="15.75" thickBot="1" x14ac:dyDescent="0.3">
      <c r="A27" s="102">
        <v>1000090</v>
      </c>
      <c r="B27" s="100" t="s">
        <v>40</v>
      </c>
      <c r="D27" s="101"/>
      <c r="F27" s="609"/>
      <c r="G27" s="609"/>
      <c r="H27" s="609"/>
      <c r="I27" s="609"/>
      <c r="J27" s="609"/>
      <c r="K27" s="609"/>
      <c r="L27" s="609"/>
      <c r="M27" s="609"/>
      <c r="N27" s="609"/>
      <c r="O27" s="609"/>
      <c r="P27" s="564">
        <f t="shared" si="0"/>
        <v>0</v>
      </c>
    </row>
    <row r="28" spans="1:16" ht="15.75" thickBot="1" x14ac:dyDescent="0.3">
      <c r="A28" s="102">
        <v>1000052</v>
      </c>
      <c r="B28" s="100" t="s">
        <v>41</v>
      </c>
      <c r="D28" s="101"/>
      <c r="F28" s="609"/>
      <c r="G28" s="609"/>
      <c r="H28" s="609">
        <v>4</v>
      </c>
      <c r="I28" s="609"/>
      <c r="J28" s="609"/>
      <c r="K28" s="609"/>
      <c r="L28" s="609">
        <v>6</v>
      </c>
      <c r="M28" s="609"/>
      <c r="N28" s="609">
        <v>3</v>
      </c>
      <c r="O28" s="609"/>
      <c r="P28" s="563">
        <f t="shared" si="0"/>
        <v>13</v>
      </c>
    </row>
    <row r="29" spans="1:16" ht="15.75" thickBot="1" x14ac:dyDescent="0.3">
      <c r="A29" s="102">
        <v>1000089</v>
      </c>
      <c r="B29" s="100" t="s">
        <v>42</v>
      </c>
      <c r="D29" s="101"/>
      <c r="F29" s="609"/>
      <c r="G29" s="609"/>
      <c r="H29" s="609"/>
      <c r="I29" s="609"/>
      <c r="J29" s="609"/>
      <c r="K29" s="609"/>
      <c r="L29" s="609"/>
      <c r="M29" s="609"/>
      <c r="N29" s="609">
        <v>2</v>
      </c>
      <c r="O29" s="609"/>
      <c r="P29" s="563">
        <f t="shared" si="0"/>
        <v>2</v>
      </c>
    </row>
    <row r="30" spans="1:16" ht="15.75" thickBot="1" x14ac:dyDescent="0.3">
      <c r="A30" s="102">
        <v>1000051</v>
      </c>
      <c r="B30" s="100" t="s">
        <v>43</v>
      </c>
      <c r="D30" s="101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564">
        <f t="shared" si="0"/>
        <v>0</v>
      </c>
    </row>
    <row r="31" spans="1:16" ht="15.75" thickBot="1" x14ac:dyDescent="0.3">
      <c r="A31" s="102">
        <v>1000048</v>
      </c>
      <c r="B31" s="100" t="s">
        <v>45</v>
      </c>
      <c r="D31" s="101"/>
      <c r="F31" s="609"/>
      <c r="G31" s="609"/>
      <c r="H31" s="609"/>
      <c r="I31" s="609"/>
      <c r="J31" s="609"/>
      <c r="K31" s="609"/>
      <c r="L31" s="609"/>
      <c r="M31" s="609"/>
      <c r="N31" s="609"/>
      <c r="O31" s="609"/>
      <c r="P31" s="564">
        <f t="shared" si="0"/>
        <v>0</v>
      </c>
    </row>
    <row r="32" spans="1:16" ht="15.75" thickBot="1" x14ac:dyDescent="0.3">
      <c r="A32" s="102">
        <v>1000076</v>
      </c>
      <c r="B32" s="100" t="s">
        <v>46</v>
      </c>
      <c r="D32" s="101"/>
      <c r="F32" s="609"/>
      <c r="G32" s="609"/>
      <c r="H32" s="609"/>
      <c r="I32" s="609"/>
      <c r="J32" s="609"/>
      <c r="K32" s="609"/>
      <c r="L32" s="609"/>
      <c r="M32" s="609"/>
      <c r="N32" s="609"/>
      <c r="O32" s="609"/>
      <c r="P32" s="564">
        <f t="shared" si="0"/>
        <v>0</v>
      </c>
    </row>
    <row r="33" spans="1:16" ht="15.75" thickBot="1" x14ac:dyDescent="0.3">
      <c r="A33" s="102">
        <v>1000070</v>
      </c>
      <c r="B33" s="100" t="s">
        <v>13</v>
      </c>
      <c r="D33" s="101"/>
      <c r="F33" s="609">
        <v>2</v>
      </c>
      <c r="G33" s="609"/>
      <c r="H33" s="609"/>
      <c r="I33" s="609"/>
      <c r="J33" s="609">
        <v>2</v>
      </c>
      <c r="K33" s="609"/>
      <c r="L33" s="609">
        <v>2</v>
      </c>
      <c r="M33" s="609"/>
      <c r="N33" s="609">
        <v>1</v>
      </c>
      <c r="O33" s="609"/>
      <c r="P33" s="563">
        <f t="shared" si="0"/>
        <v>7</v>
      </c>
    </row>
    <row r="34" spans="1:16" ht="15.75" thickBot="1" x14ac:dyDescent="0.3">
      <c r="A34" s="102">
        <v>1000142</v>
      </c>
      <c r="B34" s="100" t="s">
        <v>54</v>
      </c>
      <c r="D34" s="101"/>
      <c r="F34" s="609"/>
      <c r="G34" s="609"/>
      <c r="H34" s="609"/>
      <c r="I34" s="609"/>
      <c r="J34" s="609"/>
      <c r="K34" s="609"/>
      <c r="L34" s="609"/>
      <c r="M34" s="609"/>
      <c r="N34" s="609"/>
      <c r="O34" s="609"/>
      <c r="P34" s="564">
        <f t="shared" si="0"/>
        <v>0</v>
      </c>
    </row>
    <row r="35" spans="1:16" ht="15.75" thickBot="1" x14ac:dyDescent="0.3">
      <c r="A35" s="102">
        <v>1000092</v>
      </c>
      <c r="B35" s="100" t="s">
        <v>51</v>
      </c>
      <c r="D35" s="101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564">
        <f t="shared" si="0"/>
        <v>0</v>
      </c>
    </row>
    <row r="36" spans="1:16" ht="15.75" thickBot="1" x14ac:dyDescent="0.3">
      <c r="A36" s="102">
        <v>1000033</v>
      </c>
      <c r="B36" s="100" t="s">
        <v>27</v>
      </c>
      <c r="D36" s="101"/>
      <c r="F36" s="609"/>
      <c r="G36" s="609"/>
      <c r="H36" s="609"/>
      <c r="I36" s="609"/>
      <c r="J36" s="609"/>
      <c r="K36" s="609"/>
      <c r="L36" s="609"/>
      <c r="M36" s="609"/>
      <c r="N36" s="609"/>
      <c r="O36" s="609"/>
      <c r="P36" s="564">
        <f t="shared" si="0"/>
        <v>0</v>
      </c>
    </row>
    <row r="37" spans="1:16" ht="15.75" thickBot="1" x14ac:dyDescent="0.3">
      <c r="A37" s="102">
        <v>1000029</v>
      </c>
      <c r="B37" s="100" t="s">
        <v>30</v>
      </c>
      <c r="D37" s="101"/>
      <c r="F37" s="609"/>
      <c r="G37" s="609"/>
      <c r="H37" s="609"/>
      <c r="I37" s="609"/>
      <c r="J37" s="609">
        <v>1</v>
      </c>
      <c r="K37" s="609"/>
      <c r="L37" s="609">
        <v>2</v>
      </c>
      <c r="M37" s="609"/>
      <c r="N37" s="609">
        <v>1</v>
      </c>
      <c r="O37" s="609"/>
      <c r="P37" s="563">
        <f t="shared" si="0"/>
        <v>4</v>
      </c>
    </row>
    <row r="38" spans="1:16" ht="15.75" thickBot="1" x14ac:dyDescent="0.3">
      <c r="A38" s="102">
        <v>1000214</v>
      </c>
      <c r="B38" s="100" t="s">
        <v>49</v>
      </c>
      <c r="D38" s="101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564">
        <f t="shared" si="0"/>
        <v>0</v>
      </c>
    </row>
    <row r="39" spans="1:16" ht="15.75" thickBot="1" x14ac:dyDescent="0.3">
      <c r="A39" s="102">
        <v>1000087</v>
      </c>
      <c r="B39" s="100" t="s">
        <v>69</v>
      </c>
      <c r="D39" s="101"/>
      <c r="F39" s="609"/>
      <c r="G39" s="609"/>
      <c r="H39" s="609"/>
      <c r="I39" s="609"/>
      <c r="J39" s="609"/>
      <c r="K39" s="609"/>
      <c r="L39" s="609"/>
      <c r="M39" s="609"/>
      <c r="N39" s="609"/>
      <c r="O39" s="609"/>
      <c r="P39" s="564">
        <f t="shared" si="0"/>
        <v>0</v>
      </c>
    </row>
    <row r="40" spans="1:16" ht="15.75" thickBot="1" x14ac:dyDescent="0.3">
      <c r="A40" s="102">
        <v>1000008</v>
      </c>
      <c r="B40" s="100" t="s">
        <v>7</v>
      </c>
      <c r="D40" s="101"/>
      <c r="F40" s="609">
        <v>50</v>
      </c>
      <c r="G40" s="609"/>
      <c r="H40" s="609">
        <v>50</v>
      </c>
      <c r="I40" s="609"/>
      <c r="J40" s="609">
        <v>50</v>
      </c>
      <c r="K40" s="609"/>
      <c r="L40" s="609"/>
      <c r="M40" s="609"/>
      <c r="N40" s="609">
        <v>50</v>
      </c>
      <c r="O40" s="609"/>
      <c r="P40" s="563">
        <f t="shared" si="0"/>
        <v>200</v>
      </c>
    </row>
    <row r="41" spans="1:16" ht="15.75" thickBot="1" x14ac:dyDescent="0.3">
      <c r="A41" s="102">
        <v>1000101</v>
      </c>
      <c r="B41" s="100" t="s">
        <v>35</v>
      </c>
      <c r="D41" s="101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564">
        <f t="shared" si="0"/>
        <v>0</v>
      </c>
    </row>
    <row r="42" spans="1:16" ht="15.75" thickBot="1" x14ac:dyDescent="0.3">
      <c r="A42" s="102">
        <v>1000384</v>
      </c>
      <c r="B42" s="100" t="s">
        <v>189</v>
      </c>
      <c r="D42" s="101"/>
      <c r="F42" s="609"/>
      <c r="G42" s="609"/>
      <c r="H42" s="609"/>
      <c r="I42" s="609"/>
      <c r="J42" s="609"/>
      <c r="K42" s="609"/>
      <c r="L42" s="609"/>
      <c r="M42" s="609"/>
      <c r="N42" s="609"/>
      <c r="O42" s="609"/>
      <c r="P42" s="564">
        <f t="shared" si="0"/>
        <v>0</v>
      </c>
    </row>
    <row r="43" spans="1:16" ht="15.75" thickBot="1" x14ac:dyDescent="0.3">
      <c r="A43" s="102">
        <v>1000034</v>
      </c>
      <c r="B43" s="100" t="s">
        <v>28</v>
      </c>
      <c r="D43" s="101"/>
      <c r="F43" s="609"/>
      <c r="G43" s="609"/>
      <c r="H43" s="609"/>
      <c r="I43" s="609"/>
      <c r="J43" s="609"/>
      <c r="K43" s="609"/>
      <c r="L43" s="609"/>
      <c r="M43" s="609"/>
      <c r="N43" s="609"/>
      <c r="O43" s="609"/>
      <c r="P43" s="564">
        <f t="shared" si="0"/>
        <v>0</v>
      </c>
    </row>
    <row r="44" spans="1:16" ht="15.75" thickBot="1" x14ac:dyDescent="0.3">
      <c r="A44" s="102">
        <v>1000045</v>
      </c>
      <c r="B44" s="100" t="s">
        <v>23</v>
      </c>
      <c r="D44" s="101"/>
      <c r="F44" s="609"/>
      <c r="G44" s="609"/>
      <c r="H44" s="609"/>
      <c r="I44" s="609"/>
      <c r="J44" s="609"/>
      <c r="K44" s="609"/>
      <c r="L44" s="609"/>
      <c r="M44" s="609"/>
      <c r="N44" s="609"/>
      <c r="O44" s="609"/>
      <c r="P44" s="564">
        <f t="shared" si="0"/>
        <v>0</v>
      </c>
    </row>
    <row r="45" spans="1:16" ht="15.75" thickBot="1" x14ac:dyDescent="0.3">
      <c r="A45" s="102">
        <v>1000057</v>
      </c>
      <c r="B45" s="100" t="s">
        <v>70</v>
      </c>
      <c r="D45" s="101"/>
      <c r="F45" s="609"/>
      <c r="G45" s="609"/>
      <c r="H45" s="609"/>
      <c r="I45" s="609"/>
      <c r="J45" s="609"/>
      <c r="K45" s="609"/>
      <c r="L45" s="609"/>
      <c r="M45" s="609"/>
      <c r="N45" s="609"/>
      <c r="O45" s="609"/>
      <c r="P45" s="564">
        <f t="shared" si="0"/>
        <v>0</v>
      </c>
    </row>
    <row r="46" spans="1:16" ht="15.75" thickBot="1" x14ac:dyDescent="0.3">
      <c r="A46" s="102">
        <v>1000147</v>
      </c>
      <c r="B46" s="100" t="s">
        <v>52</v>
      </c>
      <c r="D46" s="101"/>
      <c r="F46" s="609"/>
      <c r="G46" s="609"/>
      <c r="H46" s="609"/>
      <c r="I46" s="609"/>
      <c r="J46" s="609"/>
      <c r="K46" s="609"/>
      <c r="L46" s="609"/>
      <c r="M46" s="609"/>
      <c r="N46" s="609"/>
      <c r="O46" s="609"/>
      <c r="P46" s="564">
        <f t="shared" si="0"/>
        <v>0</v>
      </c>
    </row>
    <row r="47" spans="1:16" ht="15.75" thickBot="1" x14ac:dyDescent="0.3">
      <c r="A47" s="102">
        <v>1000084</v>
      </c>
      <c r="B47" s="100" t="s">
        <v>38</v>
      </c>
      <c r="D47" s="101"/>
      <c r="F47" s="609"/>
      <c r="G47" s="609"/>
      <c r="H47" s="609">
        <v>8</v>
      </c>
      <c r="I47" s="609"/>
      <c r="J47" s="609"/>
      <c r="K47" s="609"/>
      <c r="L47" s="609"/>
      <c r="M47" s="609"/>
      <c r="N47" s="609"/>
      <c r="O47" s="609"/>
      <c r="P47" s="563">
        <f t="shared" si="0"/>
        <v>8</v>
      </c>
    </row>
    <row r="48" spans="1:16" ht="15.75" thickBot="1" x14ac:dyDescent="0.3">
      <c r="A48" s="102">
        <v>1000423</v>
      </c>
      <c r="B48" s="100" t="s">
        <v>196</v>
      </c>
      <c r="D48" s="101"/>
      <c r="F48" s="609"/>
      <c r="G48" s="609"/>
      <c r="H48" s="609"/>
      <c r="I48" s="609"/>
      <c r="J48" s="609"/>
      <c r="K48" s="609"/>
      <c r="L48" s="609"/>
      <c r="M48" s="609"/>
      <c r="N48" s="609"/>
      <c r="O48" s="609"/>
      <c r="P48" s="564">
        <f t="shared" si="0"/>
        <v>0</v>
      </c>
    </row>
    <row r="49" spans="1:16" ht="15.75" thickBot="1" x14ac:dyDescent="0.3">
      <c r="A49" s="102">
        <v>1000465</v>
      </c>
      <c r="B49" s="100" t="s">
        <v>219</v>
      </c>
      <c r="D49" s="101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564">
        <f t="shared" si="0"/>
        <v>0</v>
      </c>
    </row>
    <row r="50" spans="1:16" ht="15.75" thickBot="1" x14ac:dyDescent="0.3">
      <c r="A50" s="102">
        <v>1000472</v>
      </c>
      <c r="B50" s="100" t="s">
        <v>222</v>
      </c>
      <c r="D50" s="101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564">
        <f t="shared" si="0"/>
        <v>0</v>
      </c>
    </row>
    <row r="51" spans="1:16" ht="15.75" thickBot="1" x14ac:dyDescent="0.3">
      <c r="A51" s="102">
        <v>1000452</v>
      </c>
      <c r="B51" s="100" t="s">
        <v>203</v>
      </c>
      <c r="D51" s="101"/>
      <c r="F51" s="609"/>
      <c r="G51" s="609"/>
      <c r="H51" s="609"/>
      <c r="I51" s="609"/>
      <c r="J51" s="609"/>
      <c r="K51" s="609"/>
      <c r="L51" s="609"/>
      <c r="M51" s="609"/>
      <c r="N51" s="609"/>
      <c r="O51" s="609"/>
      <c r="P51" s="564">
        <f t="shared" si="0"/>
        <v>0</v>
      </c>
    </row>
    <row r="52" spans="1:16" ht="15.75" thickBot="1" x14ac:dyDescent="0.3">
      <c r="A52" s="102">
        <v>1000383</v>
      </c>
      <c r="B52" s="100" t="s">
        <v>264</v>
      </c>
      <c r="D52" s="101"/>
      <c r="F52" s="609">
        <v>96</v>
      </c>
      <c r="G52" s="609"/>
      <c r="H52" s="609">
        <v>48</v>
      </c>
      <c r="I52" s="609"/>
      <c r="J52" s="609">
        <v>48</v>
      </c>
      <c r="K52" s="609"/>
      <c r="L52" s="609">
        <v>96</v>
      </c>
      <c r="M52" s="609"/>
      <c r="N52" s="609">
        <v>96</v>
      </c>
      <c r="O52" s="609"/>
      <c r="P52" s="563">
        <f t="shared" si="0"/>
        <v>384</v>
      </c>
    </row>
    <row r="53" spans="1:16" ht="15.75" thickBot="1" x14ac:dyDescent="0.3">
      <c r="A53" s="102">
        <v>1000515</v>
      </c>
      <c r="B53" s="100" t="s">
        <v>238</v>
      </c>
      <c r="D53" s="101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564">
        <f t="shared" si="0"/>
        <v>0</v>
      </c>
    </row>
    <row r="54" spans="1:16" ht="15.75" thickBot="1" x14ac:dyDescent="0.3">
      <c r="A54" s="102">
        <v>1000486</v>
      </c>
      <c r="B54" s="100" t="s">
        <v>263</v>
      </c>
      <c r="D54" s="101"/>
      <c r="F54" s="609"/>
      <c r="G54" s="609"/>
      <c r="H54" s="609"/>
      <c r="I54" s="609"/>
      <c r="J54" s="609"/>
      <c r="K54" s="609"/>
      <c r="L54" s="609"/>
      <c r="M54" s="609"/>
      <c r="N54" s="609"/>
      <c r="O54" s="609"/>
      <c r="P54" s="564">
        <f t="shared" si="0"/>
        <v>0</v>
      </c>
    </row>
    <row r="55" spans="1:16" ht="15.75" thickBot="1" x14ac:dyDescent="0.3">
      <c r="A55" s="102">
        <v>1000036</v>
      </c>
      <c r="B55" s="100" t="s">
        <v>75</v>
      </c>
      <c r="D55" s="101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564">
        <f t="shared" si="0"/>
        <v>0</v>
      </c>
    </row>
    <row r="56" spans="1:16" ht="15.75" thickBot="1" x14ac:dyDescent="0.3">
      <c r="A56" s="102">
        <v>1000515</v>
      </c>
      <c r="B56" s="100" t="s">
        <v>238</v>
      </c>
      <c r="D56" s="101"/>
      <c r="F56" s="609"/>
      <c r="G56" s="609"/>
      <c r="H56" s="609"/>
      <c r="I56" s="609"/>
      <c r="J56" s="609"/>
      <c r="K56" s="609"/>
      <c r="L56" s="609"/>
      <c r="M56" s="609"/>
      <c r="N56" s="609"/>
      <c r="O56" s="609"/>
      <c r="P56" s="564">
        <f t="shared" si="0"/>
        <v>0</v>
      </c>
    </row>
    <row r="57" spans="1:16" ht="15.75" thickBot="1" x14ac:dyDescent="0.3">
      <c r="A57" s="102">
        <v>1000080</v>
      </c>
      <c r="B57" s="100" t="s">
        <v>275</v>
      </c>
      <c r="D57" s="101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564">
        <f t="shared" si="0"/>
        <v>0</v>
      </c>
    </row>
    <row r="58" spans="1:16" ht="15.75" thickBot="1" x14ac:dyDescent="0.3">
      <c r="A58" s="102">
        <v>1000436</v>
      </c>
      <c r="B58" s="100" t="s">
        <v>276</v>
      </c>
      <c r="D58" s="101"/>
      <c r="F58" s="609"/>
      <c r="G58" s="609"/>
      <c r="H58" s="609"/>
      <c r="I58" s="609"/>
      <c r="J58" s="609">
        <v>10</v>
      </c>
      <c r="K58" s="609"/>
      <c r="L58" s="609">
        <v>10</v>
      </c>
      <c r="M58" s="609"/>
      <c r="N58" s="609">
        <v>10</v>
      </c>
      <c r="O58" s="609"/>
      <c r="P58" s="563">
        <f t="shared" si="0"/>
        <v>30</v>
      </c>
    </row>
    <row r="59" spans="1:16" ht="15.75" thickBot="1" x14ac:dyDescent="0.3">
      <c r="A59" s="102">
        <v>1000550</v>
      </c>
      <c r="B59" s="100" t="s">
        <v>277</v>
      </c>
      <c r="D59" s="101"/>
      <c r="F59" s="609"/>
      <c r="G59" s="609"/>
      <c r="H59" s="609"/>
      <c r="I59" s="609"/>
      <c r="J59" s="609"/>
      <c r="K59" s="609"/>
      <c r="L59" s="609"/>
      <c r="M59" s="609"/>
      <c r="N59" s="609"/>
      <c r="O59" s="609"/>
      <c r="P59" s="564">
        <f t="shared" si="0"/>
        <v>0</v>
      </c>
    </row>
    <row r="60" spans="1:16" ht="15.75" thickBot="1" x14ac:dyDescent="0.3">
      <c r="A60" s="102">
        <v>1000551</v>
      </c>
      <c r="B60" s="100" t="s">
        <v>278</v>
      </c>
      <c r="D60" s="101"/>
      <c r="F60" s="609"/>
      <c r="G60" s="609"/>
      <c r="H60" s="609"/>
      <c r="I60" s="609"/>
      <c r="J60" s="609"/>
      <c r="K60" s="609"/>
      <c r="L60" s="609"/>
      <c r="M60" s="609"/>
      <c r="N60" s="609"/>
      <c r="O60" s="609"/>
      <c r="P60" s="564">
        <f t="shared" si="0"/>
        <v>0</v>
      </c>
    </row>
    <row r="61" spans="1:16" ht="16.5" thickBot="1" x14ac:dyDescent="0.3">
      <c r="A61" s="207">
        <v>1000552</v>
      </c>
      <c r="B61" s="246" t="s">
        <v>279</v>
      </c>
      <c r="C61"/>
      <c r="D61" s="38"/>
      <c r="E61" s="215"/>
      <c r="F61" s="609"/>
      <c r="G61" s="609"/>
      <c r="H61" s="609"/>
      <c r="I61" s="609"/>
      <c r="J61" s="609"/>
      <c r="K61" s="609"/>
      <c r="L61" s="609"/>
      <c r="M61" s="609"/>
      <c r="N61" s="609"/>
      <c r="O61" s="609"/>
      <c r="P61" s="564">
        <f t="shared" si="0"/>
        <v>0</v>
      </c>
    </row>
    <row r="62" spans="1:16" ht="15.75" thickBot="1" x14ac:dyDescent="0.3">
      <c r="A62" s="35"/>
      <c r="B62" s="12" t="s">
        <v>503</v>
      </c>
      <c r="D62" s="38"/>
      <c r="F62" s="609">
        <v>3</v>
      </c>
      <c r="G62" s="609"/>
      <c r="H62" s="609"/>
      <c r="I62" s="609"/>
      <c r="J62" s="609"/>
      <c r="K62" s="609"/>
      <c r="L62" s="609"/>
      <c r="M62" s="609"/>
      <c r="N62" s="609"/>
      <c r="O62" s="609"/>
      <c r="P62" s="563">
        <f t="shared" si="0"/>
        <v>3</v>
      </c>
    </row>
    <row r="63" spans="1:16" ht="15.75" thickBot="1" x14ac:dyDescent="0.3">
      <c r="A63" s="35">
        <v>10211</v>
      </c>
      <c r="B63" s="12" t="s">
        <v>3</v>
      </c>
      <c r="D63" s="38"/>
      <c r="F63" s="609"/>
      <c r="G63" s="609"/>
      <c r="H63" s="609"/>
      <c r="I63" s="609"/>
      <c r="J63" s="609">
        <v>150</v>
      </c>
      <c r="K63" s="609"/>
      <c r="L63" s="609">
        <v>150</v>
      </c>
      <c r="M63" s="609"/>
      <c r="N63" s="609">
        <v>100</v>
      </c>
      <c r="O63" s="609"/>
      <c r="P63" s="563">
        <f t="shared" ref="P63" si="1">SUM(F63:O63)</f>
        <v>400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4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E947-8D14-4376-B33B-8A37DB000004}">
  <sheetPr>
    <tabColor rgb="FF7030A0"/>
    <pageSetUpPr fitToPage="1"/>
  </sheetPr>
  <dimension ref="A1:P53"/>
  <sheetViews>
    <sheetView topLeftCell="A25" zoomScale="85" zoomScaleNormal="85" workbookViewId="0">
      <selection activeCell="R47" sqref="R47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2.125" style="27" customWidth="1"/>
    <col min="6" max="6" width="9.125" style="27" bestFit="1" customWidth="1"/>
    <col min="7" max="7" width="5.875" style="27" customWidth="1"/>
    <col min="8" max="8" width="9.125" style="27" bestFit="1" customWidth="1"/>
    <col min="9" max="9" width="5.625" style="27" customWidth="1"/>
    <col min="10" max="10" width="9.125" style="27" bestFit="1" customWidth="1"/>
    <col min="11" max="11" width="5.625" style="27" customWidth="1"/>
    <col min="12" max="12" width="9.125" style="27" bestFit="1" customWidth="1"/>
    <col min="13" max="13" width="8" style="27" customWidth="1"/>
    <col min="14" max="14" width="9.125" style="27" bestFit="1" customWidth="1"/>
    <col min="15" max="15" width="5.125" style="27" customWidth="1"/>
    <col min="16" max="16384" width="10.875" style="27"/>
  </cols>
  <sheetData>
    <row r="1" spans="1:16" ht="10.5" customHeight="1" x14ac:dyDescent="0.45">
      <c r="A1" s="686" t="s">
        <v>127</v>
      </c>
      <c r="B1" s="687"/>
      <c r="C1" s="18"/>
      <c r="F1" s="751" t="s">
        <v>474</v>
      </c>
      <c r="G1" s="752"/>
      <c r="H1" s="752"/>
      <c r="I1" s="752"/>
      <c r="J1" s="753"/>
      <c r="K1" s="2"/>
      <c r="L1" s="747" t="s">
        <v>170</v>
      </c>
      <c r="M1" s="749" t="s">
        <v>172</v>
      </c>
    </row>
    <row r="2" spans="1:16" s="3" customFormat="1" ht="1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  <c r="L2" s="748"/>
      <c r="M2" s="750"/>
    </row>
    <row r="3" spans="1:16" s="3" customFormat="1" ht="21" customHeight="1" thickBot="1" x14ac:dyDescent="0.3">
      <c r="A3" s="5"/>
      <c r="B3" s="420" t="s">
        <v>364</v>
      </c>
      <c r="C3" s="18"/>
      <c r="D3" s="4"/>
    </row>
    <row r="4" spans="1:16" s="3" customFormat="1" ht="13.5" customHeight="1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2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3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3">
        <v>100</v>
      </c>
      <c r="F7" s="28"/>
      <c r="G7" s="28"/>
      <c r="H7" s="28">
        <v>100</v>
      </c>
      <c r="I7" s="28"/>
      <c r="J7" s="28">
        <v>50</v>
      </c>
      <c r="K7" s="28"/>
      <c r="L7" s="28"/>
      <c r="M7" s="28"/>
      <c r="N7" s="28"/>
      <c r="O7" s="28"/>
      <c r="P7" s="418">
        <f t="shared" si="0"/>
        <v>150</v>
      </c>
    </row>
    <row r="8" spans="1:16" ht="15.75" thickBot="1" x14ac:dyDescent="0.3">
      <c r="A8" s="35">
        <v>1000007</v>
      </c>
      <c r="B8" s="12" t="s">
        <v>5</v>
      </c>
      <c r="C8" s="41"/>
      <c r="D8" s="43">
        <v>100</v>
      </c>
      <c r="F8" s="28"/>
      <c r="G8" s="28"/>
      <c r="H8" s="28">
        <v>100</v>
      </c>
      <c r="I8" s="28"/>
      <c r="J8" s="28">
        <v>100</v>
      </c>
      <c r="K8" s="28"/>
      <c r="L8" s="28"/>
      <c r="M8" s="28"/>
      <c r="N8" s="28"/>
      <c r="O8" s="28"/>
      <c r="P8" s="418">
        <f t="shared" si="0"/>
        <v>200</v>
      </c>
    </row>
    <row r="9" spans="1:16" ht="15.75" thickBot="1" x14ac:dyDescent="0.3">
      <c r="A9" s="35">
        <v>1000001</v>
      </c>
      <c r="B9" s="12" t="s">
        <v>8</v>
      </c>
      <c r="C9" s="41"/>
      <c r="D9" s="43">
        <v>2</v>
      </c>
      <c r="F9" s="28"/>
      <c r="G9" s="28"/>
      <c r="H9" s="28">
        <v>3</v>
      </c>
      <c r="I9" s="28"/>
      <c r="J9" s="28"/>
      <c r="K9" s="28"/>
      <c r="L9" s="28"/>
      <c r="M9" s="28"/>
      <c r="N9" s="28">
        <v>4</v>
      </c>
      <c r="O9" s="28"/>
      <c r="P9" s="418">
        <f t="shared" si="0"/>
        <v>7</v>
      </c>
    </row>
    <row r="10" spans="1:16" ht="15.75" thickBot="1" x14ac:dyDescent="0.3">
      <c r="A10" s="35">
        <v>1000002</v>
      </c>
      <c r="B10" s="12" t="s">
        <v>9</v>
      </c>
      <c r="C10" s="41"/>
      <c r="D10" s="43">
        <v>1</v>
      </c>
      <c r="F10" s="28"/>
      <c r="G10" s="28"/>
      <c r="H10" s="28">
        <v>1</v>
      </c>
      <c r="I10" s="28"/>
      <c r="J10" s="28"/>
      <c r="K10" s="28"/>
      <c r="L10" s="28">
        <v>1</v>
      </c>
      <c r="M10" s="28"/>
      <c r="N10" s="28"/>
      <c r="O10" s="28"/>
      <c r="P10" s="418">
        <f t="shared" si="0"/>
        <v>2</v>
      </c>
    </row>
    <row r="11" spans="1:16" ht="15.75" thickBot="1" x14ac:dyDescent="0.3">
      <c r="A11" s="35">
        <v>1000054</v>
      </c>
      <c r="B11" s="12" t="s">
        <v>12</v>
      </c>
      <c r="C11" s="41"/>
      <c r="D11" s="43">
        <v>7</v>
      </c>
      <c r="F11" s="28"/>
      <c r="G11" s="28"/>
      <c r="H11" s="28"/>
      <c r="I11" s="28"/>
      <c r="J11" s="28"/>
      <c r="K11" s="28"/>
      <c r="L11" s="28"/>
      <c r="M11" s="28"/>
      <c r="N11" s="28">
        <v>5</v>
      </c>
      <c r="O11" s="28"/>
      <c r="P11" s="418">
        <f t="shared" si="0"/>
        <v>5</v>
      </c>
    </row>
    <row r="12" spans="1:16" ht="15.75" thickBot="1" x14ac:dyDescent="0.3">
      <c r="A12" s="35">
        <v>1000070</v>
      </c>
      <c r="B12" s="12" t="s">
        <v>13</v>
      </c>
      <c r="C12" s="41"/>
      <c r="D12" s="43">
        <v>0</v>
      </c>
      <c r="F12" s="28"/>
      <c r="G12" s="28"/>
      <c r="H12" s="28"/>
      <c r="I12" s="28"/>
      <c r="J12" s="28"/>
      <c r="K12" s="28"/>
      <c r="L12" s="28">
        <v>1</v>
      </c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15</v>
      </c>
      <c r="F13" s="28">
        <v>5</v>
      </c>
      <c r="G13" s="28"/>
      <c r="H13" s="28">
        <v>5</v>
      </c>
      <c r="I13" s="28"/>
      <c r="J13" s="28">
        <v>5</v>
      </c>
      <c r="K13" s="28"/>
      <c r="L13" s="28">
        <v>5</v>
      </c>
      <c r="M13" s="28"/>
      <c r="N13" s="28">
        <v>5</v>
      </c>
      <c r="O13" s="28"/>
      <c r="P13" s="418">
        <f t="shared" si="0"/>
        <v>25</v>
      </c>
    </row>
    <row r="14" spans="1:16" ht="15.75" thickBot="1" x14ac:dyDescent="0.3">
      <c r="A14" s="35">
        <v>1000016</v>
      </c>
      <c r="B14" s="12" t="s">
        <v>15</v>
      </c>
      <c r="C14" s="41"/>
      <c r="D14" s="43">
        <v>5</v>
      </c>
      <c r="F14" s="28"/>
      <c r="G14" s="28"/>
      <c r="H14" s="28">
        <v>5</v>
      </c>
      <c r="I14" s="28"/>
      <c r="J14" s="28"/>
      <c r="K14" s="28"/>
      <c r="L14" s="28"/>
      <c r="M14" s="28"/>
      <c r="N14" s="28"/>
      <c r="O14" s="28"/>
      <c r="P14" s="418">
        <f t="shared" si="0"/>
        <v>5</v>
      </c>
    </row>
    <row r="15" spans="1:16" ht="15.75" thickBot="1" x14ac:dyDescent="0.3">
      <c r="A15" s="35">
        <v>1000041</v>
      </c>
      <c r="B15" s="12" t="s">
        <v>16</v>
      </c>
      <c r="C15" s="41"/>
      <c r="D15" s="43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2" t="s">
        <v>21</v>
      </c>
      <c r="C16" s="41"/>
      <c r="D16" s="43">
        <v>1</v>
      </c>
      <c r="F16" s="28"/>
      <c r="G16" s="28"/>
      <c r="H16" s="28"/>
      <c r="I16" s="28"/>
      <c r="J16" s="28"/>
      <c r="K16" s="28"/>
      <c r="L16" s="28"/>
      <c r="M16" s="28"/>
      <c r="N16" s="28">
        <v>3</v>
      </c>
      <c r="O16" s="28"/>
      <c r="P16" s="418">
        <f t="shared" si="0"/>
        <v>3</v>
      </c>
    </row>
    <row r="17" spans="1:16" ht="15.75" thickBot="1" x14ac:dyDescent="0.3">
      <c r="A17" s="35">
        <v>1000050</v>
      </c>
      <c r="B17" s="12" t="s">
        <v>22</v>
      </c>
      <c r="C17" s="41"/>
      <c r="D17" s="43">
        <v>1</v>
      </c>
      <c r="F17" s="28">
        <v>3</v>
      </c>
      <c r="G17" s="28"/>
      <c r="H17" s="28"/>
      <c r="I17" s="28"/>
      <c r="J17" s="28"/>
      <c r="K17" s="28"/>
      <c r="L17" s="28">
        <v>3</v>
      </c>
      <c r="M17" s="28"/>
      <c r="N17" s="28"/>
      <c r="O17" s="28"/>
      <c r="P17" s="418">
        <f t="shared" si="0"/>
        <v>6</v>
      </c>
    </row>
    <row r="18" spans="1:16" ht="15.75" thickBot="1" x14ac:dyDescent="0.3">
      <c r="A18" s="35">
        <v>1000031</v>
      </c>
      <c r="B18" s="12" t="s">
        <v>25</v>
      </c>
      <c r="C18" s="41"/>
      <c r="D18" s="43">
        <v>2</v>
      </c>
      <c r="F18" s="28"/>
      <c r="G18" s="28"/>
      <c r="H18" s="28">
        <v>2</v>
      </c>
      <c r="I18" s="28"/>
      <c r="J18" s="28">
        <v>1</v>
      </c>
      <c r="K18" s="28"/>
      <c r="L18" s="28">
        <v>2</v>
      </c>
      <c r="M18" s="28"/>
      <c r="N18" s="28"/>
      <c r="O18" s="28"/>
      <c r="P18" s="418">
        <f t="shared" si="0"/>
        <v>5</v>
      </c>
    </row>
    <row r="19" spans="1:16" ht="15.75" thickBot="1" x14ac:dyDescent="0.3">
      <c r="A19" s="35">
        <v>1000026</v>
      </c>
      <c r="B19" s="12" t="s">
        <v>31</v>
      </c>
      <c r="C19" s="41"/>
      <c r="D19" s="43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3">
        <v>2</v>
      </c>
      <c r="F20" s="28"/>
      <c r="G20" s="28"/>
      <c r="H20" s="28">
        <v>5</v>
      </c>
      <c r="I20" s="28"/>
      <c r="J20" s="28">
        <v>5</v>
      </c>
      <c r="K20" s="28"/>
      <c r="L20" s="28">
        <v>5</v>
      </c>
      <c r="M20" s="28"/>
      <c r="N20" s="28"/>
      <c r="O20" s="28"/>
      <c r="P20" s="418">
        <f t="shared" si="0"/>
        <v>15</v>
      </c>
    </row>
    <row r="21" spans="1:16" ht="15.75" thickBot="1" x14ac:dyDescent="0.3">
      <c r="A21" s="35">
        <v>1000100</v>
      </c>
      <c r="B21" s="12" t="s">
        <v>34</v>
      </c>
      <c r="C21" s="41"/>
      <c r="D21" s="43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1000073</v>
      </c>
      <c r="B22" s="12" t="s">
        <v>36</v>
      </c>
      <c r="C22" s="41"/>
      <c r="D22" s="43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1000146</v>
      </c>
      <c r="B23" s="12" t="s">
        <v>39</v>
      </c>
      <c r="C23" s="41"/>
      <c r="D23" s="43">
        <v>30</v>
      </c>
      <c r="F23" s="28"/>
      <c r="G23" s="28"/>
      <c r="H23" s="28">
        <v>10</v>
      </c>
      <c r="I23" s="28"/>
      <c r="J23" s="28">
        <v>10</v>
      </c>
      <c r="K23" s="28"/>
      <c r="L23" s="28">
        <v>20</v>
      </c>
      <c r="M23" s="28"/>
      <c r="N23" s="28">
        <v>10</v>
      </c>
      <c r="O23" s="28"/>
      <c r="P23" s="418">
        <f t="shared" si="0"/>
        <v>50</v>
      </c>
    </row>
    <row r="24" spans="1:16" ht="15.75" thickBot="1" x14ac:dyDescent="0.3">
      <c r="A24" s="35">
        <v>10248</v>
      </c>
      <c r="B24" s="12" t="s">
        <v>183</v>
      </c>
      <c r="C24" s="41"/>
      <c r="D24" s="43">
        <v>0</v>
      </c>
      <c r="F24" s="28"/>
      <c r="G24" s="28"/>
      <c r="H24" s="28">
        <v>9</v>
      </c>
      <c r="I24" s="28"/>
      <c r="J24" s="28"/>
      <c r="K24" s="28"/>
      <c r="L24" s="28"/>
      <c r="M24" s="28"/>
      <c r="N24" s="28">
        <v>9</v>
      </c>
      <c r="O24" s="28"/>
      <c r="P24" s="418">
        <f t="shared" si="0"/>
        <v>18</v>
      </c>
    </row>
    <row r="25" spans="1:16" ht="15.75" thickBot="1" x14ac:dyDescent="0.3">
      <c r="A25" s="35">
        <v>1000052</v>
      </c>
      <c r="B25" s="12" t="s">
        <v>41</v>
      </c>
      <c r="C25" s="41"/>
      <c r="D25" s="43">
        <v>2</v>
      </c>
      <c r="F25" s="28"/>
      <c r="G25" s="28"/>
      <c r="H25" s="28">
        <v>3</v>
      </c>
      <c r="I25" s="28"/>
      <c r="J25" s="28"/>
      <c r="K25" s="28"/>
      <c r="L25" s="28">
        <v>4</v>
      </c>
      <c r="M25" s="28"/>
      <c r="N25" s="28"/>
      <c r="O25" s="28"/>
      <c r="P25" s="418">
        <f t="shared" si="0"/>
        <v>7</v>
      </c>
    </row>
    <row r="26" spans="1:16" ht="15.75" thickBot="1" x14ac:dyDescent="0.3">
      <c r="A26" s="35">
        <v>1000089</v>
      </c>
      <c r="B26" s="12" t="s">
        <v>42</v>
      </c>
      <c r="C26" s="41"/>
      <c r="D26" s="43">
        <v>3</v>
      </c>
      <c r="F26" s="28"/>
      <c r="G26" s="28"/>
      <c r="H26" s="28">
        <v>3</v>
      </c>
      <c r="I26" s="28"/>
      <c r="J26" s="28"/>
      <c r="K26" s="28"/>
      <c r="L26" s="28">
        <v>3</v>
      </c>
      <c r="M26" s="28"/>
      <c r="N26" s="28"/>
      <c r="O26" s="28"/>
      <c r="P26" s="418">
        <f t="shared" si="0"/>
        <v>6</v>
      </c>
    </row>
    <row r="27" spans="1:16" ht="15.75" thickBot="1" x14ac:dyDescent="0.3">
      <c r="A27" s="35">
        <v>1000051</v>
      </c>
      <c r="B27" s="12" t="s">
        <v>43</v>
      </c>
      <c r="C27" s="41"/>
      <c r="D27" s="43">
        <v>1</v>
      </c>
      <c r="F27" s="28"/>
      <c r="G27" s="28"/>
      <c r="H27" s="28"/>
      <c r="I27" s="28"/>
      <c r="J27" s="28">
        <v>1</v>
      </c>
      <c r="K27" s="28"/>
      <c r="L27" s="28">
        <v>2</v>
      </c>
      <c r="M27" s="28"/>
      <c r="N27" s="28"/>
      <c r="O27" s="28"/>
      <c r="P27" s="418">
        <f t="shared" si="0"/>
        <v>3</v>
      </c>
    </row>
    <row r="28" spans="1:16" ht="15.75" thickBot="1" x14ac:dyDescent="0.3">
      <c r="A28" s="35">
        <v>1000048</v>
      </c>
      <c r="B28" s="12" t="s">
        <v>45</v>
      </c>
      <c r="C28" s="41"/>
      <c r="D28" s="43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1000076</v>
      </c>
      <c r="B29" s="12" t="s">
        <v>46</v>
      </c>
      <c r="C29" s="41"/>
      <c r="D29" s="43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1000142</v>
      </c>
      <c r="B30" s="12" t="s">
        <v>54</v>
      </c>
      <c r="C30" s="41"/>
      <c r="D30" s="43">
        <v>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1000045</v>
      </c>
      <c r="B31" s="12" t="s">
        <v>23</v>
      </c>
      <c r="C31" s="41"/>
      <c r="D31" s="43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1000008</v>
      </c>
      <c r="B32" s="12" t="s">
        <v>7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s="15" customFormat="1" ht="15.95" customHeight="1" thickBot="1" x14ac:dyDescent="0.3">
      <c r="A33" s="35">
        <v>1000085</v>
      </c>
      <c r="B33" s="12" t="s">
        <v>50</v>
      </c>
      <c r="C33" s="41"/>
      <c r="D33" s="43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1000004</v>
      </c>
      <c r="B34" s="12" t="s">
        <v>10</v>
      </c>
      <c r="C34" s="41"/>
      <c r="D34" s="4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1000029</v>
      </c>
      <c r="B35" s="12" t="s">
        <v>30</v>
      </c>
      <c r="C35" s="41"/>
      <c r="D35" s="43"/>
      <c r="F35" s="28"/>
      <c r="G35" s="28"/>
      <c r="H35" s="28">
        <v>1</v>
      </c>
      <c r="I35" s="28"/>
      <c r="J35" s="28"/>
      <c r="K35" s="28"/>
      <c r="L35" s="28">
        <v>1</v>
      </c>
      <c r="M35" s="28"/>
      <c r="N35" s="28"/>
      <c r="O35" s="28"/>
      <c r="P35" s="418">
        <f t="shared" si="0"/>
        <v>2</v>
      </c>
    </row>
    <row r="36" spans="1:16" ht="15.75" thickBot="1" x14ac:dyDescent="0.3">
      <c r="A36" s="35">
        <v>1000087</v>
      </c>
      <c r="B36" s="12" t="s">
        <v>197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1000439</v>
      </c>
      <c r="B37" s="12" t="s">
        <v>193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1000038</v>
      </c>
      <c r="B38" s="12" t="s">
        <v>78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1000033</v>
      </c>
      <c r="B39" s="12" t="s">
        <v>27</v>
      </c>
      <c r="C39" s="41"/>
      <c r="D39" s="43"/>
      <c r="F39" s="28"/>
      <c r="G39" s="28"/>
      <c r="H39" s="28">
        <v>1</v>
      </c>
      <c r="I39" s="28"/>
      <c r="J39" s="28">
        <v>1</v>
      </c>
      <c r="K39" s="28"/>
      <c r="L39" s="28"/>
      <c r="M39" s="28"/>
      <c r="N39" s="28"/>
      <c r="O39" s="28"/>
      <c r="P39" s="418">
        <f t="shared" si="0"/>
        <v>2</v>
      </c>
    </row>
    <row r="40" spans="1:16" ht="15.75" thickBot="1" x14ac:dyDescent="0.3">
      <c r="A40" s="35">
        <v>1000034</v>
      </c>
      <c r="B40" s="12" t="s">
        <v>28</v>
      </c>
      <c r="C40" s="41"/>
      <c r="D40" s="43"/>
      <c r="F40" s="28"/>
      <c r="G40" s="28"/>
      <c r="H40" s="28">
        <v>1</v>
      </c>
      <c r="I40" s="28"/>
      <c r="J40" s="28"/>
      <c r="K40" s="28"/>
      <c r="L40" s="28"/>
      <c r="M40" s="28"/>
      <c r="N40" s="28"/>
      <c r="O40" s="28"/>
      <c r="P40" s="30">
        <f t="shared" si="0"/>
        <v>1</v>
      </c>
    </row>
    <row r="41" spans="1:16" ht="15.75" thickBot="1" x14ac:dyDescent="0.3">
      <c r="A41" s="35">
        <v>1000057</v>
      </c>
      <c r="B41" s="12" t="s">
        <v>70</v>
      </c>
      <c r="C41" s="41"/>
      <c r="D41" s="4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1000101</v>
      </c>
      <c r="B42" s="12" t="s">
        <v>35</v>
      </c>
      <c r="C42" s="41"/>
      <c r="D42" s="4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1000075</v>
      </c>
      <c r="B43" s="12" t="s">
        <v>47</v>
      </c>
      <c r="C43" s="41"/>
      <c r="D43" s="4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1000383</v>
      </c>
      <c r="B44" s="12" t="s">
        <v>264</v>
      </c>
      <c r="C44" s="41"/>
      <c r="D44" s="43"/>
      <c r="F44" s="28">
        <v>48</v>
      </c>
      <c r="G44" s="28"/>
      <c r="H44" s="28"/>
      <c r="I44" s="28"/>
      <c r="J44" s="28"/>
      <c r="K44" s="28"/>
      <c r="L44" s="28">
        <v>48</v>
      </c>
      <c r="M44" s="28"/>
      <c r="N44" s="28"/>
      <c r="O44" s="28"/>
      <c r="P44" s="418">
        <f t="shared" si="0"/>
        <v>96</v>
      </c>
    </row>
    <row r="45" spans="1:16" ht="15.75" customHeight="1" thickBot="1" x14ac:dyDescent="0.3">
      <c r="A45" s="35">
        <v>1000067</v>
      </c>
      <c r="B45" s="12" t="s">
        <v>11</v>
      </c>
      <c r="C45" s="41"/>
      <c r="D45" s="43"/>
      <c r="F45" s="28"/>
      <c r="G45" s="28"/>
      <c r="H45" s="28">
        <v>1</v>
      </c>
      <c r="I45" s="28"/>
      <c r="J45" s="28"/>
      <c r="K45" s="28"/>
      <c r="L45" s="28">
        <v>1</v>
      </c>
      <c r="M45" s="28"/>
      <c r="N45" s="28"/>
      <c r="O45" s="28"/>
      <c r="P45" s="418">
        <f t="shared" si="0"/>
        <v>2</v>
      </c>
    </row>
    <row r="46" spans="1:16" ht="15.75" customHeight="1" thickBot="1" x14ac:dyDescent="0.3">
      <c r="A46" s="35">
        <v>1000486</v>
      </c>
      <c r="B46" s="12" t="s">
        <v>263</v>
      </c>
      <c r="C46" s="41"/>
      <c r="D46" s="43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1000032</v>
      </c>
      <c r="B47" s="12" t="s">
        <v>26</v>
      </c>
      <c r="C47" s="41"/>
      <c r="D47" s="43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1000080</v>
      </c>
      <c r="B48" s="12" t="s">
        <v>275</v>
      </c>
      <c r="C48" s="41"/>
      <c r="D48" s="43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1000436</v>
      </c>
      <c r="B49" s="12" t="s">
        <v>276</v>
      </c>
      <c r="C49" s="41"/>
      <c r="D49" s="43"/>
      <c r="F49" s="28">
        <v>10</v>
      </c>
      <c r="G49" s="28"/>
      <c r="H49" s="28"/>
      <c r="I49" s="28"/>
      <c r="J49" s="28"/>
      <c r="K49" s="28"/>
      <c r="L49" s="28"/>
      <c r="M49" s="28"/>
      <c r="N49" s="28"/>
      <c r="O49" s="28"/>
      <c r="P49" s="418">
        <f t="shared" si="0"/>
        <v>10</v>
      </c>
    </row>
    <row r="50" spans="1:16" ht="15.75" thickBot="1" x14ac:dyDescent="0.3">
      <c r="A50" s="35">
        <v>1000550</v>
      </c>
      <c r="B50" s="12" t="s">
        <v>277</v>
      </c>
      <c r="C50" s="41"/>
      <c r="D50" s="43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1000551</v>
      </c>
      <c r="B51" s="12" t="s">
        <v>278</v>
      </c>
      <c r="C51" s="41"/>
      <c r="D51" s="43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243">
        <v>1000552</v>
      </c>
      <c r="B52" s="251" t="s">
        <v>279</v>
      </c>
      <c r="C52" s="215"/>
      <c r="D52" s="38"/>
      <c r="E52" s="21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1000030</v>
      </c>
      <c r="B53" s="12" t="s">
        <v>24</v>
      </c>
      <c r="D53" s="38"/>
      <c r="F53" s="28"/>
      <c r="G53" s="28"/>
      <c r="H53" s="28"/>
      <c r="I53" s="28"/>
      <c r="J53" s="28">
        <v>1</v>
      </c>
      <c r="K53" s="28"/>
      <c r="L53" s="28">
        <v>2</v>
      </c>
      <c r="M53" s="28"/>
      <c r="N53" s="28"/>
      <c r="O53" s="28"/>
      <c r="P53" s="807">
        <v>3</v>
      </c>
    </row>
  </sheetData>
  <mergeCells count="4">
    <mergeCell ref="A1:B2"/>
    <mergeCell ref="F1:J2"/>
    <mergeCell ref="L1:L2"/>
    <mergeCell ref="M1:M2"/>
  </mergeCells>
  <phoneticPr fontId="108" type="noConversion"/>
  <pageMargins left="0.7" right="0.7" top="0.75" bottom="0.75" header="0.3" footer="0.3"/>
  <pageSetup paperSize="9" scale="63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62D8-B789-4015-8B9D-0375337D18C5}">
  <sheetPr>
    <tabColor rgb="FF7030A0"/>
    <pageSetUpPr fitToPage="1"/>
  </sheetPr>
  <dimension ref="A1:R51"/>
  <sheetViews>
    <sheetView topLeftCell="A20" zoomScale="85" zoomScaleNormal="85" workbookViewId="0">
      <selection activeCell="P36" sqref="P36"/>
    </sheetView>
  </sheetViews>
  <sheetFormatPr baseColWidth="10" defaultColWidth="10.875" defaultRowHeight="15" x14ac:dyDescent="0.25"/>
  <cols>
    <col min="1" max="1" width="7.875" style="27" bestFit="1" customWidth="1"/>
    <col min="2" max="2" width="30.125" style="27" bestFit="1" customWidth="1"/>
    <col min="3" max="3" width="1" style="27" customWidth="1"/>
    <col min="4" max="4" width="8.125" style="27" bestFit="1" customWidth="1"/>
    <col min="5" max="5" width="1.5" style="27" customWidth="1"/>
    <col min="6" max="6" width="9.125" style="27" bestFit="1" customWidth="1"/>
    <col min="7" max="7" width="6.375" style="27" customWidth="1"/>
    <col min="8" max="8" width="9.125" style="27" bestFit="1" customWidth="1"/>
    <col min="9" max="9" width="6.625" style="27" customWidth="1"/>
    <col min="10" max="10" width="9.125" style="27" bestFit="1" customWidth="1"/>
    <col min="11" max="11" width="7" style="27" customWidth="1"/>
    <col min="12" max="12" width="9.125" style="27" bestFit="1" customWidth="1"/>
    <col min="13" max="13" width="6.625" style="27" customWidth="1"/>
    <col min="14" max="14" width="9.125" style="27" bestFit="1" customWidth="1"/>
    <col min="15" max="15" width="6.25" style="27" customWidth="1"/>
    <col min="16" max="16384" width="10.875" style="27"/>
  </cols>
  <sheetData>
    <row r="1" spans="1:16" ht="15" customHeight="1" x14ac:dyDescent="0.45">
      <c r="A1" s="686" t="s">
        <v>139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5.75" customHeight="1" thickBot="1" x14ac:dyDescent="0.5">
      <c r="A2" s="688"/>
      <c r="B2" s="689"/>
      <c r="C2" s="18"/>
      <c r="D2" s="439" t="s">
        <v>362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340" t="s">
        <v>365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10000102</v>
      </c>
      <c r="B5" s="11" t="s">
        <v>2</v>
      </c>
      <c r="C5" s="41"/>
      <c r="D5" s="48"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51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170</v>
      </c>
      <c r="F6" s="28">
        <v>100</v>
      </c>
      <c r="G6" s="28"/>
      <c r="H6" s="28">
        <v>100</v>
      </c>
      <c r="I6" s="28"/>
      <c r="J6" s="28">
        <v>100</v>
      </c>
      <c r="K6" s="28"/>
      <c r="L6" s="28">
        <v>100</v>
      </c>
      <c r="M6" s="28"/>
      <c r="N6" s="28">
        <v>100</v>
      </c>
      <c r="O6" s="28"/>
      <c r="P6" s="418">
        <f t="shared" si="0"/>
        <v>500</v>
      </c>
    </row>
    <row r="7" spans="1:16" ht="15.75" thickBot="1" x14ac:dyDescent="0.3">
      <c r="A7" s="35">
        <v>10212</v>
      </c>
      <c r="B7" s="12" t="s">
        <v>6</v>
      </c>
      <c r="C7" s="41"/>
      <c r="D7" s="47">
        <v>3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1000008</v>
      </c>
      <c r="B8" s="12" t="s">
        <v>7</v>
      </c>
      <c r="C8" s="41"/>
      <c r="D8" s="47">
        <v>25</v>
      </c>
      <c r="F8" s="28">
        <v>200</v>
      </c>
      <c r="G8" s="28"/>
      <c r="H8" s="28"/>
      <c r="I8" s="28"/>
      <c r="J8" s="28">
        <v>50</v>
      </c>
      <c r="K8" s="28"/>
      <c r="L8" s="28">
        <v>50</v>
      </c>
      <c r="M8" s="28"/>
      <c r="N8" s="28">
        <v>50</v>
      </c>
      <c r="O8" s="28"/>
      <c r="P8" s="418">
        <f t="shared" si="0"/>
        <v>350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1</v>
      </c>
      <c r="F9" s="28">
        <v>3</v>
      </c>
      <c r="G9" s="28"/>
      <c r="H9" s="28">
        <v>3</v>
      </c>
      <c r="I9" s="28"/>
      <c r="J9" s="28">
        <v>2</v>
      </c>
      <c r="K9" s="28"/>
      <c r="L9" s="28">
        <v>3</v>
      </c>
      <c r="M9" s="28"/>
      <c r="N9" s="28">
        <v>3</v>
      </c>
      <c r="O9" s="28"/>
      <c r="P9" s="418">
        <f t="shared" si="0"/>
        <v>14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0</v>
      </c>
      <c r="F10" s="28"/>
      <c r="G10" s="28"/>
      <c r="H10" s="28">
        <v>1</v>
      </c>
      <c r="I10" s="28"/>
      <c r="J10" s="28"/>
      <c r="K10" s="28"/>
      <c r="L10" s="28"/>
      <c r="M10" s="28"/>
      <c r="N10" s="28">
        <v>1</v>
      </c>
      <c r="O10" s="28"/>
      <c r="P10" s="418">
        <f t="shared" si="0"/>
        <v>2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0</v>
      </c>
      <c r="F11" s="28">
        <v>3</v>
      </c>
      <c r="G11" s="28"/>
      <c r="H11" s="28">
        <v>3</v>
      </c>
      <c r="I11" s="28"/>
      <c r="J11" s="28">
        <v>2</v>
      </c>
      <c r="K11" s="28"/>
      <c r="L11" s="28">
        <v>2</v>
      </c>
      <c r="M11" s="28"/>
      <c r="N11" s="28">
        <v>2</v>
      </c>
      <c r="O11" s="28"/>
      <c r="P11" s="418">
        <f t="shared" si="0"/>
        <v>12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35</v>
      </c>
      <c r="F12" s="28">
        <v>20</v>
      </c>
      <c r="G12" s="28"/>
      <c r="H12" s="28">
        <v>20</v>
      </c>
      <c r="I12" s="28"/>
      <c r="J12" s="28">
        <v>20</v>
      </c>
      <c r="K12" s="28"/>
      <c r="L12" s="28">
        <v>20</v>
      </c>
      <c r="M12" s="28"/>
      <c r="N12" s="28">
        <v>20</v>
      </c>
      <c r="O12" s="28"/>
      <c r="P12" s="418">
        <f t="shared" si="0"/>
        <v>100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/>
      <c r="G13" s="28"/>
      <c r="H13" s="28">
        <v>1</v>
      </c>
      <c r="I13" s="28"/>
      <c r="J13" s="28"/>
      <c r="K13" s="28"/>
      <c r="L13" s="28"/>
      <c r="M13" s="28"/>
      <c r="N13" s="28"/>
      <c r="O13" s="28"/>
      <c r="P13" s="418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35</v>
      </c>
      <c r="F14" s="28">
        <v>25</v>
      </c>
      <c r="G14" s="28"/>
      <c r="H14" s="28">
        <v>25</v>
      </c>
      <c r="I14" s="28"/>
      <c r="J14" s="28">
        <v>25</v>
      </c>
      <c r="K14" s="28"/>
      <c r="L14" s="28">
        <v>20</v>
      </c>
      <c r="M14" s="28"/>
      <c r="N14" s="28">
        <v>25</v>
      </c>
      <c r="O14" s="28"/>
      <c r="P14" s="418">
        <f t="shared" si="0"/>
        <v>120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418">
        <f t="shared" si="0"/>
        <v>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1000049</v>
      </c>
      <c r="B17" s="12" t="s">
        <v>21</v>
      </c>
      <c r="C17" s="41"/>
      <c r="D17" s="47">
        <v>0</v>
      </c>
      <c r="F17" s="28">
        <v>1</v>
      </c>
      <c r="G17" s="28"/>
      <c r="H17" s="28"/>
      <c r="I17" s="28"/>
      <c r="J17" s="28">
        <v>2</v>
      </c>
      <c r="K17" s="28"/>
      <c r="L17" s="28"/>
      <c r="M17" s="28"/>
      <c r="N17" s="28"/>
      <c r="O17" s="28"/>
      <c r="P17" s="418">
        <f t="shared" si="0"/>
        <v>3</v>
      </c>
    </row>
    <row r="18" spans="1:16" ht="15.75" thickBot="1" x14ac:dyDescent="0.3">
      <c r="A18" s="35">
        <v>1000050</v>
      </c>
      <c r="B18" s="14" t="s">
        <v>22</v>
      </c>
      <c r="C18" s="41"/>
      <c r="D18" s="47">
        <v>0</v>
      </c>
      <c r="F18" s="28">
        <v>1</v>
      </c>
      <c r="G18" s="28"/>
      <c r="H18" s="28"/>
      <c r="I18" s="28"/>
      <c r="J18" s="28">
        <v>1</v>
      </c>
      <c r="K18" s="28"/>
      <c r="L18" s="28"/>
      <c r="M18" s="28"/>
      <c r="N18" s="28"/>
      <c r="O18" s="28"/>
      <c r="P18" s="418">
        <f t="shared" si="0"/>
        <v>2</v>
      </c>
    </row>
    <row r="19" spans="1:16" ht="15.75" thickBot="1" x14ac:dyDescent="0.3">
      <c r="A19" s="35">
        <v>1000045</v>
      </c>
      <c r="B19" s="12" t="s">
        <v>23</v>
      </c>
      <c r="C19" s="41"/>
      <c r="D19" s="47">
        <v>0</v>
      </c>
      <c r="F19" s="28"/>
      <c r="G19" s="28"/>
      <c r="H19" s="28"/>
      <c r="I19" s="28"/>
      <c r="J19" s="28"/>
      <c r="K19" s="28"/>
      <c r="L19" s="28">
        <v>3</v>
      </c>
      <c r="M19" s="28"/>
      <c r="N19" s="28"/>
      <c r="O19" s="28"/>
      <c r="P19" s="418">
        <f t="shared" si="0"/>
        <v>3</v>
      </c>
    </row>
    <row r="20" spans="1:16" ht="15.75" thickBot="1" x14ac:dyDescent="0.3">
      <c r="A20" s="35">
        <v>1000032</v>
      </c>
      <c r="B20" s="13" t="s">
        <v>26</v>
      </c>
      <c r="C20" s="41"/>
      <c r="D20" s="47">
        <v>3</v>
      </c>
      <c r="F20" s="28">
        <v>2</v>
      </c>
      <c r="G20" s="28"/>
      <c r="H20" s="28"/>
      <c r="I20" s="28"/>
      <c r="J20" s="28"/>
      <c r="K20" s="28"/>
      <c r="L20" s="28">
        <v>2</v>
      </c>
      <c r="M20" s="28"/>
      <c r="N20" s="28">
        <v>2</v>
      </c>
      <c r="O20" s="28"/>
      <c r="P20" s="418">
        <f t="shared" si="0"/>
        <v>6</v>
      </c>
    </row>
    <row r="21" spans="1:16" ht="15.75" thickBot="1" x14ac:dyDescent="0.3">
      <c r="A21" s="35">
        <v>1000029</v>
      </c>
      <c r="B21" s="12" t="s">
        <v>30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>
        <v>1</v>
      </c>
      <c r="O21" s="28"/>
      <c r="P21" s="418">
        <f t="shared" si="0"/>
        <v>1</v>
      </c>
    </row>
    <row r="22" spans="1:16" ht="15.75" thickBot="1" x14ac:dyDescent="0.3">
      <c r="A22" s="35">
        <v>1000025</v>
      </c>
      <c r="B22" s="13" t="s">
        <v>32</v>
      </c>
      <c r="C22" s="41"/>
      <c r="D22" s="47">
        <v>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1000027</v>
      </c>
      <c r="B23" s="12" t="s">
        <v>33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1000101</v>
      </c>
      <c r="B24" s="13" t="s">
        <v>35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1000082</v>
      </c>
      <c r="B25" s="12" t="s">
        <v>37</v>
      </c>
      <c r="C25" s="41"/>
      <c r="D25" s="47">
        <v>70</v>
      </c>
      <c r="F25" s="28">
        <v>24</v>
      </c>
      <c r="G25" s="28"/>
      <c r="H25" s="28">
        <v>24</v>
      </c>
      <c r="I25" s="28"/>
      <c r="J25" s="28">
        <v>32</v>
      </c>
      <c r="K25" s="28"/>
      <c r="L25" s="28">
        <v>24</v>
      </c>
      <c r="M25" s="28"/>
      <c r="N25" s="28">
        <v>24</v>
      </c>
      <c r="O25" s="28"/>
      <c r="P25" s="418">
        <f t="shared" si="0"/>
        <v>128</v>
      </c>
    </row>
    <row r="26" spans="1:16" ht="15.75" thickBot="1" x14ac:dyDescent="0.3">
      <c r="A26" s="35">
        <v>1000146</v>
      </c>
      <c r="B26" s="13" t="s">
        <v>39</v>
      </c>
      <c r="C26" s="41"/>
      <c r="D26" s="47">
        <v>20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10248</v>
      </c>
      <c r="B27" s="12" t="s">
        <v>183</v>
      </c>
      <c r="C27" s="41"/>
      <c r="D27" s="47">
        <v>0</v>
      </c>
      <c r="F27" s="28"/>
      <c r="G27" s="28"/>
      <c r="H27" s="28">
        <v>12</v>
      </c>
      <c r="I27" s="28"/>
      <c r="J27" s="28"/>
      <c r="K27" s="28"/>
      <c r="L27" s="28">
        <v>12</v>
      </c>
      <c r="M27" s="28"/>
      <c r="N27" s="28"/>
      <c r="O27" s="28"/>
      <c r="P27" s="418">
        <f t="shared" si="0"/>
        <v>24</v>
      </c>
    </row>
    <row r="28" spans="1:16" ht="15.75" thickBot="1" x14ac:dyDescent="0.3">
      <c r="A28" s="35">
        <v>1000090</v>
      </c>
      <c r="B28" s="13" t="s">
        <v>40</v>
      </c>
      <c r="C28" s="41"/>
      <c r="D28" s="47">
        <v>2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418">
        <f t="shared" si="0"/>
        <v>0</v>
      </c>
    </row>
    <row r="29" spans="1:16" ht="15.75" thickBot="1" x14ac:dyDescent="0.3">
      <c r="A29" s="35">
        <v>1000052</v>
      </c>
      <c r="B29" s="12" t="s">
        <v>41</v>
      </c>
      <c r="C29" s="41"/>
      <c r="D29" s="47">
        <v>2</v>
      </c>
      <c r="F29" s="28">
        <v>4</v>
      </c>
      <c r="G29" s="28"/>
      <c r="H29" s="28">
        <v>4</v>
      </c>
      <c r="I29" s="28"/>
      <c r="J29" s="28">
        <v>2</v>
      </c>
      <c r="K29" s="28"/>
      <c r="L29" s="28">
        <v>2</v>
      </c>
      <c r="M29" s="28"/>
      <c r="N29" s="28">
        <v>2</v>
      </c>
      <c r="O29" s="28"/>
      <c r="P29" s="418">
        <f t="shared" si="0"/>
        <v>14</v>
      </c>
    </row>
    <row r="30" spans="1:16" ht="15.75" thickBot="1" x14ac:dyDescent="0.3">
      <c r="A30" s="35">
        <v>1000089</v>
      </c>
      <c r="B30" s="13" t="s">
        <v>42</v>
      </c>
      <c r="C30" s="41"/>
      <c r="D30" s="47">
        <v>2</v>
      </c>
      <c r="F30" s="28">
        <v>3</v>
      </c>
      <c r="G30" s="28"/>
      <c r="H30" s="28">
        <v>3</v>
      </c>
      <c r="I30" s="28"/>
      <c r="J30" s="28">
        <v>2</v>
      </c>
      <c r="K30" s="28"/>
      <c r="L30" s="28">
        <v>2</v>
      </c>
      <c r="M30" s="28"/>
      <c r="N30" s="28">
        <v>2</v>
      </c>
      <c r="O30" s="28"/>
      <c r="P30" s="418">
        <f t="shared" si="0"/>
        <v>12</v>
      </c>
    </row>
    <row r="31" spans="1:16" ht="15.75" thickBot="1" x14ac:dyDescent="0.3">
      <c r="A31" s="35">
        <v>1000048</v>
      </c>
      <c r="B31" s="12" t="s">
        <v>45</v>
      </c>
      <c r="C31" s="41"/>
      <c r="D31" s="47">
        <v>0</v>
      </c>
      <c r="F31" s="28"/>
      <c r="G31" s="28"/>
      <c r="H31" s="28"/>
      <c r="I31" s="28"/>
      <c r="J31" s="28">
        <v>1</v>
      </c>
      <c r="K31" s="28"/>
      <c r="L31" s="28"/>
      <c r="M31" s="28"/>
      <c r="N31" s="28"/>
      <c r="O31" s="28"/>
      <c r="P31" s="418">
        <f t="shared" si="0"/>
        <v>1</v>
      </c>
    </row>
    <row r="32" spans="1:16" ht="15.75" thickBot="1" x14ac:dyDescent="0.3">
      <c r="A32" s="35">
        <v>1000142</v>
      </c>
      <c r="B32" s="13" t="s">
        <v>54</v>
      </c>
      <c r="C32" s="41"/>
      <c r="D32" s="47">
        <v>1</v>
      </c>
      <c r="F32" s="28">
        <v>1</v>
      </c>
      <c r="G32" s="28"/>
      <c r="H32" s="28"/>
      <c r="I32" s="28"/>
      <c r="J32" s="28"/>
      <c r="K32" s="28"/>
      <c r="L32" s="28"/>
      <c r="M32" s="28"/>
      <c r="N32" s="28"/>
      <c r="O32" s="28"/>
      <c r="P32" s="418">
        <f t="shared" si="0"/>
        <v>1</v>
      </c>
    </row>
    <row r="33" spans="1:18" ht="15.75" thickBot="1" x14ac:dyDescent="0.3">
      <c r="A33" s="35">
        <v>1000067</v>
      </c>
      <c r="B33" s="12" t="s">
        <v>11</v>
      </c>
      <c r="C33" s="41"/>
      <c r="D33" s="47">
        <v>1</v>
      </c>
      <c r="F33" s="28"/>
      <c r="G33" s="28"/>
      <c r="H33" s="28">
        <v>1</v>
      </c>
      <c r="I33" s="28"/>
      <c r="J33" s="28"/>
      <c r="K33" s="28"/>
      <c r="L33" s="28"/>
      <c r="M33" s="28"/>
      <c r="N33" s="28">
        <v>1</v>
      </c>
      <c r="O33" s="28"/>
      <c r="P33" s="418">
        <f t="shared" si="0"/>
        <v>2</v>
      </c>
    </row>
    <row r="34" spans="1:18" s="15" customFormat="1" ht="15.95" customHeight="1" thickBot="1" x14ac:dyDescent="0.3">
      <c r="A34" s="35">
        <v>1000051</v>
      </c>
      <c r="B34" s="13" t="s">
        <v>43</v>
      </c>
      <c r="C34" s="41"/>
      <c r="D34" s="47">
        <v>2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8" ht="15.75" thickBot="1" x14ac:dyDescent="0.3">
      <c r="A35" s="35">
        <v>1000147</v>
      </c>
      <c r="B35" s="12" t="s">
        <v>52</v>
      </c>
      <c r="C35" s="41"/>
      <c r="D35" s="47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8" ht="15.75" thickBot="1" x14ac:dyDescent="0.3">
      <c r="A36" s="35">
        <v>1000092</v>
      </c>
      <c r="B36" s="13" t="s">
        <v>51</v>
      </c>
      <c r="C36" s="41"/>
      <c r="D36" s="47"/>
      <c r="F36" s="28">
        <v>1</v>
      </c>
      <c r="G36" s="28"/>
      <c r="H36" s="28"/>
      <c r="I36" s="28"/>
      <c r="J36" s="28"/>
      <c r="K36" s="28"/>
      <c r="L36" s="28"/>
      <c r="M36" s="28"/>
      <c r="N36" s="28"/>
      <c r="O36" s="28"/>
      <c r="P36" s="418">
        <f t="shared" si="0"/>
        <v>1</v>
      </c>
    </row>
    <row r="37" spans="1:18" ht="15.75" thickBot="1" x14ac:dyDescent="0.3">
      <c r="A37" s="35">
        <v>1000073</v>
      </c>
      <c r="B37" s="12" t="s">
        <v>36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8" ht="15.75" thickBot="1" x14ac:dyDescent="0.3">
      <c r="A38" s="35">
        <v>1000033</v>
      </c>
      <c r="B38" s="13" t="s">
        <v>27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8" ht="15.75" thickBot="1" x14ac:dyDescent="0.3">
      <c r="A39" s="35">
        <v>1000057</v>
      </c>
      <c r="B39" s="12" t="s">
        <v>70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8" ht="15.75" thickBot="1" x14ac:dyDescent="0.3">
      <c r="A40" s="35">
        <v>1000446</v>
      </c>
      <c r="B40" s="13" t="s">
        <v>201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8" ht="15.75" thickBot="1" x14ac:dyDescent="0.3">
      <c r="A41" s="35">
        <v>1000034</v>
      </c>
      <c r="B41" s="12" t="s">
        <v>28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8" ht="15.75" thickBot="1" x14ac:dyDescent="0.3">
      <c r="A42" s="35">
        <v>1000472</v>
      </c>
      <c r="B42" s="13" t="s">
        <v>222</v>
      </c>
      <c r="C42" s="41"/>
      <c r="D42" s="47"/>
      <c r="F42" s="28"/>
      <c r="G42" s="28"/>
      <c r="H42" s="28"/>
      <c r="I42" s="28"/>
      <c r="J42" s="28"/>
      <c r="K42" s="28"/>
      <c r="L42" s="28">
        <v>1</v>
      </c>
      <c r="M42" s="28"/>
      <c r="N42" s="28"/>
      <c r="O42" s="28"/>
      <c r="P42" s="418">
        <f t="shared" si="0"/>
        <v>1</v>
      </c>
    </row>
    <row r="43" spans="1:18" ht="15.75" thickBot="1" x14ac:dyDescent="0.3">
      <c r="A43" s="35">
        <v>1000031</v>
      </c>
      <c r="B43" s="12" t="s">
        <v>25</v>
      </c>
      <c r="C43" s="41"/>
      <c r="D43" s="47"/>
      <c r="F43" s="28">
        <v>2</v>
      </c>
      <c r="G43" s="28"/>
      <c r="H43" s="28"/>
      <c r="I43" s="28"/>
      <c r="J43" s="28">
        <v>2</v>
      </c>
      <c r="K43" s="28"/>
      <c r="L43" s="28">
        <v>2</v>
      </c>
      <c r="M43" s="28"/>
      <c r="N43" s="28">
        <v>2</v>
      </c>
      <c r="O43" s="28"/>
      <c r="P43" s="418">
        <f t="shared" si="0"/>
        <v>8</v>
      </c>
    </row>
    <row r="44" spans="1:18" ht="15.75" thickBot="1" x14ac:dyDescent="0.3">
      <c r="A44" s="35">
        <v>1000084</v>
      </c>
      <c r="B44" s="13" t="s">
        <v>194</v>
      </c>
      <c r="C44" s="41"/>
      <c r="D44" s="47"/>
      <c r="F44" s="28">
        <v>16</v>
      </c>
      <c r="G44" s="28"/>
      <c r="H44" s="28">
        <v>20</v>
      </c>
      <c r="I44" s="28"/>
      <c r="J44" s="28">
        <v>20</v>
      </c>
      <c r="K44" s="28"/>
      <c r="L44" s="28">
        <v>24</v>
      </c>
      <c r="M44" s="28"/>
      <c r="N44" s="28">
        <v>20</v>
      </c>
      <c r="O44" s="28"/>
      <c r="P44" s="418">
        <f t="shared" si="0"/>
        <v>100</v>
      </c>
    </row>
    <row r="45" spans="1:18" ht="15.75" thickBot="1" x14ac:dyDescent="0.3">
      <c r="A45" s="35">
        <v>1000080</v>
      </c>
      <c r="B45" s="12" t="s">
        <v>275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  <c r="R45" s="630" t="s">
        <v>336</v>
      </c>
    </row>
    <row r="46" spans="1:18" ht="15.75" thickBot="1" x14ac:dyDescent="0.3">
      <c r="A46" s="35">
        <v>1000436</v>
      </c>
      <c r="B46" s="13" t="s">
        <v>276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8" ht="15.75" thickBot="1" x14ac:dyDescent="0.3">
      <c r="A47" s="35">
        <v>1000550</v>
      </c>
      <c r="B47" s="12" t="s">
        <v>277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8" ht="15.75" thickBot="1" x14ac:dyDescent="0.3">
      <c r="A48" s="35">
        <v>1000551</v>
      </c>
      <c r="B48" s="13" t="s">
        <v>278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s="200" customFormat="1" ht="15.75" thickBot="1" x14ac:dyDescent="0.3">
      <c r="A49" s="38">
        <v>1000552</v>
      </c>
      <c r="B49" s="17" t="s">
        <v>279</v>
      </c>
      <c r="C49" s="41"/>
      <c r="D49" s="46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1000073</v>
      </c>
      <c r="B50" s="12" t="s">
        <v>36</v>
      </c>
      <c r="D50" s="4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183">
        <v>1000214</v>
      </c>
      <c r="B51" s="22" t="s">
        <v>49</v>
      </c>
      <c r="D51" s="46"/>
      <c r="F51" s="28"/>
      <c r="G51" s="28"/>
      <c r="H51" s="28"/>
      <c r="I51" s="28"/>
      <c r="J51" s="28">
        <v>1</v>
      </c>
      <c r="K51" s="28"/>
      <c r="L51" s="28"/>
      <c r="M51" s="28"/>
      <c r="N51" s="28"/>
      <c r="O51" s="28"/>
      <c r="P51" s="418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1F25-30D5-4B0F-8610-B89E3B1B1A52}">
  <sheetPr>
    <tabColor rgb="FF7030A0"/>
    <pageSetUpPr fitToPage="1"/>
  </sheetPr>
  <dimension ref="A1:P59"/>
  <sheetViews>
    <sheetView topLeftCell="A6" workbookViewId="0">
      <selection activeCell="P26" sqref="P26"/>
    </sheetView>
  </sheetViews>
  <sheetFormatPr baseColWidth="10" defaultColWidth="10.875" defaultRowHeight="15" x14ac:dyDescent="0.25"/>
  <cols>
    <col min="1" max="1" width="10.375" style="178" customWidth="1"/>
    <col min="2" max="2" width="40.75" style="178" bestFit="1" customWidth="1"/>
    <col min="3" max="3" width="1.125" style="178" customWidth="1"/>
    <col min="4" max="4" width="8.375" style="178" bestFit="1" customWidth="1"/>
    <col min="5" max="5" width="1.375" style="178" customWidth="1"/>
    <col min="6" max="6" width="9.125" style="178" bestFit="1" customWidth="1"/>
    <col min="7" max="7" width="5.625" style="178" customWidth="1"/>
    <col min="8" max="8" width="9.125" style="178" bestFit="1" customWidth="1"/>
    <col min="9" max="9" width="5.625" style="178" customWidth="1"/>
    <col min="10" max="10" width="9.125" style="178" bestFit="1" customWidth="1"/>
    <col min="11" max="11" width="5.5" style="178" customWidth="1"/>
    <col min="12" max="12" width="9.125" style="178" bestFit="1" customWidth="1"/>
    <col min="13" max="13" width="5.875" style="178" customWidth="1"/>
    <col min="14" max="14" width="9.125" style="178" bestFit="1" customWidth="1"/>
    <col min="15" max="15" width="5.375" style="178" customWidth="1"/>
    <col min="16" max="16" width="9.625" style="178" customWidth="1"/>
    <col min="17" max="16384" width="10.875" style="178"/>
  </cols>
  <sheetData>
    <row r="1" spans="1:16" ht="10.5" customHeight="1" x14ac:dyDescent="0.45">
      <c r="A1" s="686" t="s">
        <v>132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3.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17.25" customHeight="1" thickBot="1" x14ac:dyDescent="0.3">
      <c r="A3" s="5"/>
      <c r="B3" s="419" t="s">
        <v>366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178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179">
        <v>10000102</v>
      </c>
      <c r="B5" s="23" t="s">
        <v>2</v>
      </c>
      <c r="C5" s="180"/>
      <c r="D5" s="181">
        <v>0</v>
      </c>
      <c r="F5" s="182"/>
      <c r="G5" s="182"/>
      <c r="H5" s="182"/>
      <c r="I5" s="182"/>
      <c r="J5" s="182"/>
      <c r="K5" s="182"/>
      <c r="L5" s="182">
        <v>1</v>
      </c>
      <c r="M5" s="182"/>
      <c r="N5" s="182"/>
      <c r="O5" s="182"/>
      <c r="P5" s="610">
        <f t="shared" ref="P5:P59" si="0">SUM(F5:O5)</f>
        <v>1</v>
      </c>
    </row>
    <row r="6" spans="1:16" ht="15.75" thickBot="1" x14ac:dyDescent="0.3">
      <c r="A6" s="183">
        <v>1000006</v>
      </c>
      <c r="B6" s="22" t="s">
        <v>4</v>
      </c>
      <c r="C6" s="180"/>
      <c r="D6" s="184">
        <v>50</v>
      </c>
      <c r="F6" s="182">
        <v>50</v>
      </c>
      <c r="G6" s="182"/>
      <c r="H6" s="182">
        <v>50</v>
      </c>
      <c r="I6" s="182"/>
      <c r="J6" s="182"/>
      <c r="K6" s="182"/>
      <c r="L6" s="182">
        <v>50</v>
      </c>
      <c r="M6" s="182"/>
      <c r="N6" s="182">
        <v>50</v>
      </c>
      <c r="O6" s="182"/>
      <c r="P6" s="610">
        <f t="shared" si="0"/>
        <v>200</v>
      </c>
    </row>
    <row r="7" spans="1:16" ht="15.75" thickBot="1" x14ac:dyDescent="0.3">
      <c r="A7" s="183">
        <v>1000007</v>
      </c>
      <c r="B7" s="22" t="s">
        <v>5</v>
      </c>
      <c r="C7" s="180"/>
      <c r="D7" s="184">
        <v>50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79">
        <f t="shared" si="0"/>
        <v>0</v>
      </c>
    </row>
    <row r="8" spans="1:16" ht="15.75" thickBot="1" x14ac:dyDescent="0.3">
      <c r="A8" s="183">
        <v>1000008</v>
      </c>
      <c r="B8" s="22" t="s">
        <v>7</v>
      </c>
      <c r="C8" s="180"/>
      <c r="D8" s="184">
        <v>50</v>
      </c>
      <c r="F8" s="182">
        <v>50</v>
      </c>
      <c r="G8" s="182"/>
      <c r="H8" s="182"/>
      <c r="I8" s="182"/>
      <c r="J8" s="182"/>
      <c r="K8" s="182"/>
      <c r="L8" s="182"/>
      <c r="M8" s="182"/>
      <c r="N8" s="182">
        <v>50</v>
      </c>
      <c r="O8" s="182"/>
      <c r="P8" s="610">
        <f t="shared" si="0"/>
        <v>100</v>
      </c>
    </row>
    <row r="9" spans="1:16" ht="15.75" thickBot="1" x14ac:dyDescent="0.3">
      <c r="A9" s="183">
        <v>1000001</v>
      </c>
      <c r="B9" s="22" t="s">
        <v>8</v>
      </c>
      <c r="C9" s="180"/>
      <c r="D9" s="184">
        <v>1</v>
      </c>
      <c r="F9" s="182">
        <v>1</v>
      </c>
      <c r="G9" s="182"/>
      <c r="H9" s="182">
        <v>1</v>
      </c>
      <c r="I9" s="182"/>
      <c r="J9" s="182">
        <v>1</v>
      </c>
      <c r="K9" s="182"/>
      <c r="L9" s="182">
        <v>1</v>
      </c>
      <c r="M9" s="182"/>
      <c r="N9" s="182">
        <v>1</v>
      </c>
      <c r="O9" s="182"/>
      <c r="P9" s="610">
        <f t="shared" si="0"/>
        <v>5</v>
      </c>
    </row>
    <row r="10" spans="1:16" ht="15.75" thickBot="1" x14ac:dyDescent="0.3">
      <c r="A10" s="183">
        <v>1000002</v>
      </c>
      <c r="B10" s="22" t="s">
        <v>9</v>
      </c>
      <c r="C10" s="180"/>
      <c r="D10" s="184">
        <v>1</v>
      </c>
      <c r="F10" s="182"/>
      <c r="G10" s="182"/>
      <c r="H10" s="182"/>
      <c r="I10" s="182"/>
      <c r="J10" s="182">
        <v>1</v>
      </c>
      <c r="K10" s="182"/>
      <c r="L10" s="182"/>
      <c r="M10" s="182"/>
      <c r="N10" s="182"/>
      <c r="O10" s="182"/>
      <c r="P10" s="610">
        <f t="shared" si="0"/>
        <v>1</v>
      </c>
    </row>
    <row r="11" spans="1:16" ht="15.75" thickBot="1" x14ac:dyDescent="0.3">
      <c r="A11" s="183">
        <v>1000004</v>
      </c>
      <c r="B11" s="22" t="s">
        <v>10</v>
      </c>
      <c r="C11" s="180"/>
      <c r="D11" s="184">
        <v>1</v>
      </c>
      <c r="F11" s="182">
        <v>1</v>
      </c>
      <c r="G11" s="182"/>
      <c r="H11" s="182">
        <v>1</v>
      </c>
      <c r="I11" s="182"/>
      <c r="J11" s="182">
        <v>1</v>
      </c>
      <c r="K11" s="182"/>
      <c r="L11" s="182">
        <v>1</v>
      </c>
      <c r="M11" s="182"/>
      <c r="N11" s="182">
        <v>1</v>
      </c>
      <c r="O11" s="182"/>
      <c r="P11" s="610">
        <f t="shared" si="0"/>
        <v>5</v>
      </c>
    </row>
    <row r="12" spans="1:16" ht="15.75" thickBot="1" x14ac:dyDescent="0.3">
      <c r="A12" s="183">
        <v>1000067</v>
      </c>
      <c r="B12" s="22" t="s">
        <v>11</v>
      </c>
      <c r="C12" s="180"/>
      <c r="D12" s="184">
        <v>0</v>
      </c>
      <c r="F12" s="182">
        <v>1</v>
      </c>
      <c r="G12" s="182"/>
      <c r="H12" s="182"/>
      <c r="I12" s="182"/>
      <c r="J12" s="182"/>
      <c r="K12" s="182"/>
      <c r="L12" s="182"/>
      <c r="M12" s="182"/>
      <c r="N12" s="182"/>
      <c r="O12" s="182"/>
      <c r="P12" s="610">
        <f t="shared" si="0"/>
        <v>1</v>
      </c>
    </row>
    <row r="13" spans="1:16" ht="15.75" thickBot="1" x14ac:dyDescent="0.3">
      <c r="A13" s="183">
        <v>1000054</v>
      </c>
      <c r="B13" s="22" t="s">
        <v>12</v>
      </c>
      <c r="C13" s="180"/>
      <c r="D13" s="184">
        <v>20</v>
      </c>
      <c r="F13" s="182">
        <v>5</v>
      </c>
      <c r="G13" s="182"/>
      <c r="H13" s="182">
        <v>5</v>
      </c>
      <c r="I13" s="182"/>
      <c r="J13" s="182">
        <v>5</v>
      </c>
      <c r="K13" s="182"/>
      <c r="L13" s="182">
        <v>5</v>
      </c>
      <c r="M13" s="182"/>
      <c r="N13" s="182">
        <v>5</v>
      </c>
      <c r="O13" s="182"/>
      <c r="P13" s="610">
        <f t="shared" si="0"/>
        <v>25</v>
      </c>
    </row>
    <row r="14" spans="1:16" ht="15.75" thickBot="1" x14ac:dyDescent="0.3">
      <c r="A14" s="183">
        <v>1000017</v>
      </c>
      <c r="B14" s="22" t="s">
        <v>14</v>
      </c>
      <c r="C14" s="180"/>
      <c r="D14" s="184">
        <v>20</v>
      </c>
      <c r="F14" s="182">
        <v>5</v>
      </c>
      <c r="G14" s="182"/>
      <c r="H14" s="182">
        <v>5</v>
      </c>
      <c r="I14" s="182"/>
      <c r="J14" s="182">
        <v>5</v>
      </c>
      <c r="K14" s="182"/>
      <c r="L14" s="182">
        <v>5</v>
      </c>
      <c r="M14" s="182"/>
      <c r="N14" s="182">
        <v>5</v>
      </c>
      <c r="O14" s="182"/>
      <c r="P14" s="610">
        <f t="shared" si="0"/>
        <v>25</v>
      </c>
    </row>
    <row r="15" spans="1:16" ht="15.75" thickBot="1" x14ac:dyDescent="0.3">
      <c r="A15" s="183">
        <v>1000016</v>
      </c>
      <c r="B15" s="22" t="s">
        <v>15</v>
      </c>
      <c r="C15" s="180"/>
      <c r="D15" s="184">
        <v>1</v>
      </c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808">
        <f t="shared" si="0"/>
        <v>0</v>
      </c>
    </row>
    <row r="16" spans="1:16" ht="15.75" thickBot="1" x14ac:dyDescent="0.3">
      <c r="A16" s="183">
        <v>1000041</v>
      </c>
      <c r="B16" s="24" t="s">
        <v>16</v>
      </c>
      <c r="C16" s="180"/>
      <c r="D16" s="184">
        <v>0</v>
      </c>
      <c r="F16" s="182"/>
      <c r="G16" s="182"/>
      <c r="H16" s="182"/>
      <c r="I16" s="182"/>
      <c r="J16" s="182"/>
      <c r="K16" s="182"/>
      <c r="L16" s="182"/>
      <c r="M16" s="182"/>
      <c r="N16" s="182">
        <v>5</v>
      </c>
      <c r="O16" s="182"/>
      <c r="P16" s="610">
        <f>SUM(F16:O16)</f>
        <v>5</v>
      </c>
    </row>
    <row r="17" spans="1:16" ht="15.75" thickBot="1" x14ac:dyDescent="0.3">
      <c r="A17" s="183">
        <v>1000050</v>
      </c>
      <c r="B17" s="22" t="s">
        <v>22</v>
      </c>
      <c r="C17" s="180"/>
      <c r="D17" s="184">
        <v>0</v>
      </c>
      <c r="F17" s="182"/>
      <c r="G17" s="182"/>
      <c r="H17" s="182">
        <v>1</v>
      </c>
      <c r="I17" s="182"/>
      <c r="J17" s="182"/>
      <c r="K17" s="182"/>
      <c r="L17" s="182">
        <v>1</v>
      </c>
      <c r="M17" s="182"/>
      <c r="N17" s="182"/>
      <c r="O17" s="182"/>
      <c r="P17" s="610">
        <f>SUM(F17:O17)</f>
        <v>2</v>
      </c>
    </row>
    <row r="18" spans="1:16" ht="15.75" thickBot="1" x14ac:dyDescent="0.3">
      <c r="A18" s="183">
        <v>1000045</v>
      </c>
      <c r="B18" s="25" t="s">
        <v>23</v>
      </c>
      <c r="C18" s="180"/>
      <c r="D18" s="184">
        <v>0</v>
      </c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79">
        <f t="shared" si="0"/>
        <v>0</v>
      </c>
    </row>
    <row r="19" spans="1:16" ht="15.75" thickBot="1" x14ac:dyDescent="0.3">
      <c r="A19" s="183">
        <v>1000031</v>
      </c>
      <c r="B19" s="22" t="s">
        <v>25</v>
      </c>
      <c r="C19" s="180"/>
      <c r="D19" s="184">
        <v>1</v>
      </c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79">
        <f t="shared" si="0"/>
        <v>0</v>
      </c>
    </row>
    <row r="20" spans="1:16" ht="15.75" thickBot="1" x14ac:dyDescent="0.3">
      <c r="A20" s="183">
        <v>1000025</v>
      </c>
      <c r="B20" s="22" t="s">
        <v>32</v>
      </c>
      <c r="C20" s="180"/>
      <c r="D20" s="184">
        <v>0</v>
      </c>
      <c r="F20" s="182"/>
      <c r="G20" s="182"/>
      <c r="H20" s="182"/>
      <c r="I20" s="182"/>
      <c r="J20" s="182"/>
      <c r="K20" s="182"/>
      <c r="L20" s="182"/>
      <c r="M20" s="182"/>
      <c r="N20" s="182">
        <v>5</v>
      </c>
      <c r="O20" s="182"/>
      <c r="P20" s="610">
        <f t="shared" si="0"/>
        <v>5</v>
      </c>
    </row>
    <row r="21" spans="1:16" ht="15.75" thickBot="1" x14ac:dyDescent="0.3">
      <c r="A21" s="183">
        <v>1000027</v>
      </c>
      <c r="B21" s="22" t="s">
        <v>33</v>
      </c>
      <c r="C21" s="180"/>
      <c r="D21" s="184">
        <v>1</v>
      </c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79">
        <f t="shared" si="0"/>
        <v>0</v>
      </c>
    </row>
    <row r="22" spans="1:16" ht="15.75" thickBot="1" x14ac:dyDescent="0.3">
      <c r="A22" s="183">
        <v>1000082</v>
      </c>
      <c r="B22" s="22" t="s">
        <v>37</v>
      </c>
      <c r="C22" s="180"/>
      <c r="D22" s="184">
        <v>10</v>
      </c>
      <c r="F22" s="182">
        <v>8</v>
      </c>
      <c r="G22" s="182"/>
      <c r="H22" s="182">
        <v>8</v>
      </c>
      <c r="I22" s="182"/>
      <c r="J22" s="182"/>
      <c r="K22" s="182"/>
      <c r="L22" s="182">
        <v>8</v>
      </c>
      <c r="M22" s="182"/>
      <c r="N22" s="182"/>
      <c r="O22" s="182"/>
      <c r="P22" s="610">
        <f t="shared" si="0"/>
        <v>24</v>
      </c>
    </row>
    <row r="23" spans="1:16" ht="15.75" thickBot="1" x14ac:dyDescent="0.3">
      <c r="A23" s="183">
        <v>1000146</v>
      </c>
      <c r="B23" s="22" t="s">
        <v>39</v>
      </c>
      <c r="C23" s="180"/>
      <c r="D23" s="184">
        <v>20</v>
      </c>
      <c r="F23" s="182">
        <v>10</v>
      </c>
      <c r="G23" s="182"/>
      <c r="H23" s="182">
        <v>10</v>
      </c>
      <c r="I23" s="182"/>
      <c r="J23" s="182">
        <v>10</v>
      </c>
      <c r="K23" s="182"/>
      <c r="L23" s="182">
        <v>10</v>
      </c>
      <c r="M23" s="182"/>
      <c r="N23" s="182">
        <v>10</v>
      </c>
      <c r="O23" s="182"/>
      <c r="P23" s="610">
        <f t="shared" si="0"/>
        <v>50</v>
      </c>
    </row>
    <row r="24" spans="1:16" ht="15.75" thickBot="1" x14ac:dyDescent="0.3">
      <c r="A24" s="115">
        <v>10248</v>
      </c>
      <c r="B24" s="120" t="s">
        <v>183</v>
      </c>
      <c r="C24" s="180"/>
      <c r="D24" s="184">
        <v>0</v>
      </c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79">
        <f t="shared" si="0"/>
        <v>0</v>
      </c>
    </row>
    <row r="25" spans="1:16" ht="15.75" thickBot="1" x14ac:dyDescent="0.3">
      <c r="A25" s="185">
        <v>1000090</v>
      </c>
      <c r="B25" s="25" t="s">
        <v>40</v>
      </c>
      <c r="C25" s="180"/>
      <c r="D25" s="184">
        <v>2</v>
      </c>
      <c r="F25" s="182"/>
      <c r="G25" s="182"/>
      <c r="H25" s="182">
        <v>2</v>
      </c>
      <c r="I25" s="182"/>
      <c r="J25" s="182"/>
      <c r="K25" s="182"/>
      <c r="L25" s="182">
        <v>2</v>
      </c>
      <c r="M25" s="182"/>
      <c r="N25" s="182">
        <v>5</v>
      </c>
      <c r="O25" s="182"/>
      <c r="P25" s="610">
        <f t="shared" si="0"/>
        <v>9</v>
      </c>
    </row>
    <row r="26" spans="1:16" ht="15.75" thickBot="1" x14ac:dyDescent="0.3">
      <c r="A26" s="183">
        <v>1000052</v>
      </c>
      <c r="B26" s="22" t="s">
        <v>41</v>
      </c>
      <c r="C26" s="180"/>
      <c r="D26" s="184">
        <v>1</v>
      </c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808">
        <f t="shared" si="0"/>
        <v>0</v>
      </c>
    </row>
    <row r="27" spans="1:16" ht="15.75" thickBot="1" x14ac:dyDescent="0.3">
      <c r="A27" s="183">
        <v>1000089</v>
      </c>
      <c r="B27" s="22" t="s">
        <v>42</v>
      </c>
      <c r="C27" s="180"/>
      <c r="D27" s="184">
        <v>1</v>
      </c>
      <c r="F27" s="182"/>
      <c r="G27" s="182"/>
      <c r="H27" s="182"/>
      <c r="I27" s="182"/>
      <c r="J27" s="182">
        <v>1</v>
      </c>
      <c r="K27" s="182"/>
      <c r="L27" s="182"/>
      <c r="M27" s="182"/>
      <c r="N27" s="182"/>
      <c r="O27" s="182"/>
      <c r="P27" s="610">
        <f t="shared" si="0"/>
        <v>1</v>
      </c>
    </row>
    <row r="28" spans="1:16" ht="15.75" thickBot="1" x14ac:dyDescent="0.3">
      <c r="A28" s="183">
        <v>1000051</v>
      </c>
      <c r="B28" s="22" t="s">
        <v>43</v>
      </c>
      <c r="C28" s="180"/>
      <c r="D28" s="184">
        <v>1</v>
      </c>
      <c r="E28" s="15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79">
        <f t="shared" si="0"/>
        <v>0</v>
      </c>
    </row>
    <row r="29" spans="1:16" ht="15.75" thickBot="1" x14ac:dyDescent="0.3">
      <c r="A29" s="186">
        <v>1000048</v>
      </c>
      <c r="B29" s="24" t="s">
        <v>45</v>
      </c>
      <c r="C29" s="180"/>
      <c r="D29" s="187">
        <v>0</v>
      </c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79">
        <f t="shared" si="0"/>
        <v>0</v>
      </c>
    </row>
    <row r="30" spans="1:16" ht="15.75" thickBot="1" x14ac:dyDescent="0.3">
      <c r="A30" s="183">
        <v>1000076</v>
      </c>
      <c r="B30" s="22" t="s">
        <v>46</v>
      </c>
      <c r="C30" s="180"/>
      <c r="D30" s="184">
        <v>0</v>
      </c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79">
        <f t="shared" si="0"/>
        <v>0</v>
      </c>
    </row>
    <row r="31" spans="1:16" ht="15.75" thickBot="1" x14ac:dyDescent="0.3">
      <c r="A31" s="183">
        <v>1000074</v>
      </c>
      <c r="B31" s="22" t="s">
        <v>48</v>
      </c>
      <c r="C31" s="180"/>
      <c r="D31" s="184">
        <v>0</v>
      </c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79">
        <f t="shared" si="0"/>
        <v>0</v>
      </c>
    </row>
    <row r="32" spans="1:16" ht="15.75" thickBot="1" x14ac:dyDescent="0.3">
      <c r="A32" s="183">
        <v>1000214</v>
      </c>
      <c r="B32" s="22" t="s">
        <v>49</v>
      </c>
      <c r="C32" s="180"/>
      <c r="D32" s="184">
        <v>0</v>
      </c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79">
        <f t="shared" si="0"/>
        <v>0</v>
      </c>
    </row>
    <row r="33" spans="1:16" ht="15.75" thickBot="1" x14ac:dyDescent="0.3">
      <c r="A33" s="183">
        <v>1000085</v>
      </c>
      <c r="B33" s="22" t="s">
        <v>50</v>
      </c>
      <c r="C33" s="180"/>
      <c r="D33" s="184">
        <v>0</v>
      </c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79">
        <f t="shared" si="0"/>
        <v>0</v>
      </c>
    </row>
    <row r="34" spans="1:16" ht="15.75" thickBot="1" x14ac:dyDescent="0.3">
      <c r="A34" s="183">
        <v>1000092</v>
      </c>
      <c r="B34" s="22" t="s">
        <v>51</v>
      </c>
      <c r="C34" s="180"/>
      <c r="D34" s="184">
        <v>0</v>
      </c>
      <c r="F34" s="182">
        <v>1</v>
      </c>
      <c r="G34" s="182"/>
      <c r="H34" s="182"/>
      <c r="I34" s="182"/>
      <c r="J34" s="182"/>
      <c r="K34" s="182"/>
      <c r="L34" s="182"/>
      <c r="M34" s="182"/>
      <c r="N34" s="182"/>
      <c r="O34" s="182"/>
      <c r="P34" s="610">
        <f t="shared" si="0"/>
        <v>1</v>
      </c>
    </row>
    <row r="35" spans="1:16" ht="15.75" thickBot="1" x14ac:dyDescent="0.3">
      <c r="A35" s="183">
        <v>10233</v>
      </c>
      <c r="B35" s="22" t="s">
        <v>55</v>
      </c>
      <c r="C35" s="180"/>
      <c r="D35" s="184">
        <v>0</v>
      </c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79">
        <f t="shared" si="0"/>
        <v>0</v>
      </c>
    </row>
    <row r="36" spans="1:16" ht="15.75" thickBot="1" x14ac:dyDescent="0.3">
      <c r="A36" s="183">
        <v>1000065</v>
      </c>
      <c r="B36" s="22" t="s">
        <v>63</v>
      </c>
      <c r="C36" s="180"/>
      <c r="D36" s="184">
        <v>0</v>
      </c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79">
        <f t="shared" si="0"/>
        <v>0</v>
      </c>
    </row>
    <row r="37" spans="1:16" ht="15.75" thickBot="1" x14ac:dyDescent="0.3">
      <c r="A37" s="183">
        <v>1000063</v>
      </c>
      <c r="B37" s="22" t="s">
        <v>65</v>
      </c>
      <c r="C37" s="180"/>
      <c r="D37" s="184">
        <v>0</v>
      </c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79">
        <f t="shared" si="0"/>
        <v>0</v>
      </c>
    </row>
    <row r="38" spans="1:16" ht="15.75" customHeight="1" thickBot="1" x14ac:dyDescent="0.3">
      <c r="A38" s="183">
        <v>1000117</v>
      </c>
      <c r="B38" s="22" t="s">
        <v>80</v>
      </c>
      <c r="C38" s="180"/>
      <c r="D38" s="184">
        <v>0</v>
      </c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79">
        <f t="shared" si="0"/>
        <v>0</v>
      </c>
    </row>
    <row r="39" spans="1:16" ht="15.75" thickBot="1" x14ac:dyDescent="0.3">
      <c r="A39" s="183">
        <v>1000100</v>
      </c>
      <c r="B39" s="22" t="s">
        <v>34</v>
      </c>
      <c r="C39" s="180"/>
      <c r="D39" s="184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79">
        <f t="shared" si="0"/>
        <v>0</v>
      </c>
    </row>
    <row r="40" spans="1:16" ht="15.75" thickBot="1" x14ac:dyDescent="0.3">
      <c r="A40" s="183">
        <v>1000101</v>
      </c>
      <c r="B40" s="22" t="s">
        <v>35</v>
      </c>
      <c r="C40" s="180"/>
      <c r="D40" s="184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79">
        <f t="shared" si="0"/>
        <v>0</v>
      </c>
    </row>
    <row r="41" spans="1:16" ht="15.75" thickBot="1" x14ac:dyDescent="0.3">
      <c r="A41" s="183">
        <v>1000049</v>
      </c>
      <c r="B41" s="22" t="s">
        <v>21</v>
      </c>
      <c r="C41" s="180"/>
      <c r="D41" s="184"/>
      <c r="F41" s="182"/>
      <c r="G41" s="182"/>
      <c r="H41" s="182">
        <v>1</v>
      </c>
      <c r="I41" s="182"/>
      <c r="J41" s="182"/>
      <c r="K41" s="182"/>
      <c r="L41" s="182">
        <v>1</v>
      </c>
      <c r="M41" s="182"/>
      <c r="N41" s="182"/>
      <c r="O41" s="182"/>
      <c r="P41" s="610">
        <f t="shared" si="0"/>
        <v>2</v>
      </c>
    </row>
    <row r="42" spans="1:16" ht="15.75" thickBot="1" x14ac:dyDescent="0.3">
      <c r="A42" s="183">
        <v>1000449</v>
      </c>
      <c r="B42" s="22" t="s">
        <v>202</v>
      </c>
      <c r="C42" s="180"/>
      <c r="D42" s="184"/>
      <c r="F42" s="182"/>
      <c r="G42" s="182"/>
      <c r="H42" s="182"/>
      <c r="I42" s="182"/>
      <c r="J42" s="182"/>
      <c r="K42" s="182"/>
      <c r="L42" s="182"/>
      <c r="M42" s="182"/>
      <c r="N42" s="182">
        <v>1</v>
      </c>
      <c r="O42" s="182"/>
      <c r="P42" s="610">
        <f t="shared" si="0"/>
        <v>1</v>
      </c>
    </row>
    <row r="43" spans="1:16" ht="15.75" thickBot="1" x14ac:dyDescent="0.3">
      <c r="A43" s="183">
        <v>1000033</v>
      </c>
      <c r="B43" s="22" t="s">
        <v>27</v>
      </c>
      <c r="C43" s="180"/>
      <c r="D43" s="184"/>
      <c r="F43" s="182"/>
      <c r="G43" s="182"/>
      <c r="H43" s="182">
        <v>1</v>
      </c>
      <c r="I43" s="182"/>
      <c r="J43" s="182"/>
      <c r="K43" s="182"/>
      <c r="L43" s="182">
        <v>1</v>
      </c>
      <c r="M43" s="182"/>
      <c r="N43" s="182"/>
      <c r="O43" s="182"/>
      <c r="P43" s="610">
        <f t="shared" si="0"/>
        <v>2</v>
      </c>
    </row>
    <row r="44" spans="1:16" ht="15.75" thickBot="1" x14ac:dyDescent="0.3">
      <c r="A44" s="183">
        <v>1000117</v>
      </c>
      <c r="B44" s="22" t="s">
        <v>80</v>
      </c>
      <c r="C44" s="180"/>
      <c r="D44" s="184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79">
        <f t="shared" si="0"/>
        <v>0</v>
      </c>
    </row>
    <row r="45" spans="1:16" ht="15.75" thickBot="1" x14ac:dyDescent="0.3">
      <c r="A45" s="183">
        <v>1000034</v>
      </c>
      <c r="B45" s="22" t="s">
        <v>28</v>
      </c>
      <c r="C45" s="180"/>
      <c r="D45" s="184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79">
        <f t="shared" si="0"/>
        <v>0</v>
      </c>
    </row>
    <row r="46" spans="1:16" ht="15.75" thickBot="1" x14ac:dyDescent="0.3">
      <c r="A46" s="183">
        <v>1000472</v>
      </c>
      <c r="B46" s="22" t="s">
        <v>222</v>
      </c>
      <c r="C46" s="180"/>
      <c r="D46" s="184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79">
        <f t="shared" si="0"/>
        <v>0</v>
      </c>
    </row>
    <row r="47" spans="1:16" ht="15.75" thickBot="1" x14ac:dyDescent="0.3">
      <c r="A47" s="183">
        <v>1000383</v>
      </c>
      <c r="B47" s="22" t="s">
        <v>234</v>
      </c>
      <c r="C47" s="180"/>
      <c r="D47" s="184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79">
        <f t="shared" si="0"/>
        <v>0</v>
      </c>
    </row>
    <row r="48" spans="1:16" ht="15.75" thickBot="1" x14ac:dyDescent="0.3">
      <c r="A48" s="183">
        <v>1000029</v>
      </c>
      <c r="B48" s="22" t="s">
        <v>247</v>
      </c>
      <c r="C48" s="180"/>
      <c r="D48" s="184"/>
      <c r="F48" s="182">
        <v>1</v>
      </c>
      <c r="G48" s="182"/>
      <c r="H48" s="182"/>
      <c r="I48" s="182"/>
      <c r="J48" s="182"/>
      <c r="K48" s="182"/>
      <c r="L48" s="182"/>
      <c r="M48" s="182"/>
      <c r="N48" s="182">
        <v>1</v>
      </c>
      <c r="O48" s="182"/>
      <c r="P48" s="610">
        <f t="shared" si="0"/>
        <v>2</v>
      </c>
    </row>
    <row r="49" spans="1:16" ht="15.75" thickBot="1" x14ac:dyDescent="0.3">
      <c r="A49" s="183">
        <v>1000037</v>
      </c>
      <c r="B49" s="22" t="s">
        <v>76</v>
      </c>
      <c r="C49" s="180"/>
      <c r="D49" s="184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79">
        <f t="shared" si="0"/>
        <v>0</v>
      </c>
    </row>
    <row r="50" spans="1:16" ht="15.75" thickBot="1" x14ac:dyDescent="0.3">
      <c r="A50" s="22">
        <v>1000522</v>
      </c>
      <c r="B50" s="22" t="s">
        <v>280</v>
      </c>
      <c r="C50" s="180"/>
      <c r="D50" s="184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79">
        <f t="shared" si="0"/>
        <v>0</v>
      </c>
    </row>
    <row r="51" spans="1:16" ht="15.75" thickBot="1" x14ac:dyDescent="0.3">
      <c r="A51" s="22">
        <v>1000070</v>
      </c>
      <c r="B51" s="22" t="s">
        <v>13</v>
      </c>
      <c r="C51" s="180"/>
      <c r="D51" s="184"/>
      <c r="F51" s="182"/>
      <c r="G51" s="182"/>
      <c r="H51" s="182">
        <v>1</v>
      </c>
      <c r="I51" s="182"/>
      <c r="J51" s="182"/>
      <c r="K51" s="182"/>
      <c r="L51" s="182">
        <v>1</v>
      </c>
      <c r="M51" s="182"/>
      <c r="N51" s="182"/>
      <c r="O51" s="182"/>
      <c r="P51" s="610">
        <f t="shared" si="0"/>
        <v>2</v>
      </c>
    </row>
    <row r="52" spans="1:16" ht="15.75" thickBot="1" x14ac:dyDescent="0.3">
      <c r="A52" s="22">
        <v>1000080</v>
      </c>
      <c r="B52" s="22" t="s">
        <v>275</v>
      </c>
      <c r="C52" s="180"/>
      <c r="D52" s="184"/>
      <c r="F52" s="182">
        <v>8</v>
      </c>
      <c r="G52" s="182"/>
      <c r="H52" s="182">
        <v>8</v>
      </c>
      <c r="I52" s="182"/>
      <c r="J52" s="182"/>
      <c r="K52" s="182"/>
      <c r="L52" s="182">
        <v>8</v>
      </c>
      <c r="M52" s="182"/>
      <c r="N52" s="182"/>
      <c r="O52" s="182"/>
      <c r="P52" s="610">
        <f t="shared" si="0"/>
        <v>24</v>
      </c>
    </row>
    <row r="53" spans="1:16" ht="15.75" thickBot="1" x14ac:dyDescent="0.3">
      <c r="A53" s="183">
        <v>1000436</v>
      </c>
      <c r="B53" s="22" t="s">
        <v>276</v>
      </c>
      <c r="C53" s="180"/>
      <c r="D53" s="184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79">
        <f t="shared" si="0"/>
        <v>0</v>
      </c>
    </row>
    <row r="54" spans="1:16" ht="15.75" thickBot="1" x14ac:dyDescent="0.3">
      <c r="A54" s="183">
        <v>1000550</v>
      </c>
      <c r="B54" s="22" t="s">
        <v>277</v>
      </c>
      <c r="C54" s="180"/>
      <c r="D54" s="184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79">
        <f t="shared" si="0"/>
        <v>0</v>
      </c>
    </row>
    <row r="55" spans="1:16" ht="15.75" thickBot="1" x14ac:dyDescent="0.3">
      <c r="A55" s="183">
        <v>1000551</v>
      </c>
      <c r="B55" s="22" t="s">
        <v>278</v>
      </c>
      <c r="C55" s="180"/>
      <c r="D55" s="184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79">
        <f t="shared" si="0"/>
        <v>0</v>
      </c>
    </row>
    <row r="56" spans="1:16" ht="15.75" thickBot="1" x14ac:dyDescent="0.3">
      <c r="A56" s="30">
        <v>10000015</v>
      </c>
      <c r="B56" s="11" t="s">
        <v>1</v>
      </c>
      <c r="C56" s="180"/>
      <c r="D56" s="184"/>
      <c r="F56" s="182">
        <v>5</v>
      </c>
      <c r="G56" s="182"/>
      <c r="H56" s="182">
        <v>5</v>
      </c>
      <c r="I56" s="182"/>
      <c r="J56" s="182"/>
      <c r="K56" s="182"/>
      <c r="L56" s="182"/>
      <c r="M56" s="182"/>
      <c r="N56" s="182"/>
      <c r="O56" s="182"/>
      <c r="P56" s="610">
        <f t="shared" si="0"/>
        <v>10</v>
      </c>
    </row>
    <row r="57" spans="1:16" s="200" customFormat="1" ht="15.75" thickBot="1" x14ac:dyDescent="0.3">
      <c r="A57" s="38"/>
      <c r="B57" s="17" t="s">
        <v>492</v>
      </c>
      <c r="C57" s="41"/>
      <c r="D57" s="46"/>
      <c r="E57" s="27"/>
      <c r="F57" s="182"/>
      <c r="G57" s="182"/>
      <c r="H57" s="182"/>
      <c r="I57" s="182"/>
      <c r="J57" s="182">
        <v>1</v>
      </c>
      <c r="K57" s="182"/>
      <c r="L57" s="182"/>
      <c r="M57" s="182"/>
      <c r="N57" s="182">
        <v>1</v>
      </c>
      <c r="O57" s="182"/>
      <c r="P57" s="610">
        <f t="shared" si="0"/>
        <v>2</v>
      </c>
    </row>
    <row r="58" spans="1:16" ht="15.75" thickBot="1" x14ac:dyDescent="0.3">
      <c r="A58" s="35"/>
      <c r="B58" s="17" t="s">
        <v>50</v>
      </c>
      <c r="D58" s="46"/>
      <c r="F58" s="182"/>
      <c r="G58" s="182"/>
      <c r="H58" s="182"/>
      <c r="I58" s="182"/>
      <c r="J58" s="182"/>
      <c r="K58" s="182"/>
      <c r="L58" s="182"/>
      <c r="M58" s="182"/>
      <c r="N58" s="182">
        <v>1</v>
      </c>
      <c r="O58" s="182"/>
      <c r="P58" s="610">
        <f t="shared" si="0"/>
        <v>1</v>
      </c>
    </row>
    <row r="59" spans="1:16" ht="15.75" thickBot="1" x14ac:dyDescent="0.3">
      <c r="A59" s="38"/>
      <c r="B59" s="17"/>
      <c r="D59" s="46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79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B293-2C0A-47E3-94C9-E3EF1790DA48}">
  <sheetPr>
    <tabColor rgb="FF7030A0"/>
    <pageSetUpPr fitToPage="1"/>
  </sheetPr>
  <dimension ref="A1:P61"/>
  <sheetViews>
    <sheetView zoomScaleNormal="100" workbookViewId="0">
      <selection activeCell="Q21" sqref="Q21"/>
    </sheetView>
  </sheetViews>
  <sheetFormatPr baseColWidth="10" defaultColWidth="10.875" defaultRowHeight="15" x14ac:dyDescent="0.25"/>
  <cols>
    <col min="1" max="1" width="7.875" style="27" bestFit="1" customWidth="1"/>
    <col min="2" max="2" width="40.125" style="27" bestFit="1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6.25" style="27" customWidth="1"/>
    <col min="8" max="8" width="9.125" style="27" bestFit="1" customWidth="1"/>
    <col min="9" max="9" width="5.375" style="27" customWidth="1"/>
    <col min="10" max="10" width="9.125" style="27" bestFit="1" customWidth="1"/>
    <col min="11" max="11" width="4.875" style="27" customWidth="1"/>
    <col min="12" max="12" width="9.125" style="27" bestFit="1" customWidth="1"/>
    <col min="13" max="13" width="5.625" style="27" customWidth="1"/>
    <col min="14" max="14" width="9.125" style="27" bestFit="1" customWidth="1"/>
    <col min="15" max="15" width="6" style="27" customWidth="1"/>
    <col min="16" max="16384" width="10.875" style="27"/>
  </cols>
  <sheetData>
    <row r="1" spans="1:16" ht="17.25" customHeight="1" x14ac:dyDescent="0.45">
      <c r="A1" s="686" t="s">
        <v>215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362</v>
      </c>
      <c r="F2" s="754"/>
      <c r="G2" s="755"/>
      <c r="H2" s="755"/>
      <c r="I2" s="755"/>
      <c r="J2" s="756"/>
      <c r="K2" s="2"/>
    </row>
    <row r="3" spans="1:16" s="3" customFormat="1" ht="17.25" customHeight="1" thickBot="1" x14ac:dyDescent="0.3">
      <c r="A3" s="5"/>
      <c r="B3" s="419" t="s">
        <v>367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60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230</v>
      </c>
      <c r="F7" s="28"/>
      <c r="G7" s="28"/>
      <c r="H7" s="28"/>
      <c r="I7" s="28"/>
      <c r="J7" s="28"/>
      <c r="K7" s="28"/>
      <c r="L7" s="28">
        <v>50</v>
      </c>
      <c r="M7" s="28"/>
      <c r="N7" s="28"/>
      <c r="O7" s="28"/>
      <c r="P7" s="418">
        <f t="shared" si="0"/>
        <v>50</v>
      </c>
    </row>
    <row r="8" spans="1:16" ht="15.75" thickBot="1" x14ac:dyDescent="0.3">
      <c r="A8" s="35">
        <v>1000007</v>
      </c>
      <c r="B8" s="12" t="s">
        <v>5</v>
      </c>
      <c r="C8" s="41"/>
      <c r="D8" s="47">
        <v>230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35">
        <v>1000008</v>
      </c>
      <c r="B9" s="12" t="s">
        <v>7</v>
      </c>
      <c r="C9" s="41"/>
      <c r="D9" s="47">
        <v>1</v>
      </c>
      <c r="F9" s="28"/>
      <c r="G9" s="28"/>
      <c r="H9" s="28"/>
      <c r="I9" s="28"/>
      <c r="J9" s="28">
        <v>50</v>
      </c>
      <c r="K9" s="28"/>
      <c r="L9" s="28">
        <v>50</v>
      </c>
      <c r="M9" s="28"/>
      <c r="N9" s="28"/>
      <c r="O9" s="28"/>
      <c r="P9" s="418">
        <f t="shared" si="0"/>
        <v>100</v>
      </c>
    </row>
    <row r="10" spans="1:16" ht="15.75" thickBot="1" x14ac:dyDescent="0.3">
      <c r="A10" s="35">
        <v>1000001</v>
      </c>
      <c r="B10" s="12" t="s">
        <v>8</v>
      </c>
      <c r="C10" s="41"/>
      <c r="D10" s="47">
        <v>4</v>
      </c>
      <c r="F10" s="28"/>
      <c r="G10" s="28"/>
      <c r="H10" s="28">
        <v>3</v>
      </c>
      <c r="I10" s="28"/>
      <c r="J10" s="28">
        <v>2</v>
      </c>
      <c r="K10" s="28"/>
      <c r="L10" s="28">
        <v>3</v>
      </c>
      <c r="M10" s="28"/>
      <c r="N10" s="28"/>
      <c r="O10" s="28"/>
      <c r="P10" s="418">
        <f t="shared" si="0"/>
        <v>8</v>
      </c>
    </row>
    <row r="11" spans="1:16" ht="15.75" thickBot="1" x14ac:dyDescent="0.3">
      <c r="A11" s="35">
        <v>1000002</v>
      </c>
      <c r="B11" s="12" t="s">
        <v>9</v>
      </c>
      <c r="C11" s="41"/>
      <c r="D11" s="47">
        <v>2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1</v>
      </c>
      <c r="F12" s="28"/>
      <c r="G12" s="28"/>
      <c r="H12" s="28">
        <v>1</v>
      </c>
      <c r="I12" s="28"/>
      <c r="J12" s="28"/>
      <c r="K12" s="28"/>
      <c r="L12" s="28"/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85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418">
        <f t="shared" si="0"/>
        <v>0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80</v>
      </c>
      <c r="F14" s="28"/>
      <c r="G14" s="28"/>
      <c r="H14" s="28">
        <v>5</v>
      </c>
      <c r="I14" s="28"/>
      <c r="J14" s="28">
        <v>5</v>
      </c>
      <c r="K14" s="28"/>
      <c r="L14" s="28">
        <v>5</v>
      </c>
      <c r="M14" s="28"/>
      <c r="N14" s="28"/>
      <c r="O14" s="28"/>
      <c r="P14" s="418">
        <f t="shared" si="0"/>
        <v>15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10</v>
      </c>
      <c r="F15" s="28"/>
      <c r="G15" s="28"/>
      <c r="H15" s="28">
        <v>5</v>
      </c>
      <c r="I15" s="28"/>
      <c r="J15" s="28"/>
      <c r="K15" s="28"/>
      <c r="L15" s="28">
        <v>5</v>
      </c>
      <c r="M15" s="28"/>
      <c r="N15" s="28"/>
      <c r="O15" s="28"/>
      <c r="P15" s="418">
        <f t="shared" si="0"/>
        <v>10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28"/>
      <c r="G17" s="28"/>
      <c r="H17" s="28"/>
      <c r="I17" s="28"/>
      <c r="J17" s="28"/>
      <c r="K17" s="28"/>
      <c r="L17" s="28">
        <v>2</v>
      </c>
      <c r="M17" s="28"/>
      <c r="N17" s="28"/>
      <c r="O17" s="28"/>
      <c r="P17" s="418">
        <f t="shared" si="0"/>
        <v>2</v>
      </c>
    </row>
    <row r="18" spans="1:16" ht="15.75" thickBot="1" x14ac:dyDescent="0.3">
      <c r="A18" s="35">
        <v>1000045</v>
      </c>
      <c r="B18" s="14" t="s">
        <v>23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1000031</v>
      </c>
      <c r="B19" s="12" t="s">
        <v>25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1000033</v>
      </c>
      <c r="B20" s="12" t="s">
        <v>27</v>
      </c>
      <c r="C20" s="41"/>
      <c r="D20" s="47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1000034</v>
      </c>
      <c r="B21" s="12" t="s">
        <v>28</v>
      </c>
      <c r="C21" s="41"/>
      <c r="D21" s="47">
        <v>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1000026</v>
      </c>
      <c r="B22" s="12" t="s">
        <v>31</v>
      </c>
      <c r="C22" s="41"/>
      <c r="D22" s="47">
        <v>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1000027</v>
      </c>
      <c r="B23" s="12" t="s">
        <v>33</v>
      </c>
      <c r="C23" s="41"/>
      <c r="D23" s="47">
        <v>3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1000100</v>
      </c>
      <c r="B24" s="12" t="s">
        <v>34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1000101</v>
      </c>
      <c r="B25" s="12" t="s">
        <v>35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1000073</v>
      </c>
      <c r="B26" s="12" t="s">
        <v>36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1000146</v>
      </c>
      <c r="B27" s="12" t="s">
        <v>39</v>
      </c>
      <c r="C27" s="41"/>
      <c r="D27" s="47">
        <v>10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1000052</v>
      </c>
      <c r="B28" s="12" t="s">
        <v>41</v>
      </c>
      <c r="C28" s="41"/>
      <c r="D28" s="47">
        <v>2</v>
      </c>
      <c r="F28" s="28"/>
      <c r="G28" s="28"/>
      <c r="H28" s="28">
        <v>2</v>
      </c>
      <c r="I28" s="28"/>
      <c r="J28" s="28"/>
      <c r="K28" s="28"/>
      <c r="L28" s="28">
        <v>2</v>
      </c>
      <c r="M28" s="28"/>
      <c r="N28" s="28"/>
      <c r="O28" s="28"/>
      <c r="P28" s="418">
        <f t="shared" si="0"/>
        <v>4</v>
      </c>
    </row>
    <row r="29" spans="1:16" ht="15.75" thickBot="1" x14ac:dyDescent="0.3">
      <c r="A29" s="35">
        <v>1000089</v>
      </c>
      <c r="B29" s="12" t="s">
        <v>42</v>
      </c>
      <c r="C29" s="41"/>
      <c r="D29" s="47">
        <v>2</v>
      </c>
      <c r="F29" s="28"/>
      <c r="G29" s="28"/>
      <c r="H29" s="28">
        <v>2</v>
      </c>
      <c r="I29" s="28"/>
      <c r="J29" s="28"/>
      <c r="K29" s="28"/>
      <c r="L29" s="28">
        <v>2</v>
      </c>
      <c r="M29" s="28"/>
      <c r="N29" s="28"/>
      <c r="O29" s="28"/>
      <c r="P29" s="418">
        <f t="shared" si="0"/>
        <v>4</v>
      </c>
    </row>
    <row r="30" spans="1:16" ht="15.75" thickBot="1" x14ac:dyDescent="0.3">
      <c r="A30" s="35">
        <v>1000051</v>
      </c>
      <c r="B30" s="12" t="s">
        <v>43</v>
      </c>
      <c r="C30" s="41"/>
      <c r="D30" s="47">
        <v>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1000048</v>
      </c>
      <c r="B31" s="12" t="s">
        <v>45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1000076</v>
      </c>
      <c r="B32" s="12" t="s">
        <v>46</v>
      </c>
      <c r="C32" s="41"/>
      <c r="D32" s="47">
        <v>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1000147</v>
      </c>
      <c r="B33" s="12" t="s">
        <v>52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1000142</v>
      </c>
      <c r="B34" s="12" t="s">
        <v>54</v>
      </c>
      <c r="C34" s="41"/>
      <c r="D34" s="47">
        <v>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1000064</v>
      </c>
      <c r="B35" s="12" t="s">
        <v>64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1000075</v>
      </c>
      <c r="B36" s="12" t="s">
        <v>47</v>
      </c>
      <c r="C36" s="41"/>
      <c r="D36" s="47"/>
      <c r="F36" s="28"/>
      <c r="G36" s="28"/>
      <c r="H36" s="28">
        <v>1</v>
      </c>
      <c r="I36" s="28"/>
      <c r="J36" s="28">
        <v>2</v>
      </c>
      <c r="K36" s="28"/>
      <c r="L36" s="28"/>
      <c r="M36" s="28"/>
      <c r="N36" s="28"/>
      <c r="O36" s="28"/>
      <c r="P36" s="809">
        <f t="shared" si="0"/>
        <v>3</v>
      </c>
    </row>
    <row r="37" spans="1:16" s="15" customFormat="1" ht="15.95" customHeight="1" thickBot="1" x14ac:dyDescent="0.3">
      <c r="A37" s="35">
        <v>1000025</v>
      </c>
      <c r="B37" s="12" t="s">
        <v>32</v>
      </c>
      <c r="C37" s="41"/>
      <c r="D37" s="47"/>
      <c r="E37" s="27"/>
      <c r="F37" s="28"/>
      <c r="G37" s="28"/>
      <c r="H37" s="28">
        <v>5</v>
      </c>
      <c r="I37" s="28"/>
      <c r="J37" s="28"/>
      <c r="K37" s="28"/>
      <c r="L37" s="28"/>
      <c r="M37" s="28"/>
      <c r="N37" s="28"/>
      <c r="O37" s="28"/>
      <c r="P37" s="809">
        <f t="shared" si="0"/>
        <v>5</v>
      </c>
    </row>
    <row r="38" spans="1:16" ht="15.75" thickBot="1" x14ac:dyDescent="0.3">
      <c r="A38" s="35">
        <v>1000028</v>
      </c>
      <c r="B38" s="12" t="s">
        <v>68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1000049</v>
      </c>
      <c r="B39" s="12" t="s">
        <v>21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10248</v>
      </c>
      <c r="B40" s="12" t="s">
        <v>183</v>
      </c>
      <c r="C40" s="41"/>
      <c r="D40" s="47"/>
      <c r="F40" s="28"/>
      <c r="G40" s="28"/>
      <c r="H40" s="28">
        <v>6</v>
      </c>
      <c r="I40" s="28"/>
      <c r="J40" s="28"/>
      <c r="K40" s="28"/>
      <c r="L40" s="28"/>
      <c r="M40" s="28"/>
      <c r="N40" s="28"/>
      <c r="O40" s="28"/>
      <c r="P40" s="418">
        <f t="shared" si="0"/>
        <v>6</v>
      </c>
    </row>
    <row r="41" spans="1:16" ht="15.75" thickBot="1" x14ac:dyDescent="0.3">
      <c r="A41" s="35">
        <v>1000004</v>
      </c>
      <c r="B41" s="12" t="s">
        <v>10</v>
      </c>
      <c r="C41" s="41"/>
      <c r="D41" s="47"/>
      <c r="F41" s="28"/>
      <c r="G41" s="28"/>
      <c r="H41" s="28">
        <v>3</v>
      </c>
      <c r="I41" s="28"/>
      <c r="J41" s="28">
        <v>2</v>
      </c>
      <c r="K41" s="28"/>
      <c r="L41" s="28">
        <v>3</v>
      </c>
      <c r="M41" s="28"/>
      <c r="N41" s="28"/>
      <c r="O41" s="28"/>
      <c r="P41" s="418">
        <f t="shared" si="0"/>
        <v>8</v>
      </c>
    </row>
    <row r="42" spans="1:16" ht="15.75" thickBot="1" x14ac:dyDescent="0.3">
      <c r="A42" s="35">
        <v>1000090</v>
      </c>
      <c r="B42" s="12" t="s">
        <v>40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1000070</v>
      </c>
      <c r="B43" s="12" t="s">
        <v>13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1000084</v>
      </c>
      <c r="B44" s="12" t="s">
        <v>38</v>
      </c>
      <c r="C44" s="41"/>
      <c r="D44" s="47"/>
      <c r="F44" s="28"/>
      <c r="G44" s="28"/>
      <c r="H44" s="28">
        <v>4</v>
      </c>
      <c r="I44" s="28"/>
      <c r="J44" s="28">
        <v>4</v>
      </c>
      <c r="K44" s="28"/>
      <c r="L44" s="28"/>
      <c r="M44" s="28"/>
      <c r="N44" s="28"/>
      <c r="O44" s="28"/>
      <c r="P44" s="418">
        <f t="shared" si="0"/>
        <v>8</v>
      </c>
    </row>
    <row r="45" spans="1:16" ht="15.75" thickBot="1" x14ac:dyDescent="0.3">
      <c r="A45" s="35">
        <v>1000087</v>
      </c>
      <c r="B45" s="12" t="s">
        <v>197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1000029</v>
      </c>
      <c r="B46" s="12" t="s">
        <v>30</v>
      </c>
      <c r="C46" s="41"/>
      <c r="D46" s="47"/>
      <c r="F46" s="28"/>
      <c r="G46" s="28"/>
      <c r="H46" s="28">
        <v>1</v>
      </c>
      <c r="I46" s="28"/>
      <c r="J46" s="28"/>
      <c r="K46" s="28"/>
      <c r="L46" s="28"/>
      <c r="M46" s="28"/>
      <c r="N46" s="28"/>
      <c r="O46" s="28"/>
      <c r="P46" s="418">
        <f t="shared" si="0"/>
        <v>1</v>
      </c>
    </row>
    <row r="47" spans="1:16" ht="15.75" thickBot="1" x14ac:dyDescent="0.3">
      <c r="A47" s="35">
        <v>1000030</v>
      </c>
      <c r="B47" s="12" t="s">
        <v>24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10248</v>
      </c>
      <c r="B48" s="12" t="s">
        <v>183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1000214</v>
      </c>
      <c r="B49" s="12" t="s">
        <v>49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1000057</v>
      </c>
      <c r="B50" s="12" t="s">
        <v>70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1000085</v>
      </c>
      <c r="B51" s="12" t="s">
        <v>50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10211</v>
      </c>
      <c r="B52" s="12" t="s">
        <v>3</v>
      </c>
      <c r="C52" s="41"/>
      <c r="D52" s="47"/>
      <c r="F52" s="28"/>
      <c r="G52" s="28"/>
      <c r="H52" s="28">
        <v>50</v>
      </c>
      <c r="I52" s="28"/>
      <c r="J52" s="28">
        <v>50</v>
      </c>
      <c r="K52" s="28"/>
      <c r="L52" s="28">
        <v>50</v>
      </c>
      <c r="M52" s="28"/>
      <c r="N52" s="28"/>
      <c r="O52" s="28"/>
      <c r="P52" s="418">
        <f t="shared" si="0"/>
        <v>150</v>
      </c>
    </row>
    <row r="53" spans="1:16" ht="15.75" thickBot="1" x14ac:dyDescent="0.3">
      <c r="A53" s="35">
        <v>1000383</v>
      </c>
      <c r="B53" s="12" t="s">
        <v>264</v>
      </c>
      <c r="C53" s="41"/>
      <c r="D53" s="47"/>
      <c r="F53" s="28"/>
      <c r="G53" s="28"/>
      <c r="H53" s="28">
        <v>48</v>
      </c>
      <c r="I53" s="28"/>
      <c r="J53" s="28"/>
      <c r="K53" s="28"/>
      <c r="L53" s="28">
        <v>48</v>
      </c>
      <c r="M53" s="28"/>
      <c r="N53" s="28"/>
      <c r="O53" s="28"/>
      <c r="P53" s="418">
        <f t="shared" si="0"/>
        <v>96</v>
      </c>
    </row>
    <row r="54" spans="1:16" ht="15.75" thickBot="1" x14ac:dyDescent="0.3">
      <c r="A54" s="35">
        <v>1000486</v>
      </c>
      <c r="B54" s="12" t="s">
        <v>263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1000201</v>
      </c>
      <c r="B55" s="12" t="s">
        <v>62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1000103</v>
      </c>
      <c r="B56" s="12" t="s">
        <v>56</v>
      </c>
      <c r="C56" s="41"/>
      <c r="D56" s="4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35">
        <v>1000080</v>
      </c>
      <c r="B57" s="12" t="s">
        <v>275</v>
      </c>
      <c r="C57" s="41"/>
      <c r="D57" s="4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35">
        <v>1000436</v>
      </c>
      <c r="B58" s="12" t="s">
        <v>276</v>
      </c>
      <c r="C58" s="41"/>
      <c r="D58" s="47"/>
      <c r="F58" s="28"/>
      <c r="G58" s="28"/>
      <c r="H58" s="28">
        <v>10</v>
      </c>
      <c r="I58" s="28"/>
      <c r="J58" s="28"/>
      <c r="K58" s="28"/>
      <c r="L58" s="28"/>
      <c r="M58" s="28"/>
      <c r="N58" s="28"/>
      <c r="O58" s="28"/>
      <c r="P58" s="418">
        <f t="shared" si="0"/>
        <v>10</v>
      </c>
    </row>
    <row r="59" spans="1:16" ht="15.75" thickBot="1" x14ac:dyDescent="0.3">
      <c r="A59" s="35">
        <v>1000550</v>
      </c>
      <c r="B59" s="12" t="s">
        <v>277</v>
      </c>
      <c r="C59" s="41"/>
      <c r="D59" s="4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  <row r="60" spans="1:16" ht="15.75" thickBot="1" x14ac:dyDescent="0.3">
      <c r="A60" s="35">
        <v>1000551</v>
      </c>
      <c r="B60" s="12" t="s">
        <v>278</v>
      </c>
      <c r="C60" s="41"/>
      <c r="D60" s="4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si="0"/>
        <v>0</v>
      </c>
    </row>
    <row r="61" spans="1:16" ht="15.75" thickBot="1" x14ac:dyDescent="0.3">
      <c r="A61" s="243"/>
      <c r="B61" s="251" t="s">
        <v>492</v>
      </c>
      <c r="C61" s="215"/>
      <c r="D61" s="38"/>
      <c r="E61" s="215"/>
      <c r="F61" s="28"/>
      <c r="G61" s="28"/>
      <c r="H61" s="28"/>
      <c r="I61" s="28"/>
      <c r="J61" s="28"/>
      <c r="K61" s="28"/>
      <c r="L61" s="28">
        <v>1</v>
      </c>
      <c r="M61" s="28"/>
      <c r="N61" s="28"/>
      <c r="O61" s="28"/>
      <c r="P61" s="627">
        <f t="shared" ref="P61" si="1">SUM(F61:O61)</f>
        <v>1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3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7E12-67A0-4F5C-9D6E-69584D6F3863}">
  <sheetPr>
    <tabColor rgb="FF7030A0"/>
    <pageSetUpPr fitToPage="1"/>
  </sheetPr>
  <dimension ref="A1:S50"/>
  <sheetViews>
    <sheetView topLeftCell="A12" zoomScale="70" zoomScaleNormal="70" workbookViewId="0">
      <selection activeCell="P36" sqref="P36"/>
    </sheetView>
  </sheetViews>
  <sheetFormatPr baseColWidth="10" defaultColWidth="10.875" defaultRowHeight="15" x14ac:dyDescent="0.25"/>
  <cols>
    <col min="1" max="1" width="9.75" style="277" customWidth="1"/>
    <col min="2" max="2" width="31.5" style="277" customWidth="1"/>
    <col min="3" max="3" width="0.75" style="277" customWidth="1"/>
    <col min="4" max="4" width="8.125" style="277" bestFit="1" customWidth="1"/>
    <col min="5" max="5" width="0.625" style="277" customWidth="1"/>
    <col min="6" max="6" width="8.5" style="277" customWidth="1"/>
    <col min="7" max="7" width="6.125" style="277" customWidth="1"/>
    <col min="8" max="8" width="8.625" style="277" customWidth="1"/>
    <col min="9" max="9" width="6.625" style="277" customWidth="1"/>
    <col min="10" max="10" width="8" style="277" customWidth="1"/>
    <col min="11" max="11" width="6.5" style="277" customWidth="1"/>
    <col min="12" max="12" width="8.375" style="277" customWidth="1"/>
    <col min="13" max="13" width="7" style="277" customWidth="1"/>
    <col min="14" max="14" width="8.125" style="277" customWidth="1"/>
    <col min="15" max="15" width="6.5" style="277" customWidth="1"/>
    <col min="16" max="16" width="12.375" style="277" customWidth="1"/>
    <col min="17" max="16384" width="10.875" style="277"/>
  </cols>
  <sheetData>
    <row r="1" spans="1:19" ht="15" customHeight="1" x14ac:dyDescent="0.45">
      <c r="A1" s="686" t="s">
        <v>271</v>
      </c>
      <c r="B1" s="687"/>
      <c r="C1" s="18"/>
      <c r="F1" s="751" t="s">
        <v>477</v>
      </c>
      <c r="G1" s="752"/>
      <c r="H1" s="752"/>
      <c r="I1" s="752"/>
      <c r="J1" s="753"/>
      <c r="K1" s="2"/>
    </row>
    <row r="2" spans="1:19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9" s="3" customFormat="1" ht="22.5" customHeight="1" thickBot="1" x14ac:dyDescent="0.3">
      <c r="A3" s="5"/>
      <c r="B3" s="5" t="s">
        <v>368</v>
      </c>
      <c r="C3" s="18"/>
      <c r="D3" s="4"/>
    </row>
    <row r="4" spans="1:19" s="3" customFormat="1" ht="16.5" thickBot="1" x14ac:dyDescent="0.3">
      <c r="A4" s="52" t="s">
        <v>0</v>
      </c>
      <c r="B4" s="6" t="s">
        <v>105</v>
      </c>
      <c r="C4" s="4"/>
      <c r="D4" s="7" t="s">
        <v>106</v>
      </c>
      <c r="E4" s="27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7" t="s">
        <v>98</v>
      </c>
    </row>
    <row r="5" spans="1:19" s="3" customFormat="1" ht="16.5" thickBot="1" x14ac:dyDescent="0.3">
      <c r="A5" s="278">
        <v>10000015</v>
      </c>
      <c r="B5" s="53" t="s">
        <v>1</v>
      </c>
      <c r="C5" s="49"/>
      <c r="D5" s="54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441">
        <f t="shared" ref="P5:P50" si="0">SUM(F5:O5)</f>
        <v>0</v>
      </c>
    </row>
    <row r="6" spans="1:19" ht="15.95" customHeight="1" thickBot="1" x14ac:dyDescent="0.3">
      <c r="A6" s="282">
        <v>1000006</v>
      </c>
      <c r="B6" s="55" t="s">
        <v>4</v>
      </c>
      <c r="C6" s="49"/>
      <c r="D6" s="56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441">
        <f t="shared" si="0"/>
        <v>0</v>
      </c>
    </row>
    <row r="7" spans="1:19" ht="15.75" thickBot="1" x14ac:dyDescent="0.3">
      <c r="A7" s="282">
        <v>1000007</v>
      </c>
      <c r="B7" s="55" t="s">
        <v>5</v>
      </c>
      <c r="C7" s="49"/>
      <c r="D7" s="56"/>
      <c r="F7" s="280"/>
      <c r="G7" s="280"/>
      <c r="H7" s="280">
        <v>50</v>
      </c>
      <c r="I7" s="280"/>
      <c r="J7" s="280"/>
      <c r="K7" s="280"/>
      <c r="L7" s="280">
        <v>50</v>
      </c>
      <c r="M7" s="280"/>
      <c r="N7" s="280"/>
      <c r="O7" s="280"/>
      <c r="P7" s="611">
        <f t="shared" si="0"/>
        <v>100</v>
      </c>
    </row>
    <row r="8" spans="1:19" ht="15.75" thickBot="1" x14ac:dyDescent="0.3">
      <c r="A8" s="282">
        <v>1000008</v>
      </c>
      <c r="B8" s="55" t="s">
        <v>7</v>
      </c>
      <c r="C8" s="49"/>
      <c r="D8" s="56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441">
        <f t="shared" si="0"/>
        <v>0</v>
      </c>
      <c r="S8" s="440"/>
    </row>
    <row r="9" spans="1:19" ht="15.75" thickBot="1" x14ac:dyDescent="0.3">
      <c r="A9" s="282">
        <v>1000001</v>
      </c>
      <c r="B9" s="55" t="s">
        <v>8</v>
      </c>
      <c r="C9" s="49"/>
      <c r="D9" s="56"/>
      <c r="F9" s="280"/>
      <c r="G9" s="280"/>
      <c r="H9" s="280">
        <v>2</v>
      </c>
      <c r="I9" s="280"/>
      <c r="J9" s="280"/>
      <c r="K9" s="280"/>
      <c r="L9" s="280">
        <v>2</v>
      </c>
      <c r="M9" s="280"/>
      <c r="N9" s="280"/>
      <c r="O9" s="280"/>
      <c r="P9" s="611">
        <f t="shared" si="0"/>
        <v>4</v>
      </c>
    </row>
    <row r="10" spans="1:19" ht="15.75" thickBot="1" x14ac:dyDescent="0.3">
      <c r="A10" s="282">
        <v>1000054</v>
      </c>
      <c r="B10" s="55" t="s">
        <v>12</v>
      </c>
      <c r="C10" s="49"/>
      <c r="D10" s="56"/>
      <c r="F10" s="280"/>
      <c r="G10" s="280"/>
      <c r="H10" s="280"/>
      <c r="I10" s="280"/>
      <c r="J10" s="280"/>
      <c r="K10" s="280"/>
      <c r="L10" s="280">
        <v>5</v>
      </c>
      <c r="M10" s="280"/>
      <c r="N10" s="280"/>
      <c r="O10" s="280"/>
      <c r="P10" s="611">
        <f t="shared" si="0"/>
        <v>5</v>
      </c>
    </row>
    <row r="11" spans="1:19" ht="15.75" thickBot="1" x14ac:dyDescent="0.3">
      <c r="A11" s="282">
        <v>1000017</v>
      </c>
      <c r="B11" s="55" t="s">
        <v>14</v>
      </c>
      <c r="C11" s="49"/>
      <c r="D11" s="56"/>
      <c r="F11" s="280"/>
      <c r="G11" s="280"/>
      <c r="H11" s="280"/>
      <c r="I11" s="280"/>
      <c r="J11" s="280"/>
      <c r="K11" s="280"/>
      <c r="L11" s="280">
        <v>5</v>
      </c>
      <c r="M11" s="280"/>
      <c r="N11" s="280"/>
      <c r="O11" s="280"/>
      <c r="P11" s="611">
        <f t="shared" si="0"/>
        <v>5</v>
      </c>
    </row>
    <row r="12" spans="1:19" ht="15.75" thickBot="1" x14ac:dyDescent="0.3">
      <c r="A12" s="282">
        <v>1000016</v>
      </c>
      <c r="B12" s="55" t="s">
        <v>15</v>
      </c>
      <c r="C12" s="49"/>
      <c r="D12" s="56"/>
      <c r="F12" s="280"/>
      <c r="G12" s="280"/>
      <c r="H12" s="280"/>
      <c r="I12" s="280"/>
      <c r="J12" s="280"/>
      <c r="K12" s="280"/>
      <c r="L12" s="280">
        <v>5</v>
      </c>
      <c r="M12" s="280"/>
      <c r="N12" s="280"/>
      <c r="O12" s="280"/>
      <c r="P12" s="611">
        <f t="shared" si="0"/>
        <v>5</v>
      </c>
    </row>
    <row r="13" spans="1:19" ht="15.75" thickBot="1" x14ac:dyDescent="0.3">
      <c r="A13" s="282">
        <v>1000101</v>
      </c>
      <c r="B13" s="55" t="s">
        <v>35</v>
      </c>
      <c r="C13" s="49"/>
      <c r="D13" s="56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441">
        <f t="shared" si="0"/>
        <v>0</v>
      </c>
    </row>
    <row r="14" spans="1:19" ht="15.75" thickBot="1" x14ac:dyDescent="0.3">
      <c r="A14" s="282">
        <v>1000052</v>
      </c>
      <c r="B14" s="55" t="s">
        <v>41</v>
      </c>
      <c r="C14" s="49"/>
      <c r="D14" s="56"/>
      <c r="F14" s="280"/>
      <c r="G14" s="280"/>
      <c r="H14" s="280"/>
      <c r="I14" s="280"/>
      <c r="J14" s="280"/>
      <c r="K14" s="280"/>
      <c r="L14" s="280">
        <v>2</v>
      </c>
      <c r="M14" s="280"/>
      <c r="N14" s="280"/>
      <c r="O14" s="280"/>
      <c r="P14" s="611">
        <f t="shared" si="0"/>
        <v>2</v>
      </c>
    </row>
    <row r="15" spans="1:19" ht="15.75" thickBot="1" x14ac:dyDescent="0.3">
      <c r="A15" s="282">
        <v>1000089</v>
      </c>
      <c r="B15" s="55" t="s">
        <v>42</v>
      </c>
      <c r="C15" s="49"/>
      <c r="D15" s="56"/>
      <c r="F15" s="280"/>
      <c r="G15" s="280"/>
      <c r="H15" s="280">
        <v>2</v>
      </c>
      <c r="I15" s="280"/>
      <c r="J15" s="280"/>
      <c r="K15" s="280"/>
      <c r="L15" s="280">
        <v>2</v>
      </c>
      <c r="M15" s="280"/>
      <c r="N15" s="280"/>
      <c r="O15" s="280"/>
      <c r="P15" s="611">
        <f t="shared" si="0"/>
        <v>4</v>
      </c>
    </row>
    <row r="16" spans="1:19" ht="15.75" thickBot="1" x14ac:dyDescent="0.3">
      <c r="A16" s="282">
        <v>1000076</v>
      </c>
      <c r="B16" s="55" t="s">
        <v>46</v>
      </c>
      <c r="C16" s="49"/>
      <c r="D16" s="56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441">
        <f t="shared" si="0"/>
        <v>0</v>
      </c>
    </row>
    <row r="17" spans="1:16" ht="15.75" thickBot="1" x14ac:dyDescent="0.3">
      <c r="A17" s="282">
        <v>1000214</v>
      </c>
      <c r="B17" s="55" t="s">
        <v>49</v>
      </c>
      <c r="C17" s="49"/>
      <c r="D17" s="56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441">
        <f t="shared" si="0"/>
        <v>0</v>
      </c>
    </row>
    <row r="18" spans="1:16" ht="15.75" thickBot="1" x14ac:dyDescent="0.3">
      <c r="A18" s="282">
        <v>1000051</v>
      </c>
      <c r="B18" s="55" t="s">
        <v>43</v>
      </c>
      <c r="C18" s="49"/>
      <c r="D18" s="56"/>
      <c r="F18" s="280"/>
      <c r="G18" s="280"/>
      <c r="H18" s="280">
        <v>1</v>
      </c>
      <c r="I18" s="280"/>
      <c r="J18" s="280"/>
      <c r="K18" s="280"/>
      <c r="L18" s="280">
        <v>1</v>
      </c>
      <c r="M18" s="280"/>
      <c r="N18" s="280"/>
      <c r="O18" s="280"/>
      <c r="P18" s="611">
        <f t="shared" si="0"/>
        <v>2</v>
      </c>
    </row>
    <row r="19" spans="1:16" ht="15.75" thickBot="1" x14ac:dyDescent="0.3">
      <c r="A19" s="282">
        <v>10000102</v>
      </c>
      <c r="B19" s="55" t="s">
        <v>2</v>
      </c>
      <c r="C19" s="49"/>
      <c r="D19" s="56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441">
        <f t="shared" si="0"/>
        <v>0</v>
      </c>
    </row>
    <row r="20" spans="1:16" s="15" customFormat="1" ht="15.95" customHeight="1" thickBot="1" x14ac:dyDescent="0.3">
      <c r="A20" s="282">
        <v>1000002</v>
      </c>
      <c r="B20" s="55" t="s">
        <v>9</v>
      </c>
      <c r="C20" s="49"/>
      <c r="D20" s="56"/>
      <c r="E20" s="277"/>
      <c r="F20" s="280"/>
      <c r="G20" s="280"/>
      <c r="H20" s="280">
        <v>1</v>
      </c>
      <c r="I20" s="280"/>
      <c r="J20" s="280"/>
      <c r="K20" s="280"/>
      <c r="L20" s="280">
        <v>1</v>
      </c>
      <c r="M20" s="280"/>
      <c r="N20" s="280"/>
      <c r="O20" s="280"/>
      <c r="P20" s="611">
        <f t="shared" si="0"/>
        <v>2</v>
      </c>
    </row>
    <row r="21" spans="1:16" ht="15.75" thickBot="1" x14ac:dyDescent="0.3">
      <c r="A21" s="282">
        <v>10211</v>
      </c>
      <c r="B21" s="55" t="s">
        <v>3</v>
      </c>
      <c r="C21" s="49"/>
      <c r="D21" s="56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441">
        <f t="shared" si="0"/>
        <v>0</v>
      </c>
    </row>
    <row r="22" spans="1:16" ht="15.75" thickBot="1" x14ac:dyDescent="0.3">
      <c r="A22" s="282">
        <v>1000027</v>
      </c>
      <c r="B22" s="55" t="s">
        <v>33</v>
      </c>
      <c r="C22" s="49"/>
      <c r="D22" s="56"/>
      <c r="F22" s="280"/>
      <c r="G22" s="280"/>
      <c r="H22" s="280">
        <v>3</v>
      </c>
      <c r="I22" s="280"/>
      <c r="J22" s="280"/>
      <c r="K22" s="280"/>
      <c r="L22" s="280"/>
      <c r="M22" s="280"/>
      <c r="N22" s="280"/>
      <c r="O22" s="280"/>
      <c r="P22" s="611">
        <f t="shared" si="0"/>
        <v>3</v>
      </c>
    </row>
    <row r="23" spans="1:16" ht="15.75" thickBot="1" x14ac:dyDescent="0.3">
      <c r="A23" s="282">
        <v>1000048</v>
      </c>
      <c r="B23" s="55" t="s">
        <v>45</v>
      </c>
      <c r="C23" s="49"/>
      <c r="D23" s="56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441">
        <f t="shared" si="0"/>
        <v>0</v>
      </c>
    </row>
    <row r="24" spans="1:16" ht="15.75" thickBot="1" x14ac:dyDescent="0.3">
      <c r="A24" s="282">
        <v>1000100</v>
      </c>
      <c r="B24" s="55" t="s">
        <v>34</v>
      </c>
      <c r="C24" s="49"/>
      <c r="D24" s="56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441">
        <f t="shared" si="0"/>
        <v>0</v>
      </c>
    </row>
    <row r="25" spans="1:16" ht="15.75" thickBot="1" x14ac:dyDescent="0.3">
      <c r="A25" s="282">
        <v>1000029</v>
      </c>
      <c r="B25" s="55" t="s">
        <v>30</v>
      </c>
      <c r="C25" s="49"/>
      <c r="D25" s="56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441">
        <f t="shared" si="0"/>
        <v>0</v>
      </c>
    </row>
    <row r="26" spans="1:16" ht="15.75" thickBot="1" x14ac:dyDescent="0.3">
      <c r="A26" s="282">
        <v>1000049</v>
      </c>
      <c r="B26" s="55" t="s">
        <v>21</v>
      </c>
      <c r="C26" s="49"/>
      <c r="D26" s="56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441">
        <f t="shared" si="0"/>
        <v>0</v>
      </c>
    </row>
    <row r="27" spans="1:16" ht="15.75" thickBot="1" x14ac:dyDescent="0.3">
      <c r="A27" s="282">
        <v>1000050</v>
      </c>
      <c r="B27" s="55" t="s">
        <v>22</v>
      </c>
      <c r="C27" s="49"/>
      <c r="D27" s="56"/>
      <c r="F27" s="280"/>
      <c r="G27" s="280"/>
      <c r="H27" s="280">
        <v>1</v>
      </c>
      <c r="I27" s="280"/>
      <c r="J27" s="280"/>
      <c r="K27" s="280"/>
      <c r="L27" s="280"/>
      <c r="M27" s="280"/>
      <c r="N27" s="280"/>
      <c r="O27" s="280"/>
      <c r="P27" s="611">
        <f t="shared" si="0"/>
        <v>1</v>
      </c>
    </row>
    <row r="28" spans="1:16" ht="15.75" thickBot="1" x14ac:dyDescent="0.3">
      <c r="A28" s="282">
        <v>1000070</v>
      </c>
      <c r="B28" s="55" t="s">
        <v>13</v>
      </c>
      <c r="C28" s="49"/>
      <c r="D28" s="56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441">
        <f t="shared" si="0"/>
        <v>0</v>
      </c>
    </row>
    <row r="29" spans="1:16" ht="15.75" thickBot="1" x14ac:dyDescent="0.3">
      <c r="A29" s="282">
        <v>1000073</v>
      </c>
      <c r="B29" s="55" t="s">
        <v>36</v>
      </c>
      <c r="C29" s="49"/>
      <c r="D29" s="56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441">
        <f t="shared" si="0"/>
        <v>0</v>
      </c>
    </row>
    <row r="30" spans="1:16" ht="15.75" thickBot="1" x14ac:dyDescent="0.3">
      <c r="A30" s="282">
        <v>1000067</v>
      </c>
      <c r="B30" s="55" t="s">
        <v>11</v>
      </c>
      <c r="C30" s="49"/>
      <c r="D30" s="56"/>
      <c r="F30" s="280"/>
      <c r="G30" s="280"/>
      <c r="H30" s="280">
        <v>1</v>
      </c>
      <c r="I30" s="280"/>
      <c r="J30" s="280"/>
      <c r="K30" s="280"/>
      <c r="L30" s="280">
        <v>1</v>
      </c>
      <c r="M30" s="280"/>
      <c r="N30" s="280"/>
      <c r="O30" s="280"/>
      <c r="P30" s="611">
        <f t="shared" si="0"/>
        <v>2</v>
      </c>
    </row>
    <row r="31" spans="1:16" ht="15.75" thickBot="1" x14ac:dyDescent="0.3">
      <c r="A31" s="282">
        <v>1000092</v>
      </c>
      <c r="B31" s="55" t="s">
        <v>51</v>
      </c>
      <c r="C31" s="49"/>
      <c r="D31" s="56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441">
        <f t="shared" si="0"/>
        <v>0</v>
      </c>
    </row>
    <row r="32" spans="1:16" ht="15.75" thickBot="1" x14ac:dyDescent="0.3">
      <c r="A32" s="282">
        <v>1000045</v>
      </c>
      <c r="B32" s="55" t="s">
        <v>23</v>
      </c>
      <c r="C32" s="49"/>
      <c r="D32" s="56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441">
        <f t="shared" si="0"/>
        <v>0</v>
      </c>
    </row>
    <row r="33" spans="1:18" ht="15.75" thickBot="1" x14ac:dyDescent="0.3">
      <c r="A33" s="282">
        <v>1000004</v>
      </c>
      <c r="B33" s="55" t="s">
        <v>10</v>
      </c>
      <c r="C33" s="49"/>
      <c r="D33" s="56"/>
      <c r="F33" s="280"/>
      <c r="G33" s="280"/>
      <c r="H33" s="280">
        <v>2</v>
      </c>
      <c r="I33" s="280"/>
      <c r="J33" s="280"/>
      <c r="K33" s="280"/>
      <c r="L33" s="280">
        <v>2</v>
      </c>
      <c r="M33" s="280"/>
      <c r="N33" s="280"/>
      <c r="O33" s="280"/>
      <c r="P33" s="611">
        <f t="shared" si="0"/>
        <v>4</v>
      </c>
    </row>
    <row r="34" spans="1:18" ht="15.75" thickBot="1" x14ac:dyDescent="0.3">
      <c r="A34" s="282">
        <v>1000472</v>
      </c>
      <c r="B34" s="55" t="s">
        <v>222</v>
      </c>
      <c r="C34" s="49"/>
      <c r="D34" s="56"/>
      <c r="F34" s="280"/>
      <c r="G34" s="280"/>
      <c r="H34" s="280">
        <v>1</v>
      </c>
      <c r="I34" s="280"/>
      <c r="J34" s="280"/>
      <c r="K34" s="280"/>
      <c r="L34" s="280">
        <v>1</v>
      </c>
      <c r="M34" s="280"/>
      <c r="N34" s="280"/>
      <c r="O34" s="280"/>
      <c r="P34" s="611">
        <f t="shared" si="0"/>
        <v>2</v>
      </c>
    </row>
    <row r="35" spans="1:18" ht="15.75" thickBot="1" x14ac:dyDescent="0.3">
      <c r="A35" s="282">
        <v>1000146</v>
      </c>
      <c r="B35" s="55" t="s">
        <v>225</v>
      </c>
      <c r="C35" s="49"/>
      <c r="D35" s="56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441">
        <f t="shared" si="0"/>
        <v>0</v>
      </c>
    </row>
    <row r="36" spans="1:18" ht="15.75" thickBot="1" x14ac:dyDescent="0.3">
      <c r="A36" s="282">
        <v>10248</v>
      </c>
      <c r="B36" s="55" t="s">
        <v>183</v>
      </c>
      <c r="C36" s="49"/>
      <c r="D36" s="56"/>
      <c r="F36" s="280"/>
      <c r="G36" s="280"/>
      <c r="H36" s="280"/>
      <c r="I36" s="280"/>
      <c r="J36" s="280"/>
      <c r="K36" s="280"/>
      <c r="L36" s="280">
        <v>9</v>
      </c>
      <c r="M36" s="280"/>
      <c r="N36" s="280"/>
      <c r="O36" s="280"/>
      <c r="P36" s="611">
        <f t="shared" si="0"/>
        <v>9</v>
      </c>
    </row>
    <row r="37" spans="1:18" ht="15.75" thickBot="1" x14ac:dyDescent="0.3">
      <c r="A37" s="282">
        <v>1000090</v>
      </c>
      <c r="B37" s="55" t="s">
        <v>40</v>
      </c>
      <c r="C37" s="49"/>
      <c r="D37" s="56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441">
        <f t="shared" si="0"/>
        <v>0</v>
      </c>
    </row>
    <row r="38" spans="1:18" ht="15.75" thickBot="1" x14ac:dyDescent="0.3">
      <c r="A38" s="282">
        <v>1000025</v>
      </c>
      <c r="B38" s="55" t="s">
        <v>32</v>
      </c>
      <c r="C38" s="49"/>
      <c r="D38" s="56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441">
        <f t="shared" si="0"/>
        <v>0</v>
      </c>
    </row>
    <row r="39" spans="1:18" ht="15.75" thickBot="1" x14ac:dyDescent="0.3">
      <c r="A39" s="282">
        <v>1000147</v>
      </c>
      <c r="B39" s="55" t="s">
        <v>52</v>
      </c>
      <c r="C39" s="49"/>
      <c r="D39" s="56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441">
        <f t="shared" si="0"/>
        <v>0</v>
      </c>
    </row>
    <row r="40" spans="1:18" ht="15.75" thickBot="1" x14ac:dyDescent="0.3">
      <c r="A40" s="282">
        <v>1000034</v>
      </c>
      <c r="B40" s="55" t="s">
        <v>28</v>
      </c>
      <c r="C40" s="49"/>
      <c r="D40" s="56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441">
        <f t="shared" si="0"/>
        <v>0</v>
      </c>
    </row>
    <row r="41" spans="1:18" ht="15.75" thickBot="1" x14ac:dyDescent="0.3">
      <c r="A41" s="282">
        <v>1000383</v>
      </c>
      <c r="B41" s="55" t="s">
        <v>231</v>
      </c>
      <c r="C41" s="49"/>
      <c r="D41" s="56"/>
      <c r="F41" s="280"/>
      <c r="G41" s="280"/>
      <c r="H41" s="280">
        <v>24</v>
      </c>
      <c r="I41" s="280"/>
      <c r="J41" s="280"/>
      <c r="K41" s="280"/>
      <c r="L41" s="280">
        <v>24</v>
      </c>
      <c r="M41" s="280"/>
      <c r="N41" s="280"/>
      <c r="O41" s="280"/>
      <c r="P41" s="611">
        <f t="shared" si="0"/>
        <v>48</v>
      </c>
    </row>
    <row r="42" spans="1:18" ht="15.75" thickBot="1" x14ac:dyDescent="0.3">
      <c r="A42" s="282">
        <v>1000084</v>
      </c>
      <c r="B42" s="55" t="s">
        <v>194</v>
      </c>
      <c r="C42" s="49"/>
      <c r="D42" s="56"/>
      <c r="F42" s="280"/>
      <c r="G42" s="280"/>
      <c r="H42" s="280">
        <v>8</v>
      </c>
      <c r="I42" s="280"/>
      <c r="J42" s="280"/>
      <c r="K42" s="280"/>
      <c r="L42" s="280">
        <v>4</v>
      </c>
      <c r="M42" s="280"/>
      <c r="N42" s="280"/>
      <c r="O42" s="280"/>
      <c r="P42" s="611">
        <f t="shared" si="0"/>
        <v>12</v>
      </c>
    </row>
    <row r="43" spans="1:18" ht="15.75" thickBot="1" x14ac:dyDescent="0.3">
      <c r="A43" s="282">
        <v>1000031</v>
      </c>
      <c r="B43" s="55" t="s">
        <v>25</v>
      </c>
      <c r="C43" s="49"/>
      <c r="D43" s="56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441">
        <f t="shared" si="0"/>
        <v>0</v>
      </c>
    </row>
    <row r="44" spans="1:18" ht="15.75" thickBot="1" x14ac:dyDescent="0.3">
      <c r="A44" s="282">
        <v>1000436</v>
      </c>
      <c r="B44" s="55" t="s">
        <v>276</v>
      </c>
      <c r="C44" s="49"/>
      <c r="D44" s="56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441">
        <f t="shared" si="0"/>
        <v>0</v>
      </c>
    </row>
    <row r="45" spans="1:18" ht="15.75" thickBot="1" x14ac:dyDescent="0.3">
      <c r="A45" s="282">
        <v>1000550</v>
      </c>
      <c r="B45" s="55" t="s">
        <v>277</v>
      </c>
      <c r="C45" s="49"/>
      <c r="D45" s="56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441">
        <f t="shared" si="0"/>
        <v>0</v>
      </c>
      <c r="R45" s="514" t="s">
        <v>336</v>
      </c>
    </row>
    <row r="46" spans="1:18" ht="15.75" thickBot="1" x14ac:dyDescent="0.3">
      <c r="A46" s="282">
        <v>1000551</v>
      </c>
      <c r="B46" s="55" t="s">
        <v>278</v>
      </c>
      <c r="C46" s="49"/>
      <c r="D46" s="56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441">
        <f t="shared" si="0"/>
        <v>0</v>
      </c>
    </row>
    <row r="47" spans="1:18" ht="15.75" thickBot="1" x14ac:dyDescent="0.3">
      <c r="A47" s="282">
        <v>1000552</v>
      </c>
      <c r="B47" s="55" t="s">
        <v>279</v>
      </c>
      <c r="C47" s="49"/>
      <c r="D47" s="56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441">
        <f t="shared" si="0"/>
        <v>0</v>
      </c>
    </row>
    <row r="48" spans="1:18" ht="15.75" thickBot="1" x14ac:dyDescent="0.3">
      <c r="A48" s="243">
        <v>1000080</v>
      </c>
      <c r="B48" s="251" t="s">
        <v>275</v>
      </c>
      <c r="C48" s="299"/>
      <c r="D48" s="300"/>
      <c r="E48" s="299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441">
        <f t="shared" si="0"/>
        <v>0</v>
      </c>
    </row>
    <row r="49" spans="1:16" ht="15.75" thickBot="1" x14ac:dyDescent="0.3">
      <c r="A49" s="35">
        <v>1000142</v>
      </c>
      <c r="B49" s="13" t="s">
        <v>54</v>
      </c>
      <c r="D49" s="300"/>
      <c r="F49" s="280"/>
      <c r="G49" s="280"/>
      <c r="H49" s="280">
        <v>1</v>
      </c>
      <c r="I49" s="280"/>
      <c r="J49" s="280"/>
      <c r="K49" s="280"/>
      <c r="L49" s="280">
        <v>1</v>
      </c>
      <c r="M49" s="280"/>
      <c r="N49" s="280"/>
      <c r="O49" s="280"/>
      <c r="P49" s="611">
        <f t="shared" si="0"/>
        <v>2</v>
      </c>
    </row>
    <row r="50" spans="1:16" ht="15.75" thickBot="1" x14ac:dyDescent="0.3">
      <c r="A50" s="204">
        <v>1000032</v>
      </c>
      <c r="B50" s="12" t="s">
        <v>26</v>
      </c>
      <c r="D50" s="300"/>
      <c r="F50" s="280"/>
      <c r="G50" s="280"/>
      <c r="H50" s="280"/>
      <c r="I50" s="280"/>
      <c r="J50" s="280"/>
      <c r="K50" s="280"/>
      <c r="L50" s="280">
        <v>2</v>
      </c>
      <c r="M50" s="280"/>
      <c r="N50" s="280"/>
      <c r="O50" s="280"/>
      <c r="P50" s="611">
        <f t="shared" si="0"/>
        <v>2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A6FD-E95B-4BD3-905F-8B1E3D939E27}">
  <sheetPr>
    <tabColor rgb="FF7030A0"/>
    <pageSetUpPr fitToPage="1"/>
  </sheetPr>
  <dimension ref="A1:P54"/>
  <sheetViews>
    <sheetView zoomScaleNormal="100" workbookViewId="0">
      <selection activeCell="Q22" sqref="Q22"/>
    </sheetView>
  </sheetViews>
  <sheetFormatPr baseColWidth="10" defaultColWidth="10.875" defaultRowHeight="15" x14ac:dyDescent="0.25"/>
  <cols>
    <col min="1" max="1" width="7.875" style="27" bestFit="1" customWidth="1"/>
    <col min="2" max="2" width="39.1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625" style="27" customWidth="1"/>
    <col min="8" max="8" width="9.125" style="27" bestFit="1" customWidth="1"/>
    <col min="9" max="9" width="7.2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6.5" style="27" customWidth="1"/>
    <col min="16" max="16384" width="10.875" style="27"/>
  </cols>
  <sheetData>
    <row r="1" spans="1:16" ht="17.25" customHeight="1" x14ac:dyDescent="0.45">
      <c r="A1" s="686" t="s">
        <v>214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8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17.25" customHeight="1" thickBot="1" x14ac:dyDescent="0.3">
      <c r="A3" s="5"/>
      <c r="B3" s="419" t="s">
        <v>369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2">
        <v>150</v>
      </c>
      <c r="F5" s="112">
        <v>50</v>
      </c>
      <c r="G5" s="112"/>
      <c r="H5" s="112">
        <v>50</v>
      </c>
      <c r="I5" s="112"/>
      <c r="J5" s="112">
        <v>50</v>
      </c>
      <c r="K5" s="112"/>
      <c r="L5" s="112"/>
      <c r="M5" s="112"/>
      <c r="N5" s="112">
        <v>50</v>
      </c>
      <c r="O5" s="112"/>
      <c r="P5" s="418">
        <f t="shared" ref="P5:P54" si="0">SUM(F5:O5)</f>
        <v>200</v>
      </c>
    </row>
    <row r="6" spans="1:16" ht="15.75" thickBot="1" x14ac:dyDescent="0.3">
      <c r="A6" s="35">
        <v>1000007</v>
      </c>
      <c r="B6" s="12" t="s">
        <v>5</v>
      </c>
      <c r="C6" s="41"/>
      <c r="D6" s="47">
        <v>20</v>
      </c>
      <c r="F6" s="112">
        <v>50</v>
      </c>
      <c r="G6" s="112"/>
      <c r="H6" s="112">
        <v>50</v>
      </c>
      <c r="I6" s="112"/>
      <c r="J6" s="112">
        <v>50</v>
      </c>
      <c r="K6" s="112"/>
      <c r="L6" s="112"/>
      <c r="M6" s="112"/>
      <c r="N6" s="112">
        <v>50</v>
      </c>
      <c r="O6" s="112"/>
      <c r="P6" s="418">
        <f t="shared" si="0"/>
        <v>200</v>
      </c>
    </row>
    <row r="7" spans="1:16" ht="15.75" thickBot="1" x14ac:dyDescent="0.3">
      <c r="A7" s="35">
        <v>10212</v>
      </c>
      <c r="B7" s="12" t="s">
        <v>6</v>
      </c>
      <c r="C7" s="41"/>
      <c r="D7" s="47">
        <v>3</v>
      </c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30">
        <f t="shared" si="0"/>
        <v>0</v>
      </c>
    </row>
    <row r="8" spans="1:16" ht="15.75" thickBot="1" x14ac:dyDescent="0.3">
      <c r="A8" s="35">
        <v>1000008</v>
      </c>
      <c r="B8" s="12" t="s">
        <v>7</v>
      </c>
      <c r="C8" s="41"/>
      <c r="D8" s="47">
        <v>10</v>
      </c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30">
        <f t="shared" si="0"/>
        <v>0</v>
      </c>
    </row>
    <row r="9" spans="1:16" ht="15.75" thickBot="1" x14ac:dyDescent="0.3">
      <c r="A9" s="35">
        <v>1000001</v>
      </c>
      <c r="B9" s="12" t="s">
        <v>8</v>
      </c>
      <c r="C9" s="41"/>
      <c r="D9" s="47">
        <v>1</v>
      </c>
      <c r="F9" s="112"/>
      <c r="G9" s="112"/>
      <c r="H9" s="112">
        <v>2</v>
      </c>
      <c r="I9" s="112"/>
      <c r="J9" s="112"/>
      <c r="K9" s="112"/>
      <c r="L9" s="112"/>
      <c r="M9" s="112"/>
      <c r="N9" s="112">
        <v>2</v>
      </c>
      <c r="O9" s="112"/>
      <c r="P9" s="418">
        <f t="shared" si="0"/>
        <v>4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112">
        <v>1</v>
      </c>
      <c r="G10" s="112"/>
      <c r="H10" s="112">
        <v>1</v>
      </c>
      <c r="I10" s="112"/>
      <c r="J10" s="112"/>
      <c r="K10" s="112"/>
      <c r="L10" s="112"/>
      <c r="M10" s="112"/>
      <c r="N10" s="112">
        <v>1</v>
      </c>
      <c r="O10" s="112"/>
      <c r="P10" s="418">
        <f t="shared" si="0"/>
        <v>3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2</v>
      </c>
      <c r="F11" s="112">
        <v>2</v>
      </c>
      <c r="G11" s="112"/>
      <c r="H11" s="112">
        <v>1</v>
      </c>
      <c r="I11" s="112"/>
      <c r="J11" s="112"/>
      <c r="K11" s="112"/>
      <c r="L11" s="112"/>
      <c r="M11" s="112"/>
      <c r="N11" s="112"/>
      <c r="O11" s="112"/>
      <c r="P11" s="418">
        <f t="shared" si="0"/>
        <v>3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10</v>
      </c>
      <c r="F13" s="112"/>
      <c r="G13" s="112"/>
      <c r="H13" s="112">
        <v>30</v>
      </c>
      <c r="I13" s="112"/>
      <c r="J13" s="112"/>
      <c r="K13" s="112"/>
      <c r="L13" s="112"/>
      <c r="M13" s="112"/>
      <c r="N13" s="112">
        <v>30</v>
      </c>
      <c r="O13" s="112"/>
      <c r="P13" s="418">
        <f t="shared" si="0"/>
        <v>60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1</v>
      </c>
      <c r="F14" s="112">
        <v>1</v>
      </c>
      <c r="G14" s="112"/>
      <c r="H14" s="112"/>
      <c r="I14" s="112"/>
      <c r="J14" s="112">
        <v>1</v>
      </c>
      <c r="K14" s="112"/>
      <c r="L14" s="112"/>
      <c r="M14" s="112"/>
      <c r="N14" s="112">
        <v>1</v>
      </c>
      <c r="O14" s="112"/>
      <c r="P14" s="418">
        <f t="shared" si="0"/>
        <v>3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10</v>
      </c>
      <c r="F15" s="112">
        <v>20</v>
      </c>
      <c r="G15" s="112"/>
      <c r="H15" s="112">
        <v>20</v>
      </c>
      <c r="I15" s="112"/>
      <c r="J15" s="112">
        <v>20</v>
      </c>
      <c r="K15" s="112"/>
      <c r="L15" s="112"/>
      <c r="M15" s="112"/>
      <c r="N15" s="112">
        <v>20</v>
      </c>
      <c r="O15" s="112"/>
      <c r="P15" s="418">
        <f t="shared" si="0"/>
        <v>80</v>
      </c>
    </row>
    <row r="16" spans="1:16" ht="15.75" thickBot="1" x14ac:dyDescent="0.3">
      <c r="A16" s="35">
        <v>1000016</v>
      </c>
      <c r="B16" s="12" t="s">
        <v>15</v>
      </c>
      <c r="C16" s="41"/>
      <c r="D16" s="47">
        <v>5</v>
      </c>
      <c r="F16" s="112"/>
      <c r="G16" s="112"/>
      <c r="H16" s="112"/>
      <c r="I16" s="112"/>
      <c r="J16" s="112">
        <v>5</v>
      </c>
      <c r="K16" s="112"/>
      <c r="L16" s="112"/>
      <c r="M16" s="112"/>
      <c r="N16" s="112"/>
      <c r="O16" s="112"/>
      <c r="P16" s="418">
        <f t="shared" si="0"/>
        <v>5</v>
      </c>
    </row>
    <row r="17" spans="1:16" ht="15.75" thickBot="1" x14ac:dyDescent="0.3">
      <c r="A17" s="35">
        <v>1000041</v>
      </c>
      <c r="B17" s="12" t="s">
        <v>16</v>
      </c>
      <c r="C17" s="41"/>
      <c r="D17" s="47">
        <v>5</v>
      </c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30">
        <f t="shared" si="0"/>
        <v>0</v>
      </c>
    </row>
    <row r="18" spans="1:16" ht="15.75" thickBot="1" x14ac:dyDescent="0.3">
      <c r="A18" s="35">
        <v>1000049</v>
      </c>
      <c r="B18" s="12" t="s">
        <v>21</v>
      </c>
      <c r="C18" s="41"/>
      <c r="D18" s="47">
        <v>0</v>
      </c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30">
        <f t="shared" si="0"/>
        <v>0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0</v>
      </c>
      <c r="F19" s="112">
        <v>1</v>
      </c>
      <c r="G19" s="112"/>
      <c r="H19" s="112">
        <v>1</v>
      </c>
      <c r="I19" s="112"/>
      <c r="J19" s="112"/>
      <c r="K19" s="112"/>
      <c r="L19" s="112"/>
      <c r="M19" s="112"/>
      <c r="N19" s="112">
        <v>1</v>
      </c>
      <c r="O19" s="112"/>
      <c r="P19" s="418">
        <f t="shared" si="0"/>
        <v>3</v>
      </c>
    </row>
    <row r="20" spans="1:16" ht="15.75" thickBot="1" x14ac:dyDescent="0.3">
      <c r="A20" s="35">
        <v>1000031</v>
      </c>
      <c r="B20" s="12" t="s">
        <v>25</v>
      </c>
      <c r="C20" s="41"/>
      <c r="D20" s="47">
        <v>1</v>
      </c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30">
        <f t="shared" si="0"/>
        <v>0</v>
      </c>
    </row>
    <row r="21" spans="1:16" ht="15.75" thickBot="1" x14ac:dyDescent="0.3">
      <c r="A21" s="35">
        <v>1000025</v>
      </c>
      <c r="B21" s="12" t="s">
        <v>32</v>
      </c>
      <c r="C21" s="41"/>
      <c r="D21" s="47">
        <v>1</v>
      </c>
      <c r="F21" s="112"/>
      <c r="G21" s="112"/>
      <c r="H21" s="112"/>
      <c r="I21" s="112"/>
      <c r="J21" s="112">
        <v>5</v>
      </c>
      <c r="K21" s="112"/>
      <c r="L21" s="112"/>
      <c r="M21" s="112"/>
      <c r="N21" s="112">
        <v>5</v>
      </c>
      <c r="O21" s="112"/>
      <c r="P21" s="418">
        <f t="shared" si="0"/>
        <v>10</v>
      </c>
    </row>
    <row r="22" spans="1:16" ht="15.75" thickBot="1" x14ac:dyDescent="0.3">
      <c r="A22" s="35">
        <v>1000383</v>
      </c>
      <c r="B22" s="12" t="s">
        <v>234</v>
      </c>
      <c r="C22" s="41"/>
      <c r="D22" s="47">
        <v>55</v>
      </c>
      <c r="F22" s="112"/>
      <c r="G22" s="112"/>
      <c r="H22" s="112">
        <v>72</v>
      </c>
      <c r="I22" s="112"/>
      <c r="J22" s="112">
        <v>96</v>
      </c>
      <c r="K22" s="112"/>
      <c r="L22" s="112"/>
      <c r="M22" s="112"/>
      <c r="N22" s="112"/>
      <c r="O22" s="112"/>
      <c r="P22" s="418">
        <f t="shared" si="0"/>
        <v>168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3</v>
      </c>
      <c r="F23" s="112">
        <v>12</v>
      </c>
      <c r="G23" s="112"/>
      <c r="H23" s="112">
        <v>12</v>
      </c>
      <c r="I23" s="112"/>
      <c r="J23" s="112">
        <v>8</v>
      </c>
      <c r="K23" s="112"/>
      <c r="L23" s="112"/>
      <c r="M23" s="112"/>
      <c r="N23" s="112">
        <v>8</v>
      </c>
      <c r="O23" s="112"/>
      <c r="P23" s="418">
        <f t="shared" si="0"/>
        <v>40</v>
      </c>
    </row>
    <row r="24" spans="1:16" ht="15.75" thickBot="1" x14ac:dyDescent="0.3">
      <c r="A24" s="35">
        <v>1000146</v>
      </c>
      <c r="B24" s="12" t="s">
        <v>39</v>
      </c>
      <c r="C24" s="41"/>
      <c r="D24" s="47">
        <v>20</v>
      </c>
      <c r="F24" s="112"/>
      <c r="G24" s="112"/>
      <c r="H24" s="112">
        <v>4</v>
      </c>
      <c r="I24" s="112"/>
      <c r="J24" s="112">
        <v>4</v>
      </c>
      <c r="K24" s="112"/>
      <c r="L24" s="112"/>
      <c r="M24" s="112"/>
      <c r="N24" s="112">
        <v>4</v>
      </c>
      <c r="O24" s="112"/>
      <c r="P24" s="418">
        <f t="shared" si="0"/>
        <v>12</v>
      </c>
    </row>
    <row r="25" spans="1:16" ht="15.75" thickBot="1" x14ac:dyDescent="0.3">
      <c r="A25" s="35">
        <v>1000090</v>
      </c>
      <c r="B25" s="12" t="s">
        <v>40</v>
      </c>
      <c r="C25" s="41"/>
      <c r="D25" s="47">
        <v>0</v>
      </c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30">
        <f t="shared" si="0"/>
        <v>0</v>
      </c>
    </row>
    <row r="26" spans="1:16" ht="15.75" thickBot="1" x14ac:dyDescent="0.3">
      <c r="A26" s="35">
        <v>1000052</v>
      </c>
      <c r="B26" s="12" t="s">
        <v>41</v>
      </c>
      <c r="C26" s="41"/>
      <c r="D26" s="47">
        <v>1</v>
      </c>
      <c r="F26" s="112">
        <v>2</v>
      </c>
      <c r="G26" s="112"/>
      <c r="H26" s="112">
        <v>2</v>
      </c>
      <c r="I26" s="112"/>
      <c r="J26" s="112">
        <v>2</v>
      </c>
      <c r="K26" s="112"/>
      <c r="L26" s="112"/>
      <c r="M26" s="112"/>
      <c r="N26" s="112">
        <v>2</v>
      </c>
      <c r="O26" s="112"/>
      <c r="P26" s="418">
        <f t="shared" si="0"/>
        <v>8</v>
      </c>
    </row>
    <row r="27" spans="1:16" ht="15.75" thickBot="1" x14ac:dyDescent="0.3">
      <c r="A27" s="35">
        <v>1000089</v>
      </c>
      <c r="B27" s="12" t="s">
        <v>42</v>
      </c>
      <c r="C27" s="41"/>
      <c r="D27" s="47">
        <v>1</v>
      </c>
      <c r="F27" s="112">
        <v>2</v>
      </c>
      <c r="G27" s="112"/>
      <c r="H27" s="112">
        <v>2</v>
      </c>
      <c r="I27" s="112"/>
      <c r="J27" s="112">
        <v>1</v>
      </c>
      <c r="K27" s="112"/>
      <c r="L27" s="112"/>
      <c r="M27" s="112"/>
      <c r="N27" s="112">
        <v>2</v>
      </c>
      <c r="O27" s="112"/>
      <c r="P27" s="418">
        <f t="shared" si="0"/>
        <v>7</v>
      </c>
    </row>
    <row r="28" spans="1:16" ht="15.75" thickBot="1" x14ac:dyDescent="0.3">
      <c r="A28" s="35">
        <v>1000051</v>
      </c>
      <c r="B28" s="12" t="s">
        <v>43</v>
      </c>
      <c r="C28" s="41"/>
      <c r="D28" s="47">
        <v>1</v>
      </c>
      <c r="F28" s="112">
        <v>2</v>
      </c>
      <c r="G28" s="112"/>
      <c r="H28" s="112">
        <v>2</v>
      </c>
      <c r="I28" s="112"/>
      <c r="J28" s="112">
        <v>1</v>
      </c>
      <c r="K28" s="112"/>
      <c r="L28" s="112"/>
      <c r="M28" s="112"/>
      <c r="N28" s="112">
        <v>2</v>
      </c>
      <c r="O28" s="112"/>
      <c r="P28" s="418">
        <f t="shared" si="0"/>
        <v>7</v>
      </c>
    </row>
    <row r="29" spans="1:16" ht="15.75" thickBot="1" x14ac:dyDescent="0.3">
      <c r="A29" s="35">
        <v>1000048</v>
      </c>
      <c r="B29" s="12" t="s">
        <v>45</v>
      </c>
      <c r="C29" s="41"/>
      <c r="D29" s="47">
        <v>0</v>
      </c>
      <c r="F29" s="112"/>
      <c r="G29" s="112"/>
      <c r="H29" s="112"/>
      <c r="I29" s="112"/>
      <c r="J29" s="112"/>
      <c r="K29" s="112"/>
      <c r="L29" s="112"/>
      <c r="M29" s="112"/>
      <c r="N29" s="112">
        <v>1</v>
      </c>
      <c r="O29" s="112"/>
      <c r="P29" s="418">
        <f t="shared" si="0"/>
        <v>1</v>
      </c>
    </row>
    <row r="30" spans="1:16" ht="15.75" thickBot="1" x14ac:dyDescent="0.3">
      <c r="A30" s="35">
        <v>1000057</v>
      </c>
      <c r="B30" s="12" t="s">
        <v>70</v>
      </c>
      <c r="C30" s="41"/>
      <c r="D30" s="47">
        <v>1</v>
      </c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30">
        <f>SUM(F30:O30)</f>
        <v>0</v>
      </c>
    </row>
    <row r="31" spans="1:16" ht="15.75" thickBot="1" x14ac:dyDescent="0.3">
      <c r="A31" s="35">
        <v>10000015</v>
      </c>
      <c r="B31" s="12" t="s">
        <v>1</v>
      </c>
      <c r="C31" s="41"/>
      <c r="D31" s="47">
        <v>5</v>
      </c>
      <c r="F31" s="112"/>
      <c r="G31" s="112"/>
      <c r="H31" s="112"/>
      <c r="I31" s="112"/>
      <c r="J31" s="112"/>
      <c r="K31" s="112"/>
      <c r="L31" s="112"/>
      <c r="M31" s="112"/>
      <c r="N31" s="112">
        <v>5</v>
      </c>
      <c r="O31" s="112"/>
      <c r="P31" s="418">
        <f t="shared" ref="P31:P34" si="1">SUM(F31:O31)</f>
        <v>5</v>
      </c>
    </row>
    <row r="32" spans="1:16" s="15" customFormat="1" ht="15.95" customHeight="1" thickBot="1" x14ac:dyDescent="0.3">
      <c r="A32" s="35">
        <v>10000102</v>
      </c>
      <c r="B32" s="12" t="s">
        <v>2</v>
      </c>
      <c r="C32" s="41"/>
      <c r="D32" s="47"/>
      <c r="E32" s="27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30">
        <f t="shared" si="1"/>
        <v>0</v>
      </c>
    </row>
    <row r="33" spans="1:16" ht="15.75" thickBot="1" x14ac:dyDescent="0.3">
      <c r="A33" s="35">
        <v>1000142</v>
      </c>
      <c r="B33" s="12" t="s">
        <v>54</v>
      </c>
      <c r="C33" s="41"/>
      <c r="D33" s="47"/>
      <c r="F33" s="112">
        <v>1</v>
      </c>
      <c r="G33" s="112"/>
      <c r="H33" s="112">
        <v>1</v>
      </c>
      <c r="I33" s="112"/>
      <c r="J33" s="112"/>
      <c r="K33" s="112"/>
      <c r="L33" s="112"/>
      <c r="M33" s="112"/>
      <c r="N33" s="112">
        <v>1</v>
      </c>
      <c r="O33" s="112"/>
      <c r="P33" s="418">
        <f t="shared" si="1"/>
        <v>3</v>
      </c>
    </row>
    <row r="34" spans="1:16" ht="15.75" thickBot="1" x14ac:dyDescent="0.3">
      <c r="A34" s="35">
        <v>1000030</v>
      </c>
      <c r="B34" s="12" t="s">
        <v>24</v>
      </c>
      <c r="C34" s="41"/>
      <c r="D34" s="47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30">
        <f t="shared" si="1"/>
        <v>0</v>
      </c>
    </row>
    <row r="35" spans="1:16" ht="15.75" thickBot="1" x14ac:dyDescent="0.3">
      <c r="A35" s="35">
        <v>1000100</v>
      </c>
      <c r="B35" s="12" t="s">
        <v>34</v>
      </c>
      <c r="C35" s="41"/>
      <c r="D35" s="47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418">
        <f>SUM(F35:O35)</f>
        <v>0</v>
      </c>
    </row>
    <row r="36" spans="1:16" ht="15.75" thickBot="1" x14ac:dyDescent="0.3">
      <c r="A36" s="35">
        <v>1000425</v>
      </c>
      <c r="B36" s="12" t="s">
        <v>192</v>
      </c>
      <c r="C36" s="41"/>
      <c r="D36" s="47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418">
        <f>SUM(F36:O36)</f>
        <v>0</v>
      </c>
    </row>
    <row r="37" spans="1:16" ht="15.75" thickBot="1" x14ac:dyDescent="0.3">
      <c r="A37" s="35">
        <v>1000033</v>
      </c>
      <c r="B37" s="12" t="s">
        <v>27</v>
      </c>
      <c r="C37" s="41"/>
      <c r="D37" s="47"/>
      <c r="F37" s="112">
        <v>2</v>
      </c>
      <c r="G37" s="112"/>
      <c r="H37" s="112">
        <v>2</v>
      </c>
      <c r="I37" s="112"/>
      <c r="J37" s="112">
        <v>1</v>
      </c>
      <c r="K37" s="112"/>
      <c r="L37" s="112"/>
      <c r="M37" s="112"/>
      <c r="N37" s="112"/>
      <c r="O37" s="112"/>
      <c r="P37" s="418">
        <f t="shared" si="0"/>
        <v>5</v>
      </c>
    </row>
    <row r="38" spans="1:16" ht="15.75" thickBot="1" x14ac:dyDescent="0.3">
      <c r="A38" s="35">
        <v>1000029</v>
      </c>
      <c r="B38" s="12" t="s">
        <v>30</v>
      </c>
      <c r="C38" s="41"/>
      <c r="D38" s="47"/>
      <c r="F38" s="112">
        <v>1</v>
      </c>
      <c r="G38" s="112"/>
      <c r="H38" s="112"/>
      <c r="I38" s="112"/>
      <c r="J38" s="112">
        <v>1</v>
      </c>
      <c r="K38" s="112"/>
      <c r="L38" s="112"/>
      <c r="M38" s="112"/>
      <c r="N38" s="112">
        <v>1</v>
      </c>
      <c r="O38" s="112"/>
      <c r="P38" s="418">
        <f t="shared" si="0"/>
        <v>3</v>
      </c>
    </row>
    <row r="39" spans="1:16" ht="15.75" thickBot="1" x14ac:dyDescent="0.3">
      <c r="A39" s="35">
        <v>1000100</v>
      </c>
      <c r="B39" s="12" t="s">
        <v>34</v>
      </c>
      <c r="C39" s="41"/>
      <c r="D39" s="47"/>
      <c r="F39" s="112"/>
      <c r="G39" s="112"/>
      <c r="H39" s="112"/>
      <c r="I39" s="112"/>
      <c r="J39" s="112"/>
      <c r="K39" s="112"/>
      <c r="L39" s="112"/>
      <c r="M39" s="112"/>
      <c r="N39" s="112">
        <v>1</v>
      </c>
      <c r="O39" s="112"/>
      <c r="P39" s="418">
        <f t="shared" si="0"/>
        <v>1</v>
      </c>
    </row>
    <row r="40" spans="1:16" ht="15.75" thickBot="1" x14ac:dyDescent="0.3">
      <c r="A40" s="35">
        <v>1000214</v>
      </c>
      <c r="B40" s="12" t="s">
        <v>49</v>
      </c>
      <c r="C40" s="41"/>
      <c r="D40" s="47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30">
        <f t="shared" si="0"/>
        <v>0</v>
      </c>
    </row>
    <row r="41" spans="1:16" ht="15.75" thickBot="1" x14ac:dyDescent="0.3">
      <c r="A41" s="35">
        <v>1000026</v>
      </c>
      <c r="B41" s="12" t="s">
        <v>31</v>
      </c>
      <c r="C41" s="41"/>
      <c r="D41" s="47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30">
        <f t="shared" si="0"/>
        <v>0</v>
      </c>
    </row>
    <row r="42" spans="1:16" ht="15.75" thickBot="1" x14ac:dyDescent="0.3">
      <c r="A42" s="35">
        <v>1000101</v>
      </c>
      <c r="B42" s="12" t="s">
        <v>35</v>
      </c>
      <c r="C42" s="41"/>
      <c r="D42" s="47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30">
        <f t="shared" si="0"/>
        <v>0</v>
      </c>
    </row>
    <row r="43" spans="1:16" ht="15.75" thickBot="1" x14ac:dyDescent="0.3">
      <c r="A43" s="35">
        <v>1000084</v>
      </c>
      <c r="B43" s="12" t="s">
        <v>38</v>
      </c>
      <c r="C43" s="41"/>
      <c r="D43" s="47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30">
        <f t="shared" si="0"/>
        <v>0</v>
      </c>
    </row>
    <row r="44" spans="1:16" ht="15.75" thickBot="1" x14ac:dyDescent="0.3">
      <c r="A44" s="35">
        <v>1000092</v>
      </c>
      <c r="B44" s="12" t="s">
        <v>51</v>
      </c>
      <c r="C44" s="41"/>
      <c r="D44" s="47"/>
      <c r="F44" s="112"/>
      <c r="G44" s="112"/>
      <c r="H44" s="112"/>
      <c r="I44" s="112"/>
      <c r="J44" s="112"/>
      <c r="K44" s="112"/>
      <c r="L44" s="112"/>
      <c r="M44" s="112"/>
      <c r="N44" s="112">
        <v>1</v>
      </c>
      <c r="O44" s="112"/>
      <c r="P44" s="418">
        <f t="shared" si="0"/>
        <v>1</v>
      </c>
    </row>
    <row r="45" spans="1:16" ht="15.75" thickBot="1" x14ac:dyDescent="0.3">
      <c r="A45" s="35">
        <v>1000080</v>
      </c>
      <c r="B45" s="12" t="s">
        <v>275</v>
      </c>
      <c r="C45" s="41"/>
      <c r="D45" s="47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30">
        <f t="shared" si="0"/>
        <v>0</v>
      </c>
    </row>
    <row r="46" spans="1:16" ht="15.75" thickBot="1" x14ac:dyDescent="0.3">
      <c r="A46" s="35">
        <v>1000436</v>
      </c>
      <c r="B46" s="12" t="s">
        <v>276</v>
      </c>
      <c r="C46" s="41"/>
      <c r="D46" s="47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30">
        <f t="shared" si="0"/>
        <v>0</v>
      </c>
    </row>
    <row r="47" spans="1:16" ht="15.75" thickBot="1" x14ac:dyDescent="0.3">
      <c r="A47" s="35">
        <v>1000550</v>
      </c>
      <c r="B47" s="12" t="s">
        <v>277</v>
      </c>
      <c r="C47" s="41"/>
      <c r="D47" s="47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30">
        <f t="shared" si="0"/>
        <v>0</v>
      </c>
    </row>
    <row r="48" spans="1:16" ht="15.75" thickBot="1" x14ac:dyDescent="0.3">
      <c r="A48" s="35">
        <v>1000551</v>
      </c>
      <c r="B48" s="12" t="s">
        <v>278</v>
      </c>
      <c r="C48" s="41"/>
      <c r="D48" s="47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30">
        <f t="shared" si="0"/>
        <v>0</v>
      </c>
    </row>
    <row r="49" spans="1:16" ht="15.75" thickBot="1" x14ac:dyDescent="0.3">
      <c r="A49" s="243">
        <v>1000552</v>
      </c>
      <c r="B49" s="251" t="s">
        <v>279</v>
      </c>
      <c r="C49" s="215"/>
      <c r="D49" s="38"/>
      <c r="E49" s="215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30">
        <f t="shared" si="0"/>
        <v>0</v>
      </c>
    </row>
    <row r="50" spans="1:16" ht="15.75" thickBot="1" x14ac:dyDescent="0.3">
      <c r="A50" s="102">
        <v>1000515</v>
      </c>
      <c r="B50" s="100" t="s">
        <v>238</v>
      </c>
      <c r="D50" s="38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30">
        <f t="shared" si="0"/>
        <v>0</v>
      </c>
    </row>
    <row r="51" spans="1:16" ht="15.75" thickBot="1" x14ac:dyDescent="0.3">
      <c r="A51" s="499">
        <v>1000452</v>
      </c>
      <c r="B51" s="13" t="s">
        <v>425</v>
      </c>
      <c r="D51" s="3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30">
        <f t="shared" si="0"/>
        <v>0</v>
      </c>
    </row>
    <row r="52" spans="1:16" ht="15.75" thickBot="1" x14ac:dyDescent="0.3">
      <c r="A52" s="282">
        <v>10248</v>
      </c>
      <c r="B52" s="55" t="s">
        <v>183</v>
      </c>
      <c r="D52" s="38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30">
        <f t="shared" si="0"/>
        <v>0</v>
      </c>
    </row>
    <row r="53" spans="1:16" ht="15.75" thickBot="1" x14ac:dyDescent="0.3">
      <c r="A53" s="35">
        <v>1000446</v>
      </c>
      <c r="B53" s="13" t="s">
        <v>201</v>
      </c>
      <c r="D53" s="38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30">
        <f t="shared" si="0"/>
        <v>0</v>
      </c>
    </row>
    <row r="54" spans="1:16" ht="15.75" thickBot="1" x14ac:dyDescent="0.3">
      <c r="A54" s="568">
        <v>1000205</v>
      </c>
      <c r="B54" s="49" t="s">
        <v>82</v>
      </c>
      <c r="D54" s="38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6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4F82-A67E-4ADF-9C76-0496E1934829}">
  <sheetPr>
    <tabColor rgb="FF7030A0"/>
    <pageSetUpPr fitToPage="1"/>
  </sheetPr>
  <dimension ref="A1:P61"/>
  <sheetViews>
    <sheetView topLeftCell="A19" zoomScale="70" zoomScaleNormal="70" workbookViewId="0">
      <selection activeCell="R49" sqref="R49"/>
    </sheetView>
  </sheetViews>
  <sheetFormatPr baseColWidth="10" defaultColWidth="10.875" defaultRowHeight="15" x14ac:dyDescent="0.25"/>
  <cols>
    <col min="1" max="1" width="9.75" style="200" bestFit="1" customWidth="1"/>
    <col min="2" max="2" width="33.125" style="200" customWidth="1"/>
    <col min="3" max="3" width="1.125" style="200" customWidth="1"/>
    <col min="4" max="4" width="8.375" style="200" bestFit="1" customWidth="1"/>
    <col min="5" max="5" width="0.875" style="200" customWidth="1"/>
    <col min="6" max="6" width="12.625" style="200" bestFit="1" customWidth="1"/>
    <col min="7" max="7" width="7.375" style="200" customWidth="1"/>
    <col min="8" max="8" width="13.125" style="200" bestFit="1" customWidth="1"/>
    <col min="9" max="9" width="7.875" style="200" customWidth="1"/>
    <col min="10" max="10" width="10.375" style="200" customWidth="1"/>
    <col min="11" max="11" width="8.625" style="200" customWidth="1"/>
    <col min="12" max="12" width="13.125" style="200" bestFit="1" customWidth="1"/>
    <col min="13" max="13" width="7.75" style="200" customWidth="1"/>
    <col min="14" max="14" width="13.125" style="200" bestFit="1" customWidth="1"/>
    <col min="15" max="15" width="9" style="200" customWidth="1"/>
    <col min="16" max="16384" width="10.875" style="200"/>
  </cols>
  <sheetData>
    <row r="1" spans="1:16" ht="15" customHeight="1" x14ac:dyDescent="0.45">
      <c r="A1" s="686" t="s">
        <v>452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9.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24.75" customHeight="1" thickBot="1" x14ac:dyDescent="0.3">
      <c r="A3" s="5"/>
      <c r="B3" s="5" t="s">
        <v>370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00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201">
        <v>10000102</v>
      </c>
      <c r="B5" s="11" t="s">
        <v>2</v>
      </c>
      <c r="C5" s="202"/>
      <c r="D5" s="203">
        <v>0</v>
      </c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810">
        <f t="shared" ref="P5:P61" si="0">SUM(F5:O5)</f>
        <v>0</v>
      </c>
    </row>
    <row r="6" spans="1:16" x14ac:dyDescent="0.25">
      <c r="A6" s="204">
        <v>1000006</v>
      </c>
      <c r="B6" s="12" t="s">
        <v>4</v>
      </c>
      <c r="C6" s="202"/>
      <c r="D6" s="205">
        <v>85</v>
      </c>
      <c r="F6" s="560"/>
      <c r="G6" s="560"/>
      <c r="H6" s="560">
        <v>100</v>
      </c>
      <c r="I6" s="560"/>
      <c r="J6" s="560">
        <v>100</v>
      </c>
      <c r="K6" s="560"/>
      <c r="L6" s="560"/>
      <c r="M6" s="560"/>
      <c r="N6" s="560">
        <v>100</v>
      </c>
      <c r="O6" s="560"/>
      <c r="P6" s="612">
        <f t="shared" si="0"/>
        <v>300</v>
      </c>
    </row>
    <row r="7" spans="1:16" x14ac:dyDescent="0.25">
      <c r="A7" s="204">
        <v>1000007</v>
      </c>
      <c r="B7" s="12" t="s">
        <v>5</v>
      </c>
      <c r="C7" s="202"/>
      <c r="D7" s="205">
        <v>90</v>
      </c>
      <c r="F7" s="560"/>
      <c r="G7" s="560"/>
      <c r="H7" s="560">
        <v>100</v>
      </c>
      <c r="I7" s="560"/>
      <c r="J7" s="560">
        <v>100</v>
      </c>
      <c r="K7" s="560"/>
      <c r="L7" s="560"/>
      <c r="M7" s="560"/>
      <c r="N7" s="560">
        <v>100</v>
      </c>
      <c r="O7" s="560"/>
      <c r="P7" s="612">
        <f t="shared" si="0"/>
        <v>300</v>
      </c>
    </row>
    <row r="8" spans="1:16" x14ac:dyDescent="0.25">
      <c r="A8" s="204">
        <v>1000008</v>
      </c>
      <c r="B8" s="12" t="s">
        <v>7</v>
      </c>
      <c r="C8" s="202"/>
      <c r="D8" s="205">
        <v>75</v>
      </c>
      <c r="F8" s="560"/>
      <c r="G8" s="560"/>
      <c r="H8" s="560">
        <v>100</v>
      </c>
      <c r="I8" s="560"/>
      <c r="J8" s="560">
        <v>50</v>
      </c>
      <c r="K8" s="560"/>
      <c r="L8" s="560"/>
      <c r="M8" s="560"/>
      <c r="N8" s="560">
        <v>100</v>
      </c>
      <c r="O8" s="560"/>
      <c r="P8" s="612">
        <f t="shared" si="0"/>
        <v>250</v>
      </c>
    </row>
    <row r="9" spans="1:16" x14ac:dyDescent="0.25">
      <c r="A9" s="204">
        <v>1000001</v>
      </c>
      <c r="B9" s="12" t="s">
        <v>8</v>
      </c>
      <c r="C9" s="202"/>
      <c r="D9" s="205">
        <v>2</v>
      </c>
      <c r="F9" s="560"/>
      <c r="G9" s="560"/>
      <c r="H9" s="560">
        <v>3</v>
      </c>
      <c r="I9" s="560"/>
      <c r="J9" s="560">
        <v>2</v>
      </c>
      <c r="K9" s="560"/>
      <c r="L9" s="560"/>
      <c r="M9" s="560"/>
      <c r="N9" s="560">
        <v>2</v>
      </c>
      <c r="O9" s="560"/>
      <c r="P9" s="612">
        <f t="shared" si="0"/>
        <v>7</v>
      </c>
    </row>
    <row r="10" spans="1:16" x14ac:dyDescent="0.25">
      <c r="A10" s="204">
        <v>1000002</v>
      </c>
      <c r="B10" s="12" t="s">
        <v>9</v>
      </c>
      <c r="C10" s="202"/>
      <c r="D10" s="205">
        <v>1</v>
      </c>
      <c r="F10" s="560"/>
      <c r="G10" s="560"/>
      <c r="H10" s="560">
        <v>1</v>
      </c>
      <c r="I10" s="560"/>
      <c r="J10" s="560"/>
      <c r="K10" s="560"/>
      <c r="L10" s="560"/>
      <c r="M10" s="560"/>
      <c r="N10" s="560"/>
      <c r="O10" s="560"/>
      <c r="P10" s="612">
        <f t="shared" si="0"/>
        <v>1</v>
      </c>
    </row>
    <row r="11" spans="1:16" x14ac:dyDescent="0.25">
      <c r="A11" s="204">
        <v>1000067</v>
      </c>
      <c r="B11" s="12" t="s">
        <v>11</v>
      </c>
      <c r="C11" s="202"/>
      <c r="D11" s="205">
        <v>0</v>
      </c>
      <c r="F11" s="560"/>
      <c r="G11" s="560"/>
      <c r="H11" s="560"/>
      <c r="I11" s="560"/>
      <c r="J11" s="560"/>
      <c r="K11" s="560"/>
      <c r="L11" s="560"/>
      <c r="M11" s="560"/>
      <c r="N11" s="560"/>
      <c r="O11" s="560"/>
      <c r="P11" s="810">
        <f t="shared" si="0"/>
        <v>0</v>
      </c>
    </row>
    <row r="12" spans="1:16" x14ac:dyDescent="0.25">
      <c r="A12" s="204">
        <v>1000054</v>
      </c>
      <c r="B12" s="12" t="s">
        <v>12</v>
      </c>
      <c r="C12" s="202"/>
      <c r="D12" s="205">
        <v>8</v>
      </c>
      <c r="F12" s="560"/>
      <c r="G12" s="560"/>
      <c r="H12" s="560">
        <v>20</v>
      </c>
      <c r="I12" s="560"/>
      <c r="J12" s="560">
        <v>20</v>
      </c>
      <c r="K12" s="560"/>
      <c r="L12" s="560"/>
      <c r="M12" s="560"/>
      <c r="N12" s="560">
        <v>20</v>
      </c>
      <c r="O12" s="560"/>
      <c r="P12" s="612">
        <f t="shared" si="0"/>
        <v>60</v>
      </c>
    </row>
    <row r="13" spans="1:16" x14ac:dyDescent="0.25">
      <c r="A13" s="206">
        <v>1000070</v>
      </c>
      <c r="B13" s="13" t="s">
        <v>13</v>
      </c>
      <c r="C13" s="202"/>
      <c r="D13" s="205">
        <v>0</v>
      </c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810">
        <f t="shared" si="0"/>
        <v>0</v>
      </c>
    </row>
    <row r="14" spans="1:16" x14ac:dyDescent="0.25">
      <c r="A14" s="206">
        <v>1000017</v>
      </c>
      <c r="B14" s="13" t="s">
        <v>14</v>
      </c>
      <c r="C14" s="202"/>
      <c r="D14" s="205">
        <v>40</v>
      </c>
      <c r="F14" s="560"/>
      <c r="G14" s="560"/>
      <c r="H14" s="560">
        <v>30</v>
      </c>
      <c r="I14" s="560"/>
      <c r="J14" s="560">
        <v>30</v>
      </c>
      <c r="K14" s="560"/>
      <c r="L14" s="560"/>
      <c r="M14" s="560"/>
      <c r="N14" s="560">
        <v>30</v>
      </c>
      <c r="O14" s="560"/>
      <c r="P14" s="612">
        <f t="shared" si="0"/>
        <v>90</v>
      </c>
    </row>
    <row r="15" spans="1:16" x14ac:dyDescent="0.25">
      <c r="A15" s="206">
        <v>1000016</v>
      </c>
      <c r="B15" s="13" t="s">
        <v>15</v>
      </c>
      <c r="C15" s="202"/>
      <c r="D15" s="205">
        <v>5</v>
      </c>
      <c r="F15" s="560"/>
      <c r="G15" s="560"/>
      <c r="H15" s="560"/>
      <c r="I15" s="560"/>
      <c r="J15" s="560"/>
      <c r="K15" s="560"/>
      <c r="L15" s="560"/>
      <c r="M15" s="560"/>
      <c r="N15" s="560"/>
      <c r="O15" s="560"/>
      <c r="P15" s="559">
        <f t="shared" si="0"/>
        <v>0</v>
      </c>
    </row>
    <row r="16" spans="1:16" x14ac:dyDescent="0.25">
      <c r="A16" s="206">
        <v>1000041</v>
      </c>
      <c r="B16" s="13" t="s">
        <v>16</v>
      </c>
      <c r="C16" s="202"/>
      <c r="D16" s="205">
        <v>5</v>
      </c>
      <c r="F16" s="560"/>
      <c r="G16" s="560"/>
      <c r="H16" s="560"/>
      <c r="I16" s="560"/>
      <c r="J16" s="560"/>
      <c r="K16" s="560"/>
      <c r="L16" s="560"/>
      <c r="M16" s="560"/>
      <c r="N16" s="560"/>
      <c r="O16" s="560"/>
      <c r="P16" s="559">
        <f t="shared" si="0"/>
        <v>0</v>
      </c>
    </row>
    <row r="17" spans="1:16" x14ac:dyDescent="0.25">
      <c r="A17" s="206">
        <v>1000009</v>
      </c>
      <c r="B17" s="13" t="s">
        <v>19</v>
      </c>
      <c r="C17" s="202"/>
      <c r="D17" s="205">
        <v>1</v>
      </c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59">
        <f t="shared" si="0"/>
        <v>0</v>
      </c>
    </row>
    <row r="18" spans="1:16" x14ac:dyDescent="0.25">
      <c r="A18" s="206">
        <v>1000049</v>
      </c>
      <c r="B18" s="13" t="s">
        <v>21</v>
      </c>
      <c r="C18" s="202"/>
      <c r="D18" s="205">
        <v>1</v>
      </c>
      <c r="F18" s="560"/>
      <c r="G18" s="560"/>
      <c r="H18" s="560">
        <v>3</v>
      </c>
      <c r="I18" s="560"/>
      <c r="J18" s="560">
        <v>1</v>
      </c>
      <c r="K18" s="560"/>
      <c r="L18" s="560"/>
      <c r="M18" s="560"/>
      <c r="N18" s="560">
        <v>2</v>
      </c>
      <c r="O18" s="560"/>
      <c r="P18" s="612">
        <f t="shared" si="0"/>
        <v>6</v>
      </c>
    </row>
    <row r="19" spans="1:16" x14ac:dyDescent="0.25">
      <c r="A19" s="204">
        <v>1000050</v>
      </c>
      <c r="B19" s="12" t="s">
        <v>22</v>
      </c>
      <c r="C19" s="202"/>
      <c r="D19" s="205">
        <v>0</v>
      </c>
      <c r="F19" s="560"/>
      <c r="G19" s="560"/>
      <c r="H19" s="560">
        <v>3</v>
      </c>
      <c r="I19" s="560"/>
      <c r="J19" s="560">
        <v>1</v>
      </c>
      <c r="K19" s="560"/>
      <c r="L19" s="560"/>
      <c r="M19" s="560"/>
      <c r="N19" s="560">
        <v>2</v>
      </c>
      <c r="O19" s="560"/>
      <c r="P19" s="612">
        <f t="shared" si="0"/>
        <v>6</v>
      </c>
    </row>
    <row r="20" spans="1:16" x14ac:dyDescent="0.25">
      <c r="A20" s="204">
        <v>1000045</v>
      </c>
      <c r="B20" s="12" t="s">
        <v>23</v>
      </c>
      <c r="C20" s="202"/>
      <c r="D20" s="205">
        <v>0</v>
      </c>
      <c r="F20" s="560"/>
      <c r="G20" s="560"/>
      <c r="H20" s="560"/>
      <c r="I20" s="560"/>
      <c r="J20" s="560"/>
      <c r="K20" s="560"/>
      <c r="L20" s="560"/>
      <c r="M20" s="560"/>
      <c r="N20" s="560">
        <v>47</v>
      </c>
      <c r="O20" s="560"/>
      <c r="P20" s="612">
        <f t="shared" si="0"/>
        <v>47</v>
      </c>
    </row>
    <row r="21" spans="1:16" x14ac:dyDescent="0.25">
      <c r="A21" s="204">
        <v>1000031</v>
      </c>
      <c r="B21" s="12" t="s">
        <v>25</v>
      </c>
      <c r="C21" s="202"/>
      <c r="D21" s="205">
        <v>2</v>
      </c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59">
        <f t="shared" si="0"/>
        <v>0</v>
      </c>
    </row>
    <row r="22" spans="1:16" x14ac:dyDescent="0.25">
      <c r="A22" s="204">
        <v>1000032</v>
      </c>
      <c r="B22" s="12" t="s">
        <v>26</v>
      </c>
      <c r="C22" s="202"/>
      <c r="D22" s="205">
        <v>1</v>
      </c>
      <c r="F22" s="560"/>
      <c r="G22" s="560"/>
      <c r="H22" s="560"/>
      <c r="I22" s="560"/>
      <c r="J22" s="560"/>
      <c r="K22" s="560"/>
      <c r="L22" s="560"/>
      <c r="M22" s="560"/>
      <c r="N22" s="560"/>
      <c r="O22" s="560"/>
      <c r="P22" s="559">
        <f t="shared" si="0"/>
        <v>0</v>
      </c>
    </row>
    <row r="23" spans="1:16" x14ac:dyDescent="0.25">
      <c r="A23" s="204">
        <v>1000027</v>
      </c>
      <c r="B23" s="12" t="s">
        <v>33</v>
      </c>
      <c r="C23" s="202"/>
      <c r="D23" s="205">
        <v>2</v>
      </c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59">
        <f t="shared" si="0"/>
        <v>0</v>
      </c>
    </row>
    <row r="24" spans="1:16" x14ac:dyDescent="0.25">
      <c r="A24" s="204">
        <v>1000100</v>
      </c>
      <c r="B24" s="12" t="s">
        <v>34</v>
      </c>
      <c r="C24" s="202"/>
      <c r="D24" s="205">
        <v>0</v>
      </c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59">
        <f t="shared" si="0"/>
        <v>0</v>
      </c>
    </row>
    <row r="25" spans="1:16" x14ac:dyDescent="0.25">
      <c r="A25" s="204">
        <v>1000101</v>
      </c>
      <c r="B25" s="12" t="s">
        <v>35</v>
      </c>
      <c r="C25" s="202"/>
      <c r="D25" s="205">
        <v>0</v>
      </c>
      <c r="E25" s="15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59">
        <f t="shared" si="0"/>
        <v>0</v>
      </c>
    </row>
    <row r="26" spans="1:16" x14ac:dyDescent="0.25">
      <c r="A26" s="206">
        <v>1000073</v>
      </c>
      <c r="B26" s="13" t="s">
        <v>36</v>
      </c>
      <c r="C26" s="202"/>
      <c r="D26" s="205">
        <v>0</v>
      </c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59">
        <f t="shared" si="0"/>
        <v>0</v>
      </c>
    </row>
    <row r="27" spans="1:16" x14ac:dyDescent="0.25">
      <c r="A27" s="206">
        <v>1000082</v>
      </c>
      <c r="B27" s="13" t="s">
        <v>37</v>
      </c>
      <c r="C27" s="202"/>
      <c r="D27" s="205">
        <v>50</v>
      </c>
      <c r="F27" s="560"/>
      <c r="G27" s="560"/>
      <c r="H27" s="560">
        <v>24</v>
      </c>
      <c r="I27" s="560"/>
      <c r="J27" s="560">
        <v>24</v>
      </c>
      <c r="K27" s="560"/>
      <c r="L27" s="560"/>
      <c r="M27" s="560"/>
      <c r="N27" s="560">
        <v>24</v>
      </c>
      <c r="O27" s="560"/>
      <c r="P27" s="612">
        <f t="shared" si="0"/>
        <v>72</v>
      </c>
    </row>
    <row r="28" spans="1:16" x14ac:dyDescent="0.25">
      <c r="A28" s="206">
        <v>1000084</v>
      </c>
      <c r="B28" s="13" t="s">
        <v>38</v>
      </c>
      <c r="C28" s="202"/>
      <c r="D28" s="205">
        <v>10</v>
      </c>
      <c r="F28" s="560"/>
      <c r="G28" s="560"/>
      <c r="H28" s="560">
        <v>16</v>
      </c>
      <c r="I28" s="560"/>
      <c r="J28" s="560">
        <v>16</v>
      </c>
      <c r="K28" s="560"/>
      <c r="L28" s="560"/>
      <c r="M28" s="560"/>
      <c r="N28" s="560">
        <v>16</v>
      </c>
      <c r="O28" s="560"/>
      <c r="P28" s="612">
        <f t="shared" si="0"/>
        <v>48</v>
      </c>
    </row>
    <row r="29" spans="1:16" x14ac:dyDescent="0.25">
      <c r="A29" s="206">
        <v>1000146</v>
      </c>
      <c r="B29" s="13" t="s">
        <v>39</v>
      </c>
      <c r="C29" s="202"/>
      <c r="D29" s="205">
        <v>8</v>
      </c>
      <c r="F29" s="560"/>
      <c r="G29" s="560"/>
      <c r="H29" s="560"/>
      <c r="I29" s="560"/>
      <c r="J29" s="560"/>
      <c r="K29" s="560"/>
      <c r="L29" s="560"/>
      <c r="M29" s="560"/>
      <c r="N29" s="560"/>
      <c r="O29" s="560"/>
      <c r="P29" s="810">
        <f t="shared" si="0"/>
        <v>0</v>
      </c>
    </row>
    <row r="30" spans="1:16" x14ac:dyDescent="0.25">
      <c r="A30" s="249">
        <v>10248</v>
      </c>
      <c r="B30" s="276" t="s">
        <v>183</v>
      </c>
      <c r="C30" s="202"/>
      <c r="D30" s="205">
        <v>0</v>
      </c>
      <c r="F30" s="560"/>
      <c r="G30" s="560"/>
      <c r="H30" s="560">
        <v>12</v>
      </c>
      <c r="I30" s="560"/>
      <c r="J30" s="560">
        <v>12</v>
      </c>
      <c r="K30" s="560"/>
      <c r="L30" s="560"/>
      <c r="M30" s="560"/>
      <c r="N30" s="560">
        <v>12</v>
      </c>
      <c r="O30" s="560"/>
      <c r="P30" s="612">
        <f t="shared" si="0"/>
        <v>36</v>
      </c>
    </row>
    <row r="31" spans="1:16" x14ac:dyDescent="0.25">
      <c r="A31" s="206">
        <v>1000090</v>
      </c>
      <c r="B31" s="13" t="s">
        <v>40</v>
      </c>
      <c r="C31" s="202"/>
      <c r="D31" s="205">
        <v>3</v>
      </c>
      <c r="F31" s="560"/>
      <c r="G31" s="560"/>
      <c r="H31" s="560">
        <v>5</v>
      </c>
      <c r="I31" s="560"/>
      <c r="J31" s="560">
        <v>3</v>
      </c>
      <c r="K31" s="560"/>
      <c r="L31" s="560"/>
      <c r="M31" s="560"/>
      <c r="N31" s="560">
        <v>3</v>
      </c>
      <c r="O31" s="560"/>
      <c r="P31" s="612">
        <f t="shared" si="0"/>
        <v>11</v>
      </c>
    </row>
    <row r="32" spans="1:16" x14ac:dyDescent="0.25">
      <c r="A32" s="206">
        <v>1000052</v>
      </c>
      <c r="B32" s="13" t="s">
        <v>41</v>
      </c>
      <c r="C32" s="202"/>
      <c r="D32" s="205">
        <v>2</v>
      </c>
      <c r="F32" s="560"/>
      <c r="G32" s="560"/>
      <c r="H32" s="560"/>
      <c r="I32" s="560"/>
      <c r="J32" s="560"/>
      <c r="K32" s="560"/>
      <c r="L32" s="560"/>
      <c r="M32" s="560"/>
      <c r="N32" s="560"/>
      <c r="O32" s="560"/>
      <c r="P32" s="810">
        <f t="shared" si="0"/>
        <v>0</v>
      </c>
    </row>
    <row r="33" spans="1:16" x14ac:dyDescent="0.25">
      <c r="A33" s="206">
        <v>1000089</v>
      </c>
      <c r="B33" s="13" t="s">
        <v>42</v>
      </c>
      <c r="C33" s="202"/>
      <c r="D33" s="205">
        <v>2</v>
      </c>
      <c r="F33" s="560"/>
      <c r="G33" s="560"/>
      <c r="H33" s="560"/>
      <c r="I33" s="560"/>
      <c r="J33" s="560">
        <v>2</v>
      </c>
      <c r="K33" s="560"/>
      <c r="L33" s="560"/>
      <c r="M33" s="560"/>
      <c r="N33" s="560">
        <v>3</v>
      </c>
      <c r="O33" s="560"/>
      <c r="P33" s="612">
        <f t="shared" si="0"/>
        <v>5</v>
      </c>
    </row>
    <row r="34" spans="1:16" x14ac:dyDescent="0.25">
      <c r="A34" s="206">
        <v>1000051</v>
      </c>
      <c r="B34" s="13" t="s">
        <v>43</v>
      </c>
      <c r="C34" s="202"/>
      <c r="D34" s="205">
        <v>1</v>
      </c>
      <c r="F34" s="560"/>
      <c r="G34" s="560"/>
      <c r="H34" s="560">
        <v>3</v>
      </c>
      <c r="I34" s="560"/>
      <c r="J34" s="560"/>
      <c r="K34" s="560"/>
      <c r="L34" s="560"/>
      <c r="M34" s="560"/>
      <c r="N34" s="560">
        <v>2</v>
      </c>
      <c r="O34" s="560"/>
      <c r="P34" s="612">
        <f t="shared" si="0"/>
        <v>5</v>
      </c>
    </row>
    <row r="35" spans="1:16" x14ac:dyDescent="0.25">
      <c r="A35" s="206">
        <v>1000048</v>
      </c>
      <c r="B35" s="13" t="s">
        <v>45</v>
      </c>
      <c r="C35" s="202"/>
      <c r="D35" s="205">
        <v>0</v>
      </c>
      <c r="F35" s="560"/>
      <c r="G35" s="560"/>
      <c r="H35" s="560"/>
      <c r="I35" s="560"/>
      <c r="J35" s="560"/>
      <c r="K35" s="560"/>
      <c r="L35" s="560"/>
      <c r="M35" s="560"/>
      <c r="N35" s="560"/>
      <c r="O35" s="560"/>
      <c r="P35" s="559">
        <f t="shared" si="0"/>
        <v>0</v>
      </c>
    </row>
    <row r="36" spans="1:16" x14ac:dyDescent="0.25">
      <c r="A36" s="206">
        <v>1000076</v>
      </c>
      <c r="B36" s="13" t="s">
        <v>46</v>
      </c>
      <c r="C36" s="202"/>
      <c r="D36" s="205">
        <v>0</v>
      </c>
      <c r="F36" s="560"/>
      <c r="G36" s="560"/>
      <c r="H36" s="560"/>
      <c r="I36" s="560"/>
      <c r="J36" s="560"/>
      <c r="K36" s="560"/>
      <c r="L36" s="560"/>
      <c r="M36" s="560"/>
      <c r="N36" s="560"/>
      <c r="O36" s="560"/>
      <c r="P36" s="559">
        <f t="shared" si="0"/>
        <v>0</v>
      </c>
    </row>
    <row r="37" spans="1:16" x14ac:dyDescent="0.25">
      <c r="A37" s="206">
        <v>1000085</v>
      </c>
      <c r="B37" s="13" t="s">
        <v>50</v>
      </c>
      <c r="C37" s="202"/>
      <c r="D37" s="205">
        <v>0</v>
      </c>
      <c r="F37" s="560"/>
      <c r="G37" s="560"/>
      <c r="H37" s="560"/>
      <c r="I37" s="560"/>
      <c r="J37" s="560"/>
      <c r="K37" s="560"/>
      <c r="L37" s="560"/>
      <c r="M37" s="560"/>
      <c r="N37" s="560"/>
      <c r="O37" s="560"/>
      <c r="P37" s="559">
        <f t="shared" si="0"/>
        <v>0</v>
      </c>
    </row>
    <row r="38" spans="1:16" x14ac:dyDescent="0.25">
      <c r="A38" s="206">
        <v>1000147</v>
      </c>
      <c r="B38" s="13" t="s">
        <v>52</v>
      </c>
      <c r="C38" s="202"/>
      <c r="D38" s="205">
        <v>0</v>
      </c>
      <c r="F38" s="560"/>
      <c r="G38" s="560"/>
      <c r="H38" s="560"/>
      <c r="I38" s="560"/>
      <c r="J38" s="560"/>
      <c r="K38" s="560"/>
      <c r="L38" s="560"/>
      <c r="M38" s="560"/>
      <c r="N38" s="560"/>
      <c r="O38" s="560"/>
      <c r="P38" s="559">
        <f t="shared" si="0"/>
        <v>0</v>
      </c>
    </row>
    <row r="39" spans="1:16" x14ac:dyDescent="0.25">
      <c r="A39" s="206">
        <v>1000142</v>
      </c>
      <c r="B39" s="13" t="s">
        <v>54</v>
      </c>
      <c r="C39" s="202"/>
      <c r="D39" s="205">
        <v>0</v>
      </c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59">
        <f t="shared" si="0"/>
        <v>0</v>
      </c>
    </row>
    <row r="40" spans="1:16" x14ac:dyDescent="0.25">
      <c r="A40" s="206">
        <v>1000087</v>
      </c>
      <c r="B40" s="13" t="s">
        <v>69</v>
      </c>
      <c r="C40" s="202"/>
      <c r="D40" s="205">
        <v>0</v>
      </c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59">
        <f t="shared" si="0"/>
        <v>0</v>
      </c>
    </row>
    <row r="41" spans="1:16" x14ac:dyDescent="0.25">
      <c r="A41" s="206">
        <v>1000057</v>
      </c>
      <c r="B41" s="13" t="s">
        <v>70</v>
      </c>
      <c r="C41" s="202"/>
      <c r="D41" s="205">
        <v>0</v>
      </c>
      <c r="F41" s="560"/>
      <c r="G41" s="560"/>
      <c r="H41" s="560">
        <v>2</v>
      </c>
      <c r="I41" s="560"/>
      <c r="J41" s="560"/>
      <c r="K41" s="560"/>
      <c r="L41" s="560"/>
      <c r="M41" s="560"/>
      <c r="N41" s="560"/>
      <c r="O41" s="560"/>
      <c r="P41" s="612">
        <f t="shared" si="0"/>
        <v>2</v>
      </c>
    </row>
    <row r="42" spans="1:16" x14ac:dyDescent="0.25">
      <c r="A42" s="206">
        <v>1000073</v>
      </c>
      <c r="B42" s="13" t="s">
        <v>36</v>
      </c>
      <c r="C42" s="202"/>
      <c r="D42" s="205">
        <v>0</v>
      </c>
      <c r="F42" s="560"/>
      <c r="G42" s="560"/>
      <c r="H42" s="560"/>
      <c r="I42" s="560"/>
      <c r="J42" s="560"/>
      <c r="K42" s="560"/>
      <c r="L42" s="560"/>
      <c r="M42" s="560"/>
      <c r="N42" s="560"/>
      <c r="O42" s="560"/>
      <c r="P42" s="559">
        <f t="shared" si="0"/>
        <v>0</v>
      </c>
    </row>
    <row r="43" spans="1:16" x14ac:dyDescent="0.25">
      <c r="A43" s="206">
        <v>1000004</v>
      </c>
      <c r="B43" s="13" t="s">
        <v>10</v>
      </c>
      <c r="C43" s="202"/>
      <c r="D43" s="205"/>
      <c r="F43" s="560"/>
      <c r="G43" s="560"/>
      <c r="H43" s="560">
        <v>2</v>
      </c>
      <c r="I43" s="560"/>
      <c r="J43" s="560">
        <v>2</v>
      </c>
      <c r="K43" s="560"/>
      <c r="L43" s="560"/>
      <c r="M43" s="560"/>
      <c r="N43" s="560">
        <v>2</v>
      </c>
      <c r="O43" s="560"/>
      <c r="P43" s="612">
        <f t="shared" si="0"/>
        <v>6</v>
      </c>
    </row>
    <row r="44" spans="1:16" x14ac:dyDescent="0.25">
      <c r="A44" s="206">
        <v>1000214</v>
      </c>
      <c r="B44" s="13" t="s">
        <v>49</v>
      </c>
      <c r="C44" s="202"/>
      <c r="D44" s="205"/>
      <c r="F44" s="560"/>
      <c r="G44" s="560"/>
      <c r="H44" s="560"/>
      <c r="I44" s="560"/>
      <c r="J44" s="560"/>
      <c r="K44" s="560"/>
      <c r="L44" s="560"/>
      <c r="M44" s="560"/>
      <c r="N44" s="560">
        <v>2</v>
      </c>
      <c r="O44" s="560"/>
      <c r="P44" s="612">
        <f t="shared" si="0"/>
        <v>2</v>
      </c>
    </row>
    <row r="45" spans="1:16" x14ac:dyDescent="0.25">
      <c r="A45" s="206">
        <v>1000030</v>
      </c>
      <c r="B45" s="13" t="s">
        <v>24</v>
      </c>
      <c r="C45" s="202"/>
      <c r="D45" s="205"/>
      <c r="F45" s="560"/>
      <c r="G45" s="560"/>
      <c r="H45" s="560"/>
      <c r="I45" s="560"/>
      <c r="J45" s="560"/>
      <c r="K45" s="560"/>
      <c r="L45" s="560"/>
      <c r="M45" s="560"/>
      <c r="N45" s="560"/>
      <c r="O45" s="560"/>
      <c r="P45" s="559">
        <f t="shared" si="0"/>
        <v>0</v>
      </c>
    </row>
    <row r="46" spans="1:16" x14ac:dyDescent="0.25">
      <c r="A46" s="206">
        <v>1000033</v>
      </c>
      <c r="B46" s="13" t="s">
        <v>27</v>
      </c>
      <c r="C46" s="202"/>
      <c r="D46" s="205"/>
      <c r="F46" s="560"/>
      <c r="G46" s="560"/>
      <c r="H46" s="560">
        <v>1</v>
      </c>
      <c r="I46" s="560"/>
      <c r="J46" s="560">
        <v>1</v>
      </c>
      <c r="K46" s="560"/>
      <c r="L46" s="560"/>
      <c r="M46" s="560"/>
      <c r="N46" s="560">
        <v>1</v>
      </c>
      <c r="O46" s="560"/>
      <c r="P46" s="612">
        <f t="shared" si="0"/>
        <v>3</v>
      </c>
    </row>
    <row r="47" spans="1:16" x14ac:dyDescent="0.25">
      <c r="A47" s="206">
        <v>1000029</v>
      </c>
      <c r="B47" s="13" t="s">
        <v>30</v>
      </c>
      <c r="C47" s="202"/>
      <c r="D47" s="205"/>
      <c r="F47" s="560"/>
      <c r="G47" s="560"/>
      <c r="H47" s="560">
        <v>2</v>
      </c>
      <c r="I47" s="560"/>
      <c r="J47" s="560"/>
      <c r="K47" s="560"/>
      <c r="L47" s="560"/>
      <c r="M47" s="560"/>
      <c r="N47" s="560"/>
      <c r="O47" s="560"/>
      <c r="P47" s="612">
        <f t="shared" si="0"/>
        <v>2</v>
      </c>
    </row>
    <row r="48" spans="1:16" x14ac:dyDescent="0.25">
      <c r="A48" s="206">
        <v>1000092</v>
      </c>
      <c r="B48" s="13" t="s">
        <v>51</v>
      </c>
      <c r="C48" s="202"/>
      <c r="D48" s="205"/>
      <c r="F48" s="560"/>
      <c r="G48" s="560"/>
      <c r="H48" s="560"/>
      <c r="I48" s="560"/>
      <c r="J48" s="560"/>
      <c r="K48" s="560"/>
      <c r="L48" s="560"/>
      <c r="M48" s="560"/>
      <c r="N48" s="560"/>
      <c r="O48" s="560"/>
      <c r="P48" s="559">
        <f t="shared" si="0"/>
        <v>0</v>
      </c>
    </row>
    <row r="49" spans="1:16" x14ac:dyDescent="0.25">
      <c r="A49" s="206">
        <v>1000117</v>
      </c>
      <c r="B49" s="13" t="s">
        <v>80</v>
      </c>
      <c r="C49" s="202"/>
      <c r="D49" s="205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59">
        <f t="shared" si="0"/>
        <v>0</v>
      </c>
    </row>
    <row r="50" spans="1:16" x14ac:dyDescent="0.25">
      <c r="A50" s="206">
        <v>1000034</v>
      </c>
      <c r="B50" s="13" t="s">
        <v>28</v>
      </c>
      <c r="C50" s="202"/>
      <c r="D50" s="205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59">
        <f t="shared" si="0"/>
        <v>0</v>
      </c>
    </row>
    <row r="51" spans="1:16" x14ac:dyDescent="0.25">
      <c r="A51" s="206">
        <v>1000062</v>
      </c>
      <c r="B51" s="13" t="s">
        <v>66</v>
      </c>
      <c r="C51" s="202"/>
      <c r="D51" s="205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59">
        <f t="shared" si="0"/>
        <v>0</v>
      </c>
    </row>
    <row r="52" spans="1:16" x14ac:dyDescent="0.25">
      <c r="A52" s="206">
        <v>1000075</v>
      </c>
      <c r="B52" s="13" t="s">
        <v>47</v>
      </c>
      <c r="C52" s="202"/>
      <c r="D52" s="205"/>
      <c r="F52" s="560"/>
      <c r="G52" s="560"/>
      <c r="H52" s="560"/>
      <c r="I52" s="560"/>
      <c r="J52" s="560"/>
      <c r="K52" s="560"/>
      <c r="L52" s="560"/>
      <c r="M52" s="560"/>
      <c r="N52" s="560"/>
      <c r="O52" s="560"/>
      <c r="P52" s="559">
        <f t="shared" si="0"/>
        <v>0</v>
      </c>
    </row>
    <row r="53" spans="1:16" x14ac:dyDescent="0.25">
      <c r="A53" s="206">
        <v>1000472</v>
      </c>
      <c r="B53" s="13" t="s">
        <v>222</v>
      </c>
      <c r="C53" s="202"/>
      <c r="D53" s="205"/>
      <c r="F53" s="560"/>
      <c r="G53" s="560"/>
      <c r="H53" s="560"/>
      <c r="I53" s="560"/>
      <c r="J53" s="560"/>
      <c r="K53" s="560"/>
      <c r="L53" s="560"/>
      <c r="M53" s="560"/>
      <c r="N53" s="560"/>
      <c r="O53" s="560"/>
      <c r="P53" s="559">
        <f t="shared" si="0"/>
        <v>0</v>
      </c>
    </row>
    <row r="54" spans="1:16" x14ac:dyDescent="0.25">
      <c r="A54" s="206">
        <v>1000025</v>
      </c>
      <c r="B54" s="13" t="s">
        <v>32</v>
      </c>
      <c r="C54" s="202"/>
      <c r="D54" s="205"/>
      <c r="F54" s="560"/>
      <c r="G54" s="560"/>
      <c r="H54" s="560"/>
      <c r="I54" s="560"/>
      <c r="J54" s="560"/>
      <c r="K54" s="560"/>
      <c r="L54" s="560"/>
      <c r="M54" s="560"/>
      <c r="N54" s="560"/>
      <c r="O54" s="560"/>
      <c r="P54" s="559">
        <f t="shared" si="0"/>
        <v>0</v>
      </c>
    </row>
    <row r="55" spans="1:16" x14ac:dyDescent="0.25">
      <c r="A55" s="206">
        <v>1000080</v>
      </c>
      <c r="B55" s="13" t="s">
        <v>275</v>
      </c>
      <c r="C55" s="202"/>
      <c r="D55" s="205"/>
      <c r="F55" s="560"/>
      <c r="G55" s="560"/>
      <c r="H55" s="560"/>
      <c r="I55" s="560"/>
      <c r="J55" s="560"/>
      <c r="K55" s="560"/>
      <c r="L55" s="560"/>
      <c r="M55" s="560"/>
      <c r="N55" s="560"/>
      <c r="O55" s="560"/>
      <c r="P55" s="559">
        <f t="shared" si="0"/>
        <v>0</v>
      </c>
    </row>
    <row r="56" spans="1:16" x14ac:dyDescent="0.25">
      <c r="A56" s="206">
        <v>1000436</v>
      </c>
      <c r="B56" s="13" t="s">
        <v>276</v>
      </c>
      <c r="C56" s="202"/>
      <c r="D56" s="205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59">
        <f t="shared" si="0"/>
        <v>0</v>
      </c>
    </row>
    <row r="57" spans="1:16" x14ac:dyDescent="0.25">
      <c r="A57" s="206">
        <v>1000550</v>
      </c>
      <c r="B57" s="13" t="s">
        <v>277</v>
      </c>
      <c r="C57" s="202"/>
      <c r="D57" s="205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59">
        <f t="shared" si="0"/>
        <v>0</v>
      </c>
    </row>
    <row r="58" spans="1:16" x14ac:dyDescent="0.25">
      <c r="A58" s="206">
        <v>1000551</v>
      </c>
      <c r="B58" s="13" t="s">
        <v>278</v>
      </c>
      <c r="C58" s="202"/>
      <c r="D58" s="205"/>
      <c r="F58" s="560"/>
      <c r="G58" s="560"/>
      <c r="H58" s="560"/>
      <c r="I58" s="560"/>
      <c r="J58" s="560"/>
      <c r="K58" s="560"/>
      <c r="L58" s="560"/>
      <c r="M58" s="560"/>
      <c r="N58" s="560"/>
      <c r="O58" s="560"/>
      <c r="P58" s="559">
        <f t="shared" si="0"/>
        <v>0</v>
      </c>
    </row>
    <row r="59" spans="1:16" ht="15.75" thickBot="1" x14ac:dyDescent="0.3">
      <c r="A59" s="38">
        <v>1000552</v>
      </c>
      <c r="B59" s="17" t="s">
        <v>279</v>
      </c>
      <c r="C59" s="41"/>
      <c r="D59" s="46"/>
      <c r="E59" s="27"/>
      <c r="F59" s="560"/>
      <c r="G59" s="560"/>
      <c r="H59" s="560"/>
      <c r="I59" s="560"/>
      <c r="J59" s="560"/>
      <c r="K59" s="560"/>
      <c r="L59" s="560"/>
      <c r="M59" s="560"/>
      <c r="N59" s="560"/>
      <c r="O59" s="560"/>
      <c r="P59" s="559">
        <f t="shared" si="0"/>
        <v>0</v>
      </c>
    </row>
    <row r="60" spans="1:16" ht="16.5" thickBot="1" x14ac:dyDescent="0.3">
      <c r="A60" s="35"/>
      <c r="B60" s="106" t="s">
        <v>504</v>
      </c>
      <c r="D60" s="46"/>
      <c r="F60" s="560"/>
      <c r="G60" s="560"/>
      <c r="H60" s="560">
        <v>1</v>
      </c>
      <c r="I60" s="560"/>
      <c r="J60" s="560"/>
      <c r="K60" s="560"/>
      <c r="L60" s="560"/>
      <c r="M60" s="560"/>
      <c r="N60" s="560"/>
      <c r="O60" s="560"/>
      <c r="P60" s="559">
        <f t="shared" si="0"/>
        <v>1</v>
      </c>
    </row>
    <row r="61" spans="1:16" ht="15.75" thickBot="1" x14ac:dyDescent="0.3">
      <c r="A61" s="35"/>
      <c r="B61" s="12"/>
      <c r="D61" s="46"/>
      <c r="F61" s="560"/>
      <c r="G61" s="560"/>
      <c r="H61" s="560"/>
      <c r="I61" s="560"/>
      <c r="J61" s="560"/>
      <c r="K61" s="560"/>
      <c r="L61" s="560"/>
      <c r="M61" s="560"/>
      <c r="N61" s="560"/>
      <c r="O61" s="560"/>
      <c r="P61" s="559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5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A305-7D87-410A-9069-F6F30432ED7F}">
  <sheetPr>
    <tabColor rgb="FF7030A0"/>
    <pageSetUpPr fitToPage="1"/>
  </sheetPr>
  <dimension ref="A1:P62"/>
  <sheetViews>
    <sheetView topLeftCell="A12" zoomScale="85" zoomScaleNormal="85" workbookViewId="0">
      <selection activeCell="S48" sqref="S48"/>
    </sheetView>
  </sheetViews>
  <sheetFormatPr baseColWidth="10" defaultRowHeight="15.75" x14ac:dyDescent="0.25"/>
  <cols>
    <col min="2" max="2" width="34.625" customWidth="1"/>
    <col min="3" max="3" width="1" customWidth="1"/>
    <col min="5" max="5" width="0.875" customWidth="1"/>
    <col min="7" max="7" width="7.375" customWidth="1"/>
    <col min="9" max="9" width="8.25" customWidth="1"/>
    <col min="11" max="11" width="7.125" customWidth="1"/>
    <col min="13" max="13" width="7.5" customWidth="1"/>
    <col min="15" max="15" width="7.75" customWidth="1"/>
  </cols>
  <sheetData>
    <row r="1" spans="1:16" ht="28.5" x14ac:dyDescent="0.45">
      <c r="A1" s="686" t="s">
        <v>252</v>
      </c>
      <c r="B1" s="687"/>
      <c r="C1" s="18"/>
      <c r="D1" s="779" t="s">
        <v>362</v>
      </c>
      <c r="E1" s="188"/>
      <c r="F1" s="751" t="s">
        <v>474</v>
      </c>
      <c r="G1" s="752"/>
      <c r="H1" s="752"/>
      <c r="I1" s="752"/>
      <c r="J1" s="753"/>
      <c r="K1" s="2"/>
      <c r="L1" s="188"/>
      <c r="M1" s="188"/>
      <c r="N1" s="188"/>
      <c r="O1" s="188"/>
      <c r="P1" s="188"/>
    </row>
    <row r="2" spans="1:16" ht="19.5" customHeight="1" thickBot="1" x14ac:dyDescent="0.5">
      <c r="A2" s="688"/>
      <c r="B2" s="689"/>
      <c r="C2" s="18"/>
      <c r="D2" s="779"/>
      <c r="E2" s="3"/>
      <c r="F2" s="754"/>
      <c r="G2" s="755"/>
      <c r="H2" s="755"/>
      <c r="I2" s="755"/>
      <c r="J2" s="756"/>
      <c r="K2" s="2"/>
      <c r="L2" s="3"/>
      <c r="M2" s="3"/>
      <c r="N2" s="3"/>
      <c r="O2" s="3"/>
      <c r="P2" s="3"/>
    </row>
    <row r="3" spans="1:16" ht="20.25" customHeight="1" thickBot="1" x14ac:dyDescent="0.3">
      <c r="A3" s="5"/>
      <c r="B3" s="419" t="s">
        <v>371</v>
      </c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188"/>
      <c r="F4" s="19" t="s">
        <v>308</v>
      </c>
      <c r="G4" s="20" t="s">
        <v>357</v>
      </c>
      <c r="H4" s="19" t="s">
        <v>310</v>
      </c>
      <c r="I4" s="20" t="s">
        <v>357</v>
      </c>
      <c r="J4" s="19" t="s">
        <v>311</v>
      </c>
      <c r="K4" s="20" t="s">
        <v>357</v>
      </c>
      <c r="L4" s="19" t="s">
        <v>312</v>
      </c>
      <c r="M4" s="20" t="s">
        <v>357</v>
      </c>
      <c r="N4" s="19" t="s">
        <v>313</v>
      </c>
      <c r="O4" s="20" t="s">
        <v>357</v>
      </c>
      <c r="P4" s="21" t="s">
        <v>98</v>
      </c>
    </row>
    <row r="5" spans="1:16" ht="16.5" thickBot="1" x14ac:dyDescent="0.3">
      <c r="A5" s="189">
        <v>10000102</v>
      </c>
      <c r="B5" s="11" t="s">
        <v>2</v>
      </c>
      <c r="C5" s="190"/>
      <c r="D5" s="198">
        <v>0</v>
      </c>
      <c r="E5" s="188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89">
        <f t="shared" ref="P5:P62" si="0">SUM(F5:O5)</f>
        <v>0</v>
      </c>
    </row>
    <row r="6" spans="1:16" ht="16.5" thickBot="1" x14ac:dyDescent="0.3">
      <c r="A6" s="193">
        <v>1000006</v>
      </c>
      <c r="B6" s="12" t="s">
        <v>4</v>
      </c>
      <c r="C6" s="190"/>
      <c r="D6" s="199">
        <v>85</v>
      </c>
      <c r="E6" s="188"/>
      <c r="F6" s="191">
        <v>50</v>
      </c>
      <c r="G6" s="191"/>
      <c r="H6" s="191"/>
      <c r="I6" s="191"/>
      <c r="J6" s="191">
        <v>100</v>
      </c>
      <c r="K6" s="191"/>
      <c r="L6" s="191"/>
      <c r="M6" s="191"/>
      <c r="N6" s="191"/>
      <c r="O6" s="191"/>
      <c r="P6" s="613">
        <f t="shared" si="0"/>
        <v>150</v>
      </c>
    </row>
    <row r="7" spans="1:16" ht="16.5" thickBot="1" x14ac:dyDescent="0.3">
      <c r="A7" s="193">
        <v>1000007</v>
      </c>
      <c r="B7" s="12" t="s">
        <v>5</v>
      </c>
      <c r="C7" s="190"/>
      <c r="D7" s="199">
        <v>90</v>
      </c>
      <c r="E7" s="188"/>
      <c r="F7" s="191">
        <v>50</v>
      </c>
      <c r="G7" s="191"/>
      <c r="H7" s="191"/>
      <c r="I7" s="191"/>
      <c r="J7" s="191">
        <v>50</v>
      </c>
      <c r="K7" s="191"/>
      <c r="L7" s="191"/>
      <c r="M7" s="191"/>
      <c r="N7" s="191"/>
      <c r="O7" s="191"/>
      <c r="P7" s="613">
        <f t="shared" si="0"/>
        <v>100</v>
      </c>
    </row>
    <row r="8" spans="1:16" ht="16.5" thickBot="1" x14ac:dyDescent="0.3">
      <c r="A8" s="193">
        <v>1000008</v>
      </c>
      <c r="B8" s="12" t="s">
        <v>7</v>
      </c>
      <c r="C8" s="190"/>
      <c r="D8" s="199">
        <v>75</v>
      </c>
      <c r="E8" s="188"/>
      <c r="F8" s="191">
        <v>100</v>
      </c>
      <c r="G8" s="191"/>
      <c r="H8" s="191"/>
      <c r="I8" s="191"/>
      <c r="J8" s="191"/>
      <c r="K8" s="191"/>
      <c r="L8" s="191"/>
      <c r="M8" s="191"/>
      <c r="N8" s="191"/>
      <c r="O8" s="191"/>
      <c r="P8" s="613">
        <f t="shared" si="0"/>
        <v>100</v>
      </c>
    </row>
    <row r="9" spans="1:16" ht="16.5" thickBot="1" x14ac:dyDescent="0.3">
      <c r="A9" s="193">
        <v>1000001</v>
      </c>
      <c r="B9" s="12" t="s">
        <v>8</v>
      </c>
      <c r="C9" s="190"/>
      <c r="D9" s="199">
        <v>2</v>
      </c>
      <c r="E9" s="188"/>
      <c r="F9" s="191">
        <v>3</v>
      </c>
      <c r="G9" s="191"/>
      <c r="H9" s="191"/>
      <c r="I9" s="191"/>
      <c r="J9" s="191"/>
      <c r="K9" s="191"/>
      <c r="L9" s="191"/>
      <c r="M9" s="191"/>
      <c r="N9" s="191"/>
      <c r="O9" s="191"/>
      <c r="P9" s="613">
        <f t="shared" si="0"/>
        <v>3</v>
      </c>
    </row>
    <row r="10" spans="1:16" ht="16.5" thickBot="1" x14ac:dyDescent="0.3">
      <c r="A10" s="193">
        <v>1000002</v>
      </c>
      <c r="B10" s="12" t="s">
        <v>9</v>
      </c>
      <c r="C10" s="190"/>
      <c r="D10" s="199">
        <v>1</v>
      </c>
      <c r="E10" s="188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89">
        <f t="shared" si="0"/>
        <v>0</v>
      </c>
    </row>
    <row r="11" spans="1:16" ht="16.5" thickBot="1" x14ac:dyDescent="0.3">
      <c r="A11" s="193">
        <v>1000067</v>
      </c>
      <c r="B11" s="12" t="s">
        <v>11</v>
      </c>
      <c r="C11" s="190"/>
      <c r="D11" s="199">
        <v>0</v>
      </c>
      <c r="E11" s="188"/>
      <c r="F11" s="191"/>
      <c r="G11" s="191"/>
      <c r="H11" s="191"/>
      <c r="I11" s="191"/>
      <c r="J11" s="191">
        <v>2</v>
      </c>
      <c r="K11" s="191"/>
      <c r="L11" s="191"/>
      <c r="M11" s="191"/>
      <c r="N11" s="191"/>
      <c r="O11" s="191"/>
      <c r="P11" s="613">
        <f t="shared" si="0"/>
        <v>2</v>
      </c>
    </row>
    <row r="12" spans="1:16" ht="16.5" thickBot="1" x14ac:dyDescent="0.3">
      <c r="A12" s="193">
        <v>1000054</v>
      </c>
      <c r="B12" s="12" t="s">
        <v>12</v>
      </c>
      <c r="C12" s="190"/>
      <c r="D12" s="199">
        <v>8</v>
      </c>
      <c r="E12" s="188"/>
      <c r="F12" s="191">
        <v>10</v>
      </c>
      <c r="G12" s="191"/>
      <c r="H12" s="191"/>
      <c r="I12" s="191"/>
      <c r="J12" s="191"/>
      <c r="K12" s="191"/>
      <c r="L12" s="191"/>
      <c r="M12" s="191"/>
      <c r="N12" s="191">
        <v>10</v>
      </c>
      <c r="O12" s="191"/>
      <c r="P12" s="613">
        <f t="shared" si="0"/>
        <v>20</v>
      </c>
    </row>
    <row r="13" spans="1:16" ht="16.5" thickBot="1" x14ac:dyDescent="0.3">
      <c r="A13" s="193">
        <v>1000070</v>
      </c>
      <c r="B13" s="12" t="s">
        <v>13</v>
      </c>
      <c r="C13" s="190"/>
      <c r="D13" s="199">
        <v>0</v>
      </c>
      <c r="E13" s="188"/>
      <c r="F13" s="191"/>
      <c r="G13" s="191"/>
      <c r="H13" s="191"/>
      <c r="I13" s="191"/>
      <c r="J13" s="191"/>
      <c r="K13" s="191"/>
      <c r="L13" s="191"/>
      <c r="M13" s="191"/>
      <c r="N13" s="191">
        <v>2</v>
      </c>
      <c r="O13" s="191"/>
      <c r="P13" s="613">
        <f t="shared" si="0"/>
        <v>2</v>
      </c>
    </row>
    <row r="14" spans="1:16" ht="16.5" thickBot="1" x14ac:dyDescent="0.3">
      <c r="A14" s="193">
        <v>1000017</v>
      </c>
      <c r="B14" s="12" t="s">
        <v>14</v>
      </c>
      <c r="C14" s="190"/>
      <c r="D14" s="199">
        <v>40</v>
      </c>
      <c r="E14" s="188"/>
      <c r="F14" s="191">
        <v>10</v>
      </c>
      <c r="G14" s="191"/>
      <c r="H14" s="191"/>
      <c r="I14" s="191"/>
      <c r="J14" s="191"/>
      <c r="K14" s="191"/>
      <c r="L14" s="191"/>
      <c r="M14" s="191"/>
      <c r="N14" s="191">
        <v>10</v>
      </c>
      <c r="O14" s="191"/>
      <c r="P14" s="613">
        <f t="shared" si="0"/>
        <v>20</v>
      </c>
    </row>
    <row r="15" spans="1:16" ht="16.5" thickBot="1" x14ac:dyDescent="0.3">
      <c r="A15" s="193">
        <v>1000016</v>
      </c>
      <c r="B15" s="13" t="s">
        <v>15</v>
      </c>
      <c r="C15" s="190"/>
      <c r="D15" s="199">
        <v>5</v>
      </c>
      <c r="E15" s="188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89">
        <f t="shared" si="0"/>
        <v>0</v>
      </c>
    </row>
    <row r="16" spans="1:16" ht="16.5" thickBot="1" x14ac:dyDescent="0.3">
      <c r="A16" s="193">
        <v>1000041</v>
      </c>
      <c r="B16" s="12" t="s">
        <v>16</v>
      </c>
      <c r="C16" s="190"/>
      <c r="D16" s="199">
        <v>5</v>
      </c>
      <c r="E16" s="188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89">
        <f t="shared" si="0"/>
        <v>0</v>
      </c>
    </row>
    <row r="17" spans="1:16" ht="16.5" thickBot="1" x14ac:dyDescent="0.3">
      <c r="A17" s="193">
        <v>1000009</v>
      </c>
      <c r="B17" s="12" t="s">
        <v>19</v>
      </c>
      <c r="C17" s="190"/>
      <c r="D17" s="199">
        <v>1</v>
      </c>
      <c r="E17" s="188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89">
        <f>SUM(F17:O17)</f>
        <v>0</v>
      </c>
    </row>
    <row r="18" spans="1:16" ht="16.5" thickBot="1" x14ac:dyDescent="0.3">
      <c r="A18" s="193">
        <v>1000049</v>
      </c>
      <c r="B18" s="12" t="s">
        <v>21</v>
      </c>
      <c r="C18" s="190"/>
      <c r="D18" s="199">
        <v>1</v>
      </c>
      <c r="E18" s="188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89">
        <f>SUM(F18:O18)</f>
        <v>0</v>
      </c>
    </row>
    <row r="19" spans="1:16" ht="16.5" thickBot="1" x14ac:dyDescent="0.3">
      <c r="A19" s="193">
        <v>1000050</v>
      </c>
      <c r="B19" s="12" t="s">
        <v>22</v>
      </c>
      <c r="C19" s="190"/>
      <c r="D19" s="199">
        <v>0</v>
      </c>
      <c r="E19" s="188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89">
        <f t="shared" si="0"/>
        <v>0</v>
      </c>
    </row>
    <row r="20" spans="1:16" ht="16.5" thickBot="1" x14ac:dyDescent="0.3">
      <c r="A20" s="193">
        <v>1000045</v>
      </c>
      <c r="B20" s="12" t="s">
        <v>23</v>
      </c>
      <c r="C20" s="190"/>
      <c r="D20" s="199">
        <v>0</v>
      </c>
      <c r="E20" s="188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89">
        <f t="shared" si="0"/>
        <v>0</v>
      </c>
    </row>
    <row r="21" spans="1:16" ht="16.5" thickBot="1" x14ac:dyDescent="0.3">
      <c r="A21" s="193">
        <v>1000031</v>
      </c>
      <c r="B21" s="12" t="s">
        <v>25</v>
      </c>
      <c r="C21" s="190"/>
      <c r="D21" s="199">
        <v>2</v>
      </c>
      <c r="E21" s="188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89">
        <f t="shared" si="0"/>
        <v>0</v>
      </c>
    </row>
    <row r="22" spans="1:16" ht="16.5" thickBot="1" x14ac:dyDescent="0.3">
      <c r="A22" s="193">
        <v>1000032</v>
      </c>
      <c r="B22" s="12" t="s">
        <v>26</v>
      </c>
      <c r="C22" s="190"/>
      <c r="D22" s="199">
        <v>1</v>
      </c>
      <c r="E22" s="188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89">
        <f t="shared" si="0"/>
        <v>0</v>
      </c>
    </row>
    <row r="23" spans="1:16" ht="16.5" thickBot="1" x14ac:dyDescent="0.3">
      <c r="A23" s="193">
        <v>1000027</v>
      </c>
      <c r="B23" s="12" t="s">
        <v>33</v>
      </c>
      <c r="C23" s="190"/>
      <c r="D23" s="199">
        <v>2</v>
      </c>
      <c r="E23" s="188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89">
        <f t="shared" si="0"/>
        <v>0</v>
      </c>
    </row>
    <row r="24" spans="1:16" ht="16.5" thickBot="1" x14ac:dyDescent="0.3">
      <c r="A24" s="193">
        <v>1000100</v>
      </c>
      <c r="B24" s="12" t="s">
        <v>34</v>
      </c>
      <c r="C24" s="190"/>
      <c r="D24" s="199">
        <v>0</v>
      </c>
      <c r="E24" s="188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89">
        <f t="shared" si="0"/>
        <v>0</v>
      </c>
    </row>
    <row r="25" spans="1:16" ht="16.5" thickBot="1" x14ac:dyDescent="0.3">
      <c r="A25" s="193">
        <v>1000101</v>
      </c>
      <c r="B25" s="12" t="s">
        <v>35</v>
      </c>
      <c r="C25" s="190"/>
      <c r="D25" s="199">
        <v>0</v>
      </c>
      <c r="E25" s="188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89">
        <f t="shared" si="0"/>
        <v>0</v>
      </c>
    </row>
    <row r="26" spans="1:16" ht="16.5" thickBot="1" x14ac:dyDescent="0.3">
      <c r="A26" s="193">
        <v>1000073</v>
      </c>
      <c r="B26" s="12" t="s">
        <v>36</v>
      </c>
      <c r="C26" s="190"/>
      <c r="D26" s="199">
        <v>0</v>
      </c>
      <c r="E26" s="188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89">
        <f t="shared" si="0"/>
        <v>0</v>
      </c>
    </row>
    <row r="27" spans="1:16" ht="16.5" thickBot="1" x14ac:dyDescent="0.3">
      <c r="A27" s="193">
        <v>1000082</v>
      </c>
      <c r="B27" s="12" t="s">
        <v>37</v>
      </c>
      <c r="C27" s="190"/>
      <c r="D27" s="199">
        <v>50</v>
      </c>
      <c r="E27" s="188"/>
      <c r="F27" s="191">
        <v>16</v>
      </c>
      <c r="G27" s="191"/>
      <c r="H27" s="191"/>
      <c r="I27" s="191"/>
      <c r="J27" s="191">
        <v>32</v>
      </c>
      <c r="K27" s="191"/>
      <c r="L27" s="191"/>
      <c r="M27" s="191"/>
      <c r="N27" s="191"/>
      <c r="O27" s="191"/>
      <c r="P27" s="613">
        <f t="shared" si="0"/>
        <v>48</v>
      </c>
    </row>
    <row r="28" spans="1:16" ht="16.5" thickBot="1" x14ac:dyDescent="0.3">
      <c r="A28" s="193">
        <v>1000084</v>
      </c>
      <c r="B28" s="12" t="s">
        <v>38</v>
      </c>
      <c r="C28" s="190"/>
      <c r="D28" s="199">
        <v>10</v>
      </c>
      <c r="E28" s="188"/>
      <c r="F28" s="191">
        <v>8</v>
      </c>
      <c r="G28" s="191"/>
      <c r="H28" s="191"/>
      <c r="I28" s="191"/>
      <c r="J28" s="191">
        <v>16</v>
      </c>
      <c r="K28" s="191"/>
      <c r="L28" s="191"/>
      <c r="M28" s="191"/>
      <c r="N28" s="191"/>
      <c r="O28" s="191"/>
      <c r="P28" s="613">
        <f t="shared" si="0"/>
        <v>24</v>
      </c>
    </row>
    <row r="29" spans="1:16" ht="16.5" thickBot="1" x14ac:dyDescent="0.3">
      <c r="A29" s="193">
        <v>1000486</v>
      </c>
      <c r="B29" s="12" t="s">
        <v>263</v>
      </c>
      <c r="C29" s="190"/>
      <c r="D29" s="199">
        <v>8</v>
      </c>
      <c r="E29" s="188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89">
        <f t="shared" si="0"/>
        <v>0</v>
      </c>
    </row>
    <row r="30" spans="1:16" ht="16.5" thickBot="1" x14ac:dyDescent="0.3">
      <c r="A30" s="193">
        <v>10248</v>
      </c>
      <c r="B30" s="12" t="s">
        <v>183</v>
      </c>
      <c r="C30" s="190"/>
      <c r="D30" s="199">
        <v>0</v>
      </c>
      <c r="E30" s="188"/>
      <c r="F30" s="191"/>
      <c r="G30" s="191"/>
      <c r="H30" s="191"/>
      <c r="I30" s="191"/>
      <c r="J30" s="191">
        <v>12</v>
      </c>
      <c r="K30" s="191"/>
      <c r="L30" s="191"/>
      <c r="M30" s="191"/>
      <c r="N30" s="191">
        <v>9</v>
      </c>
      <c r="O30" s="191"/>
      <c r="P30" s="613">
        <f t="shared" si="0"/>
        <v>21</v>
      </c>
    </row>
    <row r="31" spans="1:16" ht="16.5" thickBot="1" x14ac:dyDescent="0.3">
      <c r="A31" s="193">
        <v>1000090</v>
      </c>
      <c r="B31" s="12" t="s">
        <v>40</v>
      </c>
      <c r="C31" s="190"/>
      <c r="D31" s="199">
        <v>3</v>
      </c>
      <c r="E31" s="188"/>
      <c r="F31" s="191"/>
      <c r="G31" s="191"/>
      <c r="H31" s="191"/>
      <c r="I31" s="191"/>
      <c r="J31" s="191"/>
      <c r="K31" s="191"/>
      <c r="L31" s="191"/>
      <c r="M31" s="191"/>
      <c r="N31" s="191">
        <v>6</v>
      </c>
      <c r="O31" s="191"/>
      <c r="P31" s="613">
        <f t="shared" si="0"/>
        <v>6</v>
      </c>
    </row>
    <row r="32" spans="1:16" ht="16.5" thickBot="1" x14ac:dyDescent="0.3">
      <c r="A32" s="193">
        <v>1000052</v>
      </c>
      <c r="B32" s="12" t="s">
        <v>41</v>
      </c>
      <c r="C32" s="190"/>
      <c r="D32" s="199">
        <v>2</v>
      </c>
      <c r="E32" s="188"/>
      <c r="F32" s="191">
        <v>3</v>
      </c>
      <c r="G32" s="191"/>
      <c r="H32" s="191"/>
      <c r="I32" s="191"/>
      <c r="J32" s="191"/>
      <c r="K32" s="191"/>
      <c r="L32" s="191"/>
      <c r="M32" s="191"/>
      <c r="N32" s="191">
        <v>3</v>
      </c>
      <c r="O32" s="191"/>
      <c r="P32" s="613">
        <f t="shared" si="0"/>
        <v>6</v>
      </c>
    </row>
    <row r="33" spans="1:16" ht="16.5" thickBot="1" x14ac:dyDescent="0.3">
      <c r="A33" s="193">
        <v>1000089</v>
      </c>
      <c r="B33" s="12" t="s">
        <v>42</v>
      </c>
      <c r="C33" s="190"/>
      <c r="D33" s="199">
        <v>2</v>
      </c>
      <c r="E33" s="188"/>
      <c r="F33" s="191">
        <v>3</v>
      </c>
      <c r="G33" s="191"/>
      <c r="H33" s="191"/>
      <c r="I33" s="191"/>
      <c r="J33" s="191"/>
      <c r="K33" s="191"/>
      <c r="L33" s="191"/>
      <c r="M33" s="191"/>
      <c r="N33" s="191">
        <v>3</v>
      </c>
      <c r="O33" s="191"/>
      <c r="P33" s="613">
        <f t="shared" si="0"/>
        <v>6</v>
      </c>
    </row>
    <row r="34" spans="1:16" ht="16.5" thickBot="1" x14ac:dyDescent="0.3">
      <c r="A34" s="193">
        <v>1000051</v>
      </c>
      <c r="B34" s="12" t="s">
        <v>43</v>
      </c>
      <c r="C34" s="190"/>
      <c r="D34" s="199">
        <v>1</v>
      </c>
      <c r="E34" s="188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89">
        <f t="shared" si="0"/>
        <v>0</v>
      </c>
    </row>
    <row r="35" spans="1:16" ht="16.5" thickBot="1" x14ac:dyDescent="0.3">
      <c r="A35" s="193">
        <v>1000048</v>
      </c>
      <c r="B35" s="12" t="s">
        <v>45</v>
      </c>
      <c r="C35" s="190"/>
      <c r="D35" s="199">
        <v>0</v>
      </c>
      <c r="E35" s="188"/>
      <c r="F35" s="191">
        <v>1</v>
      </c>
      <c r="G35" s="191"/>
      <c r="H35" s="191"/>
      <c r="I35" s="191"/>
      <c r="J35" s="191"/>
      <c r="K35" s="191"/>
      <c r="L35" s="191"/>
      <c r="M35" s="191"/>
      <c r="N35" s="191"/>
      <c r="O35" s="191"/>
      <c r="P35" s="613">
        <f t="shared" si="0"/>
        <v>1</v>
      </c>
    </row>
    <row r="36" spans="1:16" ht="16.5" thickBot="1" x14ac:dyDescent="0.3">
      <c r="A36" s="193">
        <v>1000076</v>
      </c>
      <c r="B36" s="12" t="s">
        <v>46</v>
      </c>
      <c r="C36" s="190"/>
      <c r="D36" s="199">
        <v>0</v>
      </c>
      <c r="E36" s="188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89">
        <f t="shared" si="0"/>
        <v>0</v>
      </c>
    </row>
    <row r="37" spans="1:16" ht="16.5" thickBot="1" x14ac:dyDescent="0.3">
      <c r="A37" s="193">
        <v>1000085</v>
      </c>
      <c r="B37" s="12" t="s">
        <v>50</v>
      </c>
      <c r="C37" s="190"/>
      <c r="D37" s="199">
        <v>0</v>
      </c>
      <c r="E37" s="188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89">
        <f t="shared" si="0"/>
        <v>0</v>
      </c>
    </row>
    <row r="38" spans="1:16" ht="16.5" thickBot="1" x14ac:dyDescent="0.3">
      <c r="A38" s="193">
        <v>1000147</v>
      </c>
      <c r="B38" s="12" t="s">
        <v>52</v>
      </c>
      <c r="C38" s="190"/>
      <c r="D38" s="199">
        <v>0</v>
      </c>
      <c r="E38" s="188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89">
        <f t="shared" si="0"/>
        <v>0</v>
      </c>
    </row>
    <row r="39" spans="1:16" ht="16.5" thickBot="1" x14ac:dyDescent="0.3">
      <c r="A39" s="193">
        <v>1000142</v>
      </c>
      <c r="B39" s="12" t="s">
        <v>54</v>
      </c>
      <c r="C39" s="190"/>
      <c r="D39" s="199">
        <v>0</v>
      </c>
      <c r="E39" s="188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89">
        <f t="shared" si="0"/>
        <v>0</v>
      </c>
    </row>
    <row r="40" spans="1:16" ht="16.5" thickBot="1" x14ac:dyDescent="0.3">
      <c r="A40" s="193">
        <v>1000087</v>
      </c>
      <c r="B40" s="12" t="s">
        <v>69</v>
      </c>
      <c r="C40" s="190"/>
      <c r="D40" s="199">
        <v>0</v>
      </c>
      <c r="E40" s="188"/>
      <c r="F40" s="191"/>
      <c r="G40" s="191"/>
      <c r="H40" s="191"/>
      <c r="I40" s="191"/>
      <c r="J40" s="191">
        <v>2</v>
      </c>
      <c r="K40" s="191"/>
      <c r="L40" s="191"/>
      <c r="M40" s="191"/>
      <c r="N40" s="191"/>
      <c r="O40" s="191"/>
      <c r="P40" s="613">
        <f t="shared" si="0"/>
        <v>2</v>
      </c>
    </row>
    <row r="41" spans="1:16" ht="16.5" thickBot="1" x14ac:dyDescent="0.3">
      <c r="A41" s="193">
        <v>1000057</v>
      </c>
      <c r="B41" s="12" t="s">
        <v>70</v>
      </c>
      <c r="C41" s="190"/>
      <c r="D41" s="199">
        <v>0</v>
      </c>
      <c r="E41" s="188"/>
      <c r="F41" s="191">
        <v>2</v>
      </c>
      <c r="G41" s="191"/>
      <c r="H41" s="191"/>
      <c r="I41" s="191"/>
      <c r="J41" s="191"/>
      <c r="K41" s="191"/>
      <c r="L41" s="191"/>
      <c r="M41" s="191"/>
      <c r="N41" s="191"/>
      <c r="O41" s="191"/>
      <c r="P41" s="613">
        <f t="shared" si="0"/>
        <v>2</v>
      </c>
    </row>
    <row r="42" spans="1:16" ht="16.5" thickBot="1" x14ac:dyDescent="0.3">
      <c r="A42" s="193">
        <v>1000073</v>
      </c>
      <c r="B42" s="12" t="s">
        <v>36</v>
      </c>
      <c r="C42" s="190"/>
      <c r="D42" s="199">
        <v>0</v>
      </c>
      <c r="E42" s="188"/>
      <c r="F42" s="191"/>
      <c r="G42" s="191"/>
      <c r="H42" s="191"/>
      <c r="I42" s="191"/>
      <c r="J42" s="191">
        <v>1</v>
      </c>
      <c r="K42" s="191"/>
      <c r="L42" s="191"/>
      <c r="M42" s="191"/>
      <c r="N42" s="191"/>
      <c r="O42" s="191"/>
      <c r="P42" s="613">
        <f t="shared" si="0"/>
        <v>1</v>
      </c>
    </row>
    <row r="43" spans="1:16" ht="16.5" thickBot="1" x14ac:dyDescent="0.3">
      <c r="A43" s="193">
        <v>1000004</v>
      </c>
      <c r="B43" s="12" t="s">
        <v>10</v>
      </c>
      <c r="C43" s="190"/>
      <c r="D43" s="199"/>
      <c r="E43" s="188"/>
      <c r="F43" s="191">
        <v>3</v>
      </c>
      <c r="G43" s="191"/>
      <c r="H43" s="191"/>
      <c r="I43" s="191"/>
      <c r="J43" s="191"/>
      <c r="K43" s="191"/>
      <c r="L43" s="191"/>
      <c r="M43" s="191"/>
      <c r="N43" s="191"/>
      <c r="O43" s="191"/>
      <c r="P43" s="613">
        <f t="shared" si="0"/>
        <v>3</v>
      </c>
    </row>
    <row r="44" spans="1:16" ht="16.5" thickBot="1" x14ac:dyDescent="0.3">
      <c r="A44" s="193">
        <v>1000214</v>
      </c>
      <c r="B44" s="12" t="s">
        <v>49</v>
      </c>
      <c r="C44" s="190"/>
      <c r="D44" s="199"/>
      <c r="E44" s="188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89">
        <f t="shared" si="0"/>
        <v>0</v>
      </c>
    </row>
    <row r="45" spans="1:16" ht="16.5" thickBot="1" x14ac:dyDescent="0.3">
      <c r="A45" s="193">
        <v>1000030</v>
      </c>
      <c r="B45" s="12" t="s">
        <v>24</v>
      </c>
      <c r="C45" s="190"/>
      <c r="D45" s="199"/>
      <c r="E45" s="188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89">
        <f t="shared" si="0"/>
        <v>0</v>
      </c>
    </row>
    <row r="46" spans="1:16" ht="16.5" thickBot="1" x14ac:dyDescent="0.3">
      <c r="A46" s="193">
        <v>1000033</v>
      </c>
      <c r="B46" s="12" t="s">
        <v>27</v>
      </c>
      <c r="C46" s="190"/>
      <c r="D46" s="199"/>
      <c r="E46" s="188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89">
        <f t="shared" si="0"/>
        <v>0</v>
      </c>
    </row>
    <row r="47" spans="1:16" ht="16.5" thickBot="1" x14ac:dyDescent="0.3">
      <c r="A47" s="193">
        <v>1000029</v>
      </c>
      <c r="B47" s="12" t="s">
        <v>30</v>
      </c>
      <c r="C47" s="190"/>
      <c r="D47" s="199"/>
      <c r="E47" s="188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89">
        <f t="shared" si="0"/>
        <v>0</v>
      </c>
    </row>
    <row r="48" spans="1:16" ht="16.5" thickBot="1" x14ac:dyDescent="0.3">
      <c r="A48" s="193">
        <v>1000092</v>
      </c>
      <c r="B48" s="12" t="s">
        <v>51</v>
      </c>
      <c r="C48" s="190"/>
      <c r="D48" s="199"/>
      <c r="E48" s="188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89">
        <f t="shared" si="0"/>
        <v>0</v>
      </c>
    </row>
    <row r="49" spans="1:16" ht="16.5" thickBot="1" x14ac:dyDescent="0.3">
      <c r="A49" s="193">
        <v>1000117</v>
      </c>
      <c r="B49" s="12" t="s">
        <v>80</v>
      </c>
      <c r="C49" s="190"/>
      <c r="D49" s="199"/>
      <c r="E49" s="188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89">
        <f t="shared" si="0"/>
        <v>0</v>
      </c>
    </row>
    <row r="50" spans="1:16" ht="16.5" thickBot="1" x14ac:dyDescent="0.3">
      <c r="A50" s="193">
        <v>1000034</v>
      </c>
      <c r="B50" s="12" t="s">
        <v>28</v>
      </c>
      <c r="C50" s="190"/>
      <c r="D50" s="199"/>
      <c r="E50" s="188"/>
      <c r="F50" s="191"/>
      <c r="G50" s="191"/>
      <c r="H50" s="191"/>
      <c r="I50" s="191"/>
      <c r="J50" s="191"/>
      <c r="K50" s="191"/>
      <c r="L50" s="191"/>
      <c r="M50" s="191"/>
      <c r="N50" s="191">
        <v>1</v>
      </c>
      <c r="O50" s="191"/>
      <c r="P50" s="613">
        <f t="shared" si="0"/>
        <v>1</v>
      </c>
    </row>
    <row r="51" spans="1:16" ht="16.5" thickBot="1" x14ac:dyDescent="0.3">
      <c r="A51" s="193">
        <v>1000062</v>
      </c>
      <c r="B51" s="12" t="s">
        <v>66</v>
      </c>
      <c r="C51" s="190"/>
      <c r="D51" s="199"/>
      <c r="E51" s="188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89">
        <f t="shared" si="0"/>
        <v>0</v>
      </c>
    </row>
    <row r="52" spans="1:16" ht="16.5" thickBot="1" x14ac:dyDescent="0.3">
      <c r="A52" s="193">
        <v>1000075</v>
      </c>
      <c r="B52" s="12" t="s">
        <v>47</v>
      </c>
      <c r="C52" s="190"/>
      <c r="D52" s="199"/>
      <c r="E52" s="188"/>
      <c r="F52" s="191"/>
      <c r="G52" s="191"/>
      <c r="H52" s="191"/>
      <c r="I52" s="191"/>
      <c r="J52" s="191">
        <v>1</v>
      </c>
      <c r="K52" s="191"/>
      <c r="L52" s="191"/>
      <c r="M52" s="191"/>
      <c r="N52" s="191"/>
      <c r="O52" s="191"/>
      <c r="P52" s="613">
        <f t="shared" si="0"/>
        <v>1</v>
      </c>
    </row>
    <row r="53" spans="1:16" ht="16.5" thickBot="1" x14ac:dyDescent="0.3">
      <c r="A53" s="193">
        <v>1000472</v>
      </c>
      <c r="B53" s="12" t="s">
        <v>222</v>
      </c>
      <c r="C53" s="190"/>
      <c r="D53" s="199"/>
      <c r="E53" s="188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89">
        <f t="shared" si="0"/>
        <v>0</v>
      </c>
    </row>
    <row r="54" spans="1:16" ht="16.5" thickBot="1" x14ac:dyDescent="0.3">
      <c r="A54" s="193">
        <v>1000025</v>
      </c>
      <c r="B54" s="12" t="s">
        <v>32</v>
      </c>
      <c r="C54" s="190"/>
      <c r="D54" s="199"/>
      <c r="E54" s="188"/>
      <c r="F54" s="191">
        <v>5</v>
      </c>
      <c r="G54" s="191"/>
      <c r="H54" s="191"/>
      <c r="I54" s="191"/>
      <c r="J54" s="191"/>
      <c r="K54" s="191"/>
      <c r="L54" s="191"/>
      <c r="M54" s="191"/>
      <c r="N54" s="191"/>
      <c r="O54" s="191"/>
      <c r="P54" s="613">
        <f t="shared" si="0"/>
        <v>5</v>
      </c>
    </row>
    <row r="55" spans="1:16" ht="16.5" thickBot="1" x14ac:dyDescent="0.3">
      <c r="A55" s="193">
        <v>1000036</v>
      </c>
      <c r="B55" s="12" t="s">
        <v>75</v>
      </c>
      <c r="C55" s="190"/>
      <c r="D55" s="199"/>
      <c r="E55" s="188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89">
        <f t="shared" si="0"/>
        <v>0</v>
      </c>
    </row>
    <row r="56" spans="1:16" ht="16.5" thickBot="1" x14ac:dyDescent="0.3">
      <c r="A56" s="193">
        <v>1000440</v>
      </c>
      <c r="B56" s="12" t="s">
        <v>199</v>
      </c>
      <c r="C56" s="190"/>
      <c r="D56" s="199"/>
      <c r="E56" s="188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89">
        <f t="shared" si="0"/>
        <v>0</v>
      </c>
    </row>
    <row r="57" spans="1:16" ht="16.5" thickBot="1" x14ac:dyDescent="0.3">
      <c r="A57" s="193">
        <v>1000080</v>
      </c>
      <c r="B57" s="12" t="s">
        <v>275</v>
      </c>
      <c r="C57" s="190"/>
      <c r="D57" s="199"/>
      <c r="E57" s="188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89">
        <f t="shared" si="0"/>
        <v>0</v>
      </c>
    </row>
    <row r="58" spans="1:16" ht="16.5" thickBot="1" x14ac:dyDescent="0.3">
      <c r="A58" s="193">
        <v>1000436</v>
      </c>
      <c r="B58" s="12" t="s">
        <v>276</v>
      </c>
      <c r="C58" s="190"/>
      <c r="D58" s="199"/>
      <c r="E58" s="188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89">
        <f t="shared" si="0"/>
        <v>0</v>
      </c>
    </row>
    <row r="59" spans="1:16" ht="16.5" thickBot="1" x14ac:dyDescent="0.3">
      <c r="A59" s="193">
        <v>1000550</v>
      </c>
      <c r="B59" s="12" t="s">
        <v>277</v>
      </c>
      <c r="C59" s="190"/>
      <c r="D59" s="199"/>
      <c r="E59" s="188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89">
        <f t="shared" si="0"/>
        <v>0</v>
      </c>
    </row>
    <row r="60" spans="1:16" ht="16.5" thickBot="1" x14ac:dyDescent="0.3">
      <c r="A60" s="36">
        <v>1000551</v>
      </c>
      <c r="B60" s="12" t="s">
        <v>278</v>
      </c>
      <c r="D60" s="35"/>
      <c r="E60" s="215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89">
        <f t="shared" si="0"/>
        <v>0</v>
      </c>
    </row>
    <row r="61" spans="1:16" ht="16.5" thickBot="1" x14ac:dyDescent="0.3">
      <c r="A61" s="207">
        <v>1000552</v>
      </c>
      <c r="B61" s="246" t="s">
        <v>279</v>
      </c>
      <c r="D61" s="38"/>
      <c r="E61" s="215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89">
        <f t="shared" si="0"/>
        <v>0</v>
      </c>
    </row>
    <row r="62" spans="1:16" ht="16.5" thickBot="1" x14ac:dyDescent="0.3">
      <c r="A62" s="207"/>
      <c r="B62" s="246"/>
      <c r="D62" s="38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89">
        <f t="shared" si="0"/>
        <v>0</v>
      </c>
    </row>
  </sheetData>
  <mergeCells count="3">
    <mergeCell ref="A1:B2"/>
    <mergeCell ref="D1:D2"/>
    <mergeCell ref="F1:J2"/>
  </mergeCells>
  <phoneticPr fontId="108" type="noConversion"/>
  <pageMargins left="0.25" right="0.25" top="0.75" bottom="0.75" header="0.3" footer="0.3"/>
  <pageSetup paperSize="9" scale="5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E762-19F9-4A71-B846-ECC4155B3044}">
  <sheetPr>
    <tabColor rgb="FF7030A0"/>
    <pageSetUpPr fitToPage="1"/>
  </sheetPr>
  <dimension ref="A1:P56"/>
  <sheetViews>
    <sheetView topLeftCell="A17" zoomScale="70" zoomScaleNormal="70" workbookViewId="0">
      <selection activeCell="S53" sqref="S53"/>
    </sheetView>
  </sheetViews>
  <sheetFormatPr baseColWidth="10" defaultColWidth="10.875" defaultRowHeight="15" x14ac:dyDescent="0.25"/>
  <cols>
    <col min="1" max="1" width="9.75" style="27" bestFit="1" customWidth="1"/>
    <col min="2" max="2" width="40.1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6.25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6.625" style="27" customWidth="1"/>
    <col min="14" max="14" width="9.125" style="27" bestFit="1" customWidth="1"/>
    <col min="15" max="15" width="7" style="27" customWidth="1"/>
    <col min="16" max="16384" width="10.875" style="27"/>
  </cols>
  <sheetData>
    <row r="1" spans="1:16" ht="17.25" customHeight="1" x14ac:dyDescent="0.45">
      <c r="A1" s="686" t="s">
        <v>101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362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372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>
        <v>1</v>
      </c>
      <c r="F5" s="28"/>
      <c r="G5" s="28"/>
      <c r="H5" s="28">
        <v>5</v>
      </c>
      <c r="I5" s="28"/>
      <c r="J5" s="28">
        <v>5</v>
      </c>
      <c r="K5" s="28"/>
      <c r="L5" s="28"/>
      <c r="M5" s="28"/>
      <c r="N5" s="28"/>
      <c r="O5" s="28"/>
      <c r="P5" s="418">
        <f t="shared" ref="P5:P56" si="0">SUM(F5:O5)</f>
        <v>10</v>
      </c>
    </row>
    <row r="6" spans="1:16" ht="15.75" thickBot="1" x14ac:dyDescent="0.3">
      <c r="A6" s="35">
        <v>1000006</v>
      </c>
      <c r="B6" s="12" t="s">
        <v>4</v>
      </c>
      <c r="C6" s="41"/>
      <c r="D6" s="43">
        <v>300</v>
      </c>
      <c r="F6" s="28">
        <v>50</v>
      </c>
      <c r="G6" s="28"/>
      <c r="H6" s="28">
        <v>50</v>
      </c>
      <c r="I6" s="28"/>
      <c r="J6" s="28">
        <v>50</v>
      </c>
      <c r="K6" s="28"/>
      <c r="L6" s="28">
        <v>50</v>
      </c>
      <c r="M6" s="28"/>
      <c r="N6" s="28">
        <v>50</v>
      </c>
      <c r="O6" s="28"/>
      <c r="P6" s="418">
        <f t="shared" si="0"/>
        <v>250</v>
      </c>
    </row>
    <row r="7" spans="1:16" ht="15.75" thickBot="1" x14ac:dyDescent="0.3">
      <c r="A7" s="35">
        <v>1000007</v>
      </c>
      <c r="B7" s="12" t="s">
        <v>5</v>
      </c>
      <c r="C7" s="41"/>
      <c r="D7" s="43">
        <v>300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>
        <v>100</v>
      </c>
      <c r="O7" s="28"/>
      <c r="P7" s="418">
        <f t="shared" si="0"/>
        <v>300</v>
      </c>
    </row>
    <row r="8" spans="1:16" ht="15.75" thickBot="1" x14ac:dyDescent="0.3">
      <c r="A8" s="35">
        <v>1000001</v>
      </c>
      <c r="B8" s="12" t="s">
        <v>8</v>
      </c>
      <c r="C8" s="41"/>
      <c r="D8" s="43">
        <v>6</v>
      </c>
      <c r="F8" s="28">
        <v>3</v>
      </c>
      <c r="G8" s="28"/>
      <c r="H8" s="28">
        <v>2</v>
      </c>
      <c r="I8" s="28"/>
      <c r="J8" s="28">
        <v>3</v>
      </c>
      <c r="K8" s="28"/>
      <c r="L8" s="28">
        <v>6</v>
      </c>
      <c r="M8" s="28"/>
      <c r="N8" s="28"/>
      <c r="O8" s="28"/>
      <c r="P8" s="418">
        <f t="shared" si="0"/>
        <v>14</v>
      </c>
    </row>
    <row r="9" spans="1:16" ht="15.75" thickBot="1" x14ac:dyDescent="0.3">
      <c r="A9" s="35">
        <v>1000002</v>
      </c>
      <c r="B9" s="12" t="s">
        <v>9</v>
      </c>
      <c r="C9" s="41"/>
      <c r="D9" s="43">
        <v>1</v>
      </c>
      <c r="F9" s="28"/>
      <c r="G9" s="28"/>
      <c r="H9" s="28"/>
      <c r="I9" s="28"/>
      <c r="J9" s="28">
        <v>1</v>
      </c>
      <c r="K9" s="28"/>
      <c r="L9" s="28"/>
      <c r="M9" s="28"/>
      <c r="N9" s="28"/>
      <c r="O9" s="28"/>
      <c r="P9" s="418">
        <f t="shared" si="0"/>
        <v>1</v>
      </c>
    </row>
    <row r="10" spans="1:16" ht="15.75" thickBot="1" x14ac:dyDescent="0.3">
      <c r="A10" s="35">
        <v>1000004</v>
      </c>
      <c r="B10" s="12" t="s">
        <v>10</v>
      </c>
      <c r="C10" s="41"/>
      <c r="D10" s="43">
        <v>3</v>
      </c>
      <c r="F10" s="28">
        <v>2</v>
      </c>
      <c r="G10" s="28"/>
      <c r="H10" s="28">
        <v>2</v>
      </c>
      <c r="I10" s="28"/>
      <c r="J10" s="28">
        <v>3</v>
      </c>
      <c r="K10" s="28"/>
      <c r="L10" s="28">
        <v>6</v>
      </c>
      <c r="M10" s="28"/>
      <c r="N10" s="28">
        <v>8</v>
      </c>
      <c r="O10" s="28"/>
      <c r="P10" s="418">
        <f t="shared" si="0"/>
        <v>21</v>
      </c>
    </row>
    <row r="11" spans="1:16" ht="15.75" thickBot="1" x14ac:dyDescent="0.3">
      <c r="A11" s="35">
        <v>1000054</v>
      </c>
      <c r="B11" s="12" t="s">
        <v>12</v>
      </c>
      <c r="C11" s="41"/>
      <c r="D11" s="43">
        <v>65</v>
      </c>
      <c r="F11" s="28">
        <v>5</v>
      </c>
      <c r="G11" s="28"/>
      <c r="H11" s="28">
        <v>20</v>
      </c>
      <c r="I11" s="28"/>
      <c r="J11" s="28"/>
      <c r="K11" s="28"/>
      <c r="L11" s="28"/>
      <c r="M11" s="28"/>
      <c r="N11" s="28">
        <v>10</v>
      </c>
      <c r="O11" s="28"/>
      <c r="P11" s="418">
        <f t="shared" si="0"/>
        <v>35</v>
      </c>
    </row>
    <row r="12" spans="1:16" ht="15.75" thickBot="1" x14ac:dyDescent="0.3">
      <c r="A12" s="35">
        <v>1000070</v>
      </c>
      <c r="B12" s="12" t="s">
        <v>13</v>
      </c>
      <c r="C12" s="41"/>
      <c r="D12" s="43">
        <v>0</v>
      </c>
      <c r="F12" s="28"/>
      <c r="G12" s="28"/>
      <c r="H12" s="28">
        <v>2</v>
      </c>
      <c r="I12" s="28"/>
      <c r="J12" s="28"/>
      <c r="K12" s="28"/>
      <c r="L12" s="28">
        <v>2</v>
      </c>
      <c r="M12" s="28"/>
      <c r="N12" s="28"/>
      <c r="O12" s="28"/>
      <c r="P12" s="418">
        <f t="shared" si="0"/>
        <v>4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65</v>
      </c>
      <c r="F13" s="28">
        <v>20</v>
      </c>
      <c r="G13" s="28"/>
      <c r="H13" s="28">
        <v>20</v>
      </c>
      <c r="I13" s="28"/>
      <c r="J13" s="28">
        <v>15</v>
      </c>
      <c r="K13" s="28"/>
      <c r="L13" s="28"/>
      <c r="M13" s="28"/>
      <c r="N13" s="28">
        <v>10</v>
      </c>
      <c r="O13" s="28"/>
      <c r="P13" s="418">
        <f t="shared" si="0"/>
        <v>65</v>
      </c>
    </row>
    <row r="14" spans="1:16" ht="15.75" thickBot="1" x14ac:dyDescent="0.3">
      <c r="A14" s="35">
        <v>1000016</v>
      </c>
      <c r="B14" s="12" t="s">
        <v>15</v>
      </c>
      <c r="C14" s="41"/>
      <c r="D14" s="43">
        <v>5</v>
      </c>
      <c r="F14" s="28">
        <v>5</v>
      </c>
      <c r="G14" s="28"/>
      <c r="H14" s="28"/>
      <c r="I14" s="28"/>
      <c r="J14" s="28"/>
      <c r="K14" s="28"/>
      <c r="L14" s="28">
        <v>5</v>
      </c>
      <c r="M14" s="28"/>
      <c r="N14" s="28"/>
      <c r="O14" s="28"/>
      <c r="P14" s="418">
        <f t="shared" si="0"/>
        <v>10</v>
      </c>
    </row>
    <row r="15" spans="1:16" ht="15.75" thickBot="1" x14ac:dyDescent="0.3">
      <c r="A15" s="35">
        <v>1000049</v>
      </c>
      <c r="B15" s="12" t="s">
        <v>21</v>
      </c>
      <c r="C15" s="41"/>
      <c r="D15" s="43">
        <v>1</v>
      </c>
      <c r="F15" s="28"/>
      <c r="G15" s="28"/>
      <c r="H15" s="28"/>
      <c r="I15" s="28"/>
      <c r="J15" s="28">
        <v>1</v>
      </c>
      <c r="K15" s="28"/>
      <c r="L15" s="28">
        <v>3</v>
      </c>
      <c r="M15" s="28"/>
      <c r="N15" s="28"/>
      <c r="O15" s="28"/>
      <c r="P15" s="418">
        <f t="shared" si="0"/>
        <v>4</v>
      </c>
    </row>
    <row r="16" spans="1:16" ht="15.75" thickBot="1" x14ac:dyDescent="0.3">
      <c r="A16" s="35">
        <v>1000050</v>
      </c>
      <c r="B16" s="13" t="s">
        <v>22</v>
      </c>
      <c r="C16" s="41"/>
      <c r="D16" s="43">
        <v>1</v>
      </c>
      <c r="F16" s="28"/>
      <c r="G16" s="28"/>
      <c r="H16" s="28"/>
      <c r="I16" s="28"/>
      <c r="J16" s="28">
        <v>2</v>
      </c>
      <c r="K16" s="28"/>
      <c r="L16" s="28">
        <v>3</v>
      </c>
      <c r="M16" s="28"/>
      <c r="N16" s="28"/>
      <c r="O16" s="28"/>
      <c r="P16" s="418">
        <f t="shared" si="0"/>
        <v>5</v>
      </c>
    </row>
    <row r="17" spans="1:16" ht="15.75" thickBot="1" x14ac:dyDescent="0.3">
      <c r="A17" s="35">
        <v>1000045</v>
      </c>
      <c r="B17" s="12" t="s">
        <v>23</v>
      </c>
      <c r="C17" s="41"/>
      <c r="D17" s="43">
        <v>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1000030</v>
      </c>
      <c r="B18" s="12" t="s">
        <v>24</v>
      </c>
      <c r="C18" s="41"/>
      <c r="D18" s="43">
        <v>2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1000031</v>
      </c>
      <c r="B19" s="12" t="s">
        <v>25</v>
      </c>
      <c r="C19" s="41"/>
      <c r="D19" s="43">
        <v>2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1000027</v>
      </c>
      <c r="B20" s="12" t="s">
        <v>33</v>
      </c>
      <c r="C20" s="41"/>
      <c r="D20" s="43">
        <v>6</v>
      </c>
      <c r="F20" s="28">
        <v>3</v>
      </c>
      <c r="G20" s="28"/>
      <c r="H20" s="28"/>
      <c r="I20" s="28"/>
      <c r="J20" s="28">
        <v>3</v>
      </c>
      <c r="K20" s="28"/>
      <c r="L20" s="28">
        <v>9</v>
      </c>
      <c r="M20" s="28"/>
      <c r="N20" s="28"/>
      <c r="O20" s="28"/>
      <c r="P20" s="418">
        <f t="shared" si="0"/>
        <v>15</v>
      </c>
    </row>
    <row r="21" spans="1:16" ht="15.75" thickBot="1" x14ac:dyDescent="0.3">
      <c r="A21" s="35">
        <v>1000101</v>
      </c>
      <c r="B21" s="12" t="s">
        <v>35</v>
      </c>
      <c r="C21" s="41"/>
      <c r="D21" s="43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1000084</v>
      </c>
      <c r="B22" s="12" t="s">
        <v>38</v>
      </c>
      <c r="C22" s="41"/>
      <c r="D22" s="43">
        <v>10</v>
      </c>
      <c r="F22" s="28">
        <v>4</v>
      </c>
      <c r="G22" s="28"/>
      <c r="H22" s="28">
        <v>8</v>
      </c>
      <c r="I22" s="28"/>
      <c r="J22" s="28">
        <v>4</v>
      </c>
      <c r="K22" s="28"/>
      <c r="L22" s="28">
        <v>12</v>
      </c>
      <c r="M22" s="28"/>
      <c r="N22" s="28">
        <v>8</v>
      </c>
      <c r="O22" s="28"/>
      <c r="P22" s="418">
        <f t="shared" si="0"/>
        <v>36</v>
      </c>
    </row>
    <row r="23" spans="1:16" ht="15.75" thickBot="1" x14ac:dyDescent="0.3">
      <c r="A23" s="35">
        <v>1000146</v>
      </c>
      <c r="B23" s="12" t="s">
        <v>39</v>
      </c>
      <c r="C23" s="41"/>
      <c r="D23" s="43">
        <v>7</v>
      </c>
      <c r="F23" s="28">
        <v>10</v>
      </c>
      <c r="G23" s="28"/>
      <c r="H23" s="28">
        <v>10</v>
      </c>
      <c r="I23" s="28"/>
      <c r="J23" s="28">
        <v>10</v>
      </c>
      <c r="K23" s="28"/>
      <c r="L23" s="28">
        <v>30</v>
      </c>
      <c r="M23" s="28"/>
      <c r="N23" s="28">
        <v>20</v>
      </c>
      <c r="O23" s="28"/>
      <c r="P23" s="418">
        <f t="shared" si="0"/>
        <v>80</v>
      </c>
    </row>
    <row r="24" spans="1:16" ht="15.75" thickBot="1" x14ac:dyDescent="0.3">
      <c r="A24" s="35">
        <v>10248</v>
      </c>
      <c r="B24" s="12" t="s">
        <v>183</v>
      </c>
      <c r="C24" s="41"/>
      <c r="D24" s="43">
        <v>0</v>
      </c>
      <c r="F24" s="28"/>
      <c r="G24" s="28"/>
      <c r="H24" s="28"/>
      <c r="I24" s="28"/>
      <c r="J24" s="28">
        <v>12</v>
      </c>
      <c r="K24" s="28"/>
      <c r="L24" s="28"/>
      <c r="M24" s="28"/>
      <c r="N24" s="28"/>
      <c r="O24" s="28"/>
      <c r="P24" s="418">
        <f t="shared" si="0"/>
        <v>12</v>
      </c>
    </row>
    <row r="25" spans="1:16" ht="15.75" thickBot="1" x14ac:dyDescent="0.3">
      <c r="A25" s="35">
        <v>1000052</v>
      </c>
      <c r="B25" s="12" t="s">
        <v>41</v>
      </c>
      <c r="C25" s="41"/>
      <c r="D25" s="43">
        <v>4</v>
      </c>
      <c r="F25" s="28"/>
      <c r="G25" s="28"/>
      <c r="H25" s="28"/>
      <c r="I25" s="28"/>
      <c r="J25" s="28">
        <v>2</v>
      </c>
      <c r="K25" s="28"/>
      <c r="L25" s="28">
        <v>2</v>
      </c>
      <c r="M25" s="28"/>
      <c r="N25" s="28"/>
      <c r="O25" s="28"/>
      <c r="P25" s="418">
        <f t="shared" si="0"/>
        <v>4</v>
      </c>
    </row>
    <row r="26" spans="1:16" ht="15.75" thickBot="1" x14ac:dyDescent="0.3">
      <c r="A26" s="35">
        <v>1000089</v>
      </c>
      <c r="B26" s="12" t="s">
        <v>42</v>
      </c>
      <c r="C26" s="41"/>
      <c r="D26" s="43">
        <v>4</v>
      </c>
      <c r="F26" s="28"/>
      <c r="G26" s="28"/>
      <c r="H26" s="28"/>
      <c r="I26" s="28"/>
      <c r="J26" s="28">
        <v>2</v>
      </c>
      <c r="K26" s="28"/>
      <c r="L26" s="28">
        <v>4</v>
      </c>
      <c r="M26" s="28"/>
      <c r="N26" s="28">
        <v>3</v>
      </c>
      <c r="O26" s="28"/>
      <c r="P26" s="418">
        <f t="shared" si="0"/>
        <v>9</v>
      </c>
    </row>
    <row r="27" spans="1:16" ht="15.75" thickBot="1" x14ac:dyDescent="0.3">
      <c r="A27" s="35">
        <v>1000051</v>
      </c>
      <c r="B27" s="12" t="s">
        <v>43</v>
      </c>
      <c r="C27" s="41"/>
      <c r="D27" s="43">
        <v>1</v>
      </c>
      <c r="F27" s="28"/>
      <c r="G27" s="28"/>
      <c r="H27" s="28"/>
      <c r="I27" s="28"/>
      <c r="J27" s="28">
        <v>1</v>
      </c>
      <c r="K27" s="28"/>
      <c r="L27" s="28"/>
      <c r="M27" s="28"/>
      <c r="N27" s="28"/>
      <c r="O27" s="28"/>
      <c r="P27" s="418">
        <f t="shared" si="0"/>
        <v>1</v>
      </c>
    </row>
    <row r="28" spans="1:16" ht="15.75" thickBot="1" x14ac:dyDescent="0.3">
      <c r="A28" s="35">
        <v>1000048</v>
      </c>
      <c r="B28" s="12" t="s">
        <v>45</v>
      </c>
      <c r="C28" s="41"/>
      <c r="D28" s="43">
        <v>1</v>
      </c>
      <c r="F28" s="28"/>
      <c r="G28" s="28"/>
      <c r="H28" s="28">
        <v>2</v>
      </c>
      <c r="I28" s="28"/>
      <c r="J28" s="28"/>
      <c r="K28" s="28"/>
      <c r="L28" s="28"/>
      <c r="M28" s="28"/>
      <c r="N28" s="28"/>
      <c r="O28" s="28"/>
      <c r="P28" s="418">
        <f t="shared" si="0"/>
        <v>2</v>
      </c>
    </row>
    <row r="29" spans="1:16" ht="15.75" thickBot="1" x14ac:dyDescent="0.3">
      <c r="A29" s="35">
        <v>1000147</v>
      </c>
      <c r="B29" s="12" t="s">
        <v>52</v>
      </c>
      <c r="C29" s="41"/>
      <c r="D29" s="43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1000106</v>
      </c>
      <c r="B30" s="12" t="s">
        <v>59</v>
      </c>
      <c r="C30" s="41"/>
      <c r="D30" s="43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1000063</v>
      </c>
      <c r="B31" s="12" t="s">
        <v>65</v>
      </c>
      <c r="C31" s="41"/>
      <c r="D31" s="43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1000034</v>
      </c>
      <c r="B32" s="12" t="s">
        <v>28</v>
      </c>
      <c r="C32" s="41"/>
      <c r="D32" s="43">
        <v>3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1000025</v>
      </c>
      <c r="B33" s="12" t="s">
        <v>32</v>
      </c>
      <c r="C33" s="41"/>
      <c r="D33" s="43"/>
      <c r="F33" s="28"/>
      <c r="G33" s="28"/>
      <c r="H33" s="28"/>
      <c r="I33" s="28"/>
      <c r="J33" s="28"/>
      <c r="K33" s="28"/>
      <c r="L33" s="28"/>
      <c r="M33" s="28"/>
      <c r="N33" s="28">
        <v>5</v>
      </c>
      <c r="O33" s="28"/>
      <c r="P33" s="418">
        <f t="shared" si="0"/>
        <v>5</v>
      </c>
    </row>
    <row r="34" spans="1:16" s="15" customFormat="1" ht="15.95" customHeight="1" thickBot="1" x14ac:dyDescent="0.3">
      <c r="A34" s="35">
        <v>1000090</v>
      </c>
      <c r="B34" s="12" t="s">
        <v>40</v>
      </c>
      <c r="C34" s="41"/>
      <c r="D34" s="43"/>
      <c r="E34" s="27"/>
      <c r="F34" s="28"/>
      <c r="G34" s="28"/>
      <c r="H34" s="28">
        <v>2</v>
      </c>
      <c r="I34" s="28"/>
      <c r="J34" s="28">
        <v>4</v>
      </c>
      <c r="K34" s="28"/>
      <c r="L34" s="28"/>
      <c r="M34" s="28"/>
      <c r="N34" s="28">
        <v>4</v>
      </c>
      <c r="O34" s="28"/>
      <c r="P34" s="418">
        <f t="shared" si="0"/>
        <v>10</v>
      </c>
    </row>
    <row r="35" spans="1:16" ht="15.75" thickBot="1" x14ac:dyDescent="0.3">
      <c r="A35" s="35">
        <v>1000439</v>
      </c>
      <c r="B35" s="12" t="s">
        <v>193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1000205</v>
      </c>
      <c r="B36" s="12" t="s">
        <v>82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1000087</v>
      </c>
      <c r="B37" s="12" t="s">
        <v>197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>
        <v>2</v>
      </c>
      <c r="O37" s="28"/>
      <c r="P37" s="418">
        <f t="shared" si="0"/>
        <v>2</v>
      </c>
    </row>
    <row r="38" spans="1:16" ht="15.75" thickBot="1" x14ac:dyDescent="0.3">
      <c r="A38" s="35">
        <v>1000075</v>
      </c>
      <c r="B38" s="12" t="s">
        <v>47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1000033</v>
      </c>
      <c r="B39" s="12" t="s">
        <v>27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1000029</v>
      </c>
      <c r="B40" s="12" t="s">
        <v>30</v>
      </c>
      <c r="C40" s="41"/>
      <c r="D40" s="43"/>
      <c r="F40" s="28"/>
      <c r="G40" s="28"/>
      <c r="H40" s="28">
        <v>2</v>
      </c>
      <c r="I40" s="28"/>
      <c r="J40" s="28">
        <v>1</v>
      </c>
      <c r="K40" s="28"/>
      <c r="L40" s="28"/>
      <c r="M40" s="28"/>
      <c r="N40" s="28">
        <v>2</v>
      </c>
      <c r="O40" s="28"/>
      <c r="P40" s="418">
        <f t="shared" si="0"/>
        <v>5</v>
      </c>
    </row>
    <row r="41" spans="1:16" ht="15.75" thickBot="1" x14ac:dyDescent="0.3">
      <c r="A41" s="35">
        <v>1000008</v>
      </c>
      <c r="B41" s="12" t="s">
        <v>7</v>
      </c>
      <c r="C41" s="41"/>
      <c r="D41" s="43"/>
      <c r="F41" s="28"/>
      <c r="G41" s="28"/>
      <c r="H41" s="28"/>
      <c r="I41" s="28"/>
      <c r="J41" s="28"/>
      <c r="K41" s="28"/>
      <c r="L41" s="28">
        <v>50</v>
      </c>
      <c r="M41" s="28"/>
      <c r="N41" s="28"/>
      <c r="O41" s="28"/>
      <c r="P41" s="418">
        <f t="shared" si="0"/>
        <v>50</v>
      </c>
    </row>
    <row r="42" spans="1:16" ht="15.75" thickBot="1" x14ac:dyDescent="0.3">
      <c r="A42" s="35">
        <v>1000082</v>
      </c>
      <c r="B42" s="12" t="s">
        <v>224</v>
      </c>
      <c r="C42" s="41"/>
      <c r="D42" s="43"/>
      <c r="F42" s="28">
        <v>32</v>
      </c>
      <c r="G42" s="28"/>
      <c r="H42" s="28">
        <v>16</v>
      </c>
      <c r="I42" s="28"/>
      <c r="J42" s="28">
        <v>16</v>
      </c>
      <c r="K42" s="28"/>
      <c r="L42" s="28">
        <v>16</v>
      </c>
      <c r="M42" s="28"/>
      <c r="N42" s="28">
        <v>16</v>
      </c>
      <c r="O42" s="28"/>
      <c r="P42" s="418">
        <f t="shared" si="0"/>
        <v>96</v>
      </c>
    </row>
    <row r="43" spans="1:16" ht="15.75" thickBot="1" x14ac:dyDescent="0.3">
      <c r="A43" s="35">
        <v>1000142</v>
      </c>
      <c r="B43" s="12" t="s">
        <v>54</v>
      </c>
      <c r="C43" s="41"/>
      <c r="D43" s="4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1000383</v>
      </c>
      <c r="B44" s="12" t="s">
        <v>264</v>
      </c>
      <c r="C44" s="41"/>
      <c r="D44" s="4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10000102</v>
      </c>
      <c r="B45" s="12" t="s">
        <v>237</v>
      </c>
      <c r="C45" s="41"/>
      <c r="D45" s="4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1000067</v>
      </c>
      <c r="B46" s="12" t="s">
        <v>11</v>
      </c>
      <c r="C46" s="41"/>
      <c r="D46" s="43"/>
      <c r="F46" s="28"/>
      <c r="G46" s="28"/>
      <c r="H46" s="28">
        <v>2</v>
      </c>
      <c r="I46" s="28"/>
      <c r="J46" s="28"/>
      <c r="K46" s="28"/>
      <c r="L46" s="28">
        <v>2</v>
      </c>
      <c r="M46" s="28"/>
      <c r="N46" s="28"/>
      <c r="O46" s="28"/>
      <c r="P46" s="418">
        <f t="shared" si="0"/>
        <v>4</v>
      </c>
    </row>
    <row r="47" spans="1:16" ht="15.75" thickBot="1" x14ac:dyDescent="0.3">
      <c r="A47" s="35">
        <v>1000057</v>
      </c>
      <c r="B47" s="12" t="s">
        <v>70</v>
      </c>
      <c r="C47" s="41"/>
      <c r="D47" s="43"/>
      <c r="F47" s="28"/>
      <c r="G47" s="28"/>
      <c r="H47" s="28"/>
      <c r="I47" s="28"/>
      <c r="J47" s="28"/>
      <c r="K47" s="28"/>
      <c r="L47" s="28"/>
      <c r="M47" s="28"/>
      <c r="N47" s="28">
        <v>1</v>
      </c>
      <c r="O47" s="28"/>
      <c r="P47" s="418">
        <f t="shared" si="0"/>
        <v>1</v>
      </c>
    </row>
    <row r="48" spans="1:16" ht="15.75" thickBot="1" x14ac:dyDescent="0.3">
      <c r="A48" s="35">
        <v>10211</v>
      </c>
      <c r="B48" s="12" t="s">
        <v>3</v>
      </c>
      <c r="C48" s="41"/>
      <c r="D48" s="43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1000080</v>
      </c>
      <c r="B49" s="12" t="s">
        <v>275</v>
      </c>
      <c r="C49" s="41"/>
      <c r="D49" s="43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1000436</v>
      </c>
      <c r="B50" s="12" t="s">
        <v>276</v>
      </c>
      <c r="C50" s="41"/>
      <c r="D50" s="43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1000550</v>
      </c>
      <c r="B51" s="12" t="s">
        <v>277</v>
      </c>
      <c r="C51" s="41"/>
      <c r="D51" s="43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1000551</v>
      </c>
      <c r="B52" s="12" t="s">
        <v>278</v>
      </c>
      <c r="C52" s="41"/>
      <c r="D52" s="4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243">
        <v>1000552</v>
      </c>
      <c r="B53" s="251" t="s">
        <v>279</v>
      </c>
      <c r="C53" s="215"/>
      <c r="D53" s="38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193">
        <v>1000027</v>
      </c>
      <c r="B54" s="12" t="s">
        <v>33</v>
      </c>
      <c r="D54" s="3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506">
        <v>1000516</v>
      </c>
      <c r="B55" s="12" t="s">
        <v>238</v>
      </c>
      <c r="D55" s="38"/>
      <c r="F55" s="28">
        <v>1</v>
      </c>
      <c r="G55" s="28"/>
      <c r="H55" s="28"/>
      <c r="I55" s="28"/>
      <c r="J55" s="28">
        <v>1</v>
      </c>
      <c r="K55" s="28"/>
      <c r="L55" s="28"/>
      <c r="M55" s="28"/>
      <c r="N55" s="28"/>
      <c r="O55" s="28"/>
      <c r="P55" s="418">
        <f t="shared" si="0"/>
        <v>2</v>
      </c>
    </row>
    <row r="56" spans="1:16" ht="15.75" thickBot="1" x14ac:dyDescent="0.3">
      <c r="A56" s="193"/>
      <c r="B56" s="12" t="s">
        <v>505</v>
      </c>
      <c r="D56" s="38"/>
      <c r="F56" s="28"/>
      <c r="G56" s="28"/>
      <c r="H56" s="28"/>
      <c r="I56" s="28"/>
      <c r="J56" s="28"/>
      <c r="K56" s="28"/>
      <c r="L56" s="28"/>
      <c r="M56" s="28"/>
      <c r="N56" s="28">
        <v>10</v>
      </c>
      <c r="O56" s="28"/>
      <c r="P56" s="418">
        <f t="shared" si="0"/>
        <v>10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1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DE1-AB40-4CA8-9AC8-654A9B434665}">
  <sheetPr>
    <tabColor rgb="FF7030A0"/>
    <pageSetUpPr fitToPage="1"/>
  </sheetPr>
  <dimension ref="A1:P59"/>
  <sheetViews>
    <sheetView topLeftCell="A23" zoomScale="70" zoomScaleNormal="70" workbookViewId="0">
      <selection activeCell="R51" sqref="R5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.125" style="27" customWidth="1"/>
    <col min="4" max="4" width="8.375" style="27" bestFit="1" customWidth="1"/>
    <col min="5" max="5" width="1.625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6.75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6.5" style="27" customWidth="1"/>
    <col min="16" max="16" width="10.375" style="27" customWidth="1"/>
    <col min="17" max="16384" width="10.875" style="27"/>
  </cols>
  <sheetData>
    <row r="1" spans="1:16" ht="15" customHeight="1" x14ac:dyDescent="0.45">
      <c r="A1" s="686" t="s">
        <v>136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20.25" customHeight="1" thickBot="1" x14ac:dyDescent="0.3">
      <c r="A3" s="5"/>
      <c r="B3" s="340" t="s">
        <v>351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>
        <v>5</v>
      </c>
      <c r="K5" s="28"/>
      <c r="L5" s="28"/>
      <c r="M5" s="28"/>
      <c r="N5" s="28"/>
      <c r="O5" s="28"/>
      <c r="P5" s="631">
        <f t="shared" ref="P5:P59" si="0">SUM(F5:O5)</f>
        <v>5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5"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100</v>
      </c>
      <c r="F7" s="28"/>
      <c r="G7" s="28"/>
      <c r="H7" s="28">
        <v>100</v>
      </c>
      <c r="I7" s="28"/>
      <c r="J7" s="28">
        <v>100</v>
      </c>
      <c r="K7" s="28"/>
      <c r="L7" s="28">
        <v>100</v>
      </c>
      <c r="M7" s="28"/>
      <c r="N7" s="28">
        <v>100</v>
      </c>
      <c r="O7" s="28"/>
      <c r="P7" s="415">
        <f t="shared" si="0"/>
        <v>400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75</v>
      </c>
      <c r="F8" s="28"/>
      <c r="G8" s="28"/>
      <c r="H8" s="28">
        <v>100</v>
      </c>
      <c r="I8" s="28"/>
      <c r="J8" s="28">
        <v>100</v>
      </c>
      <c r="K8" s="28"/>
      <c r="L8" s="28">
        <v>100</v>
      </c>
      <c r="M8" s="28"/>
      <c r="N8" s="28">
        <v>100</v>
      </c>
      <c r="O8" s="28"/>
      <c r="P8" s="415">
        <f t="shared" si="0"/>
        <v>400</v>
      </c>
    </row>
    <row r="9" spans="1:16" ht="15.75" thickBot="1" x14ac:dyDescent="0.3">
      <c r="A9" s="35">
        <v>1000008</v>
      </c>
      <c r="B9" s="12" t="s">
        <v>7</v>
      </c>
      <c r="C9" s="41"/>
      <c r="D9" s="47">
        <v>35</v>
      </c>
      <c r="F9" s="28"/>
      <c r="G9" s="28"/>
      <c r="H9" s="28">
        <v>100</v>
      </c>
      <c r="I9" s="28"/>
      <c r="J9" s="28">
        <v>50</v>
      </c>
      <c r="K9" s="28"/>
      <c r="L9" s="28">
        <v>100</v>
      </c>
      <c r="M9" s="28"/>
      <c r="N9" s="28">
        <v>100</v>
      </c>
      <c r="O9" s="28"/>
      <c r="P9" s="415">
        <f t="shared" si="0"/>
        <v>350</v>
      </c>
    </row>
    <row r="10" spans="1:16" ht="15.75" thickBot="1" x14ac:dyDescent="0.3">
      <c r="A10" s="35">
        <v>1000001</v>
      </c>
      <c r="B10" s="12" t="s">
        <v>8</v>
      </c>
      <c r="C10" s="41"/>
      <c r="D10" s="47">
        <v>4</v>
      </c>
      <c r="F10" s="28"/>
      <c r="G10" s="28"/>
      <c r="H10" s="28">
        <v>3</v>
      </c>
      <c r="I10" s="28"/>
      <c r="J10" s="28">
        <v>2</v>
      </c>
      <c r="K10" s="28"/>
      <c r="L10" s="28">
        <v>3</v>
      </c>
      <c r="M10" s="28"/>
      <c r="N10" s="28">
        <v>3</v>
      </c>
      <c r="O10" s="28"/>
      <c r="P10" s="415">
        <f t="shared" si="0"/>
        <v>11</v>
      </c>
    </row>
    <row r="11" spans="1:16" ht="15.75" thickBot="1" x14ac:dyDescent="0.3">
      <c r="A11" s="35">
        <v>1000002</v>
      </c>
      <c r="B11" s="12" t="s">
        <v>9</v>
      </c>
      <c r="C11" s="41"/>
      <c r="D11" s="47">
        <v>1</v>
      </c>
      <c r="F11" s="28"/>
      <c r="G11" s="28"/>
      <c r="H11" s="28"/>
      <c r="I11" s="28"/>
      <c r="J11" s="28"/>
      <c r="K11" s="28"/>
      <c r="L11" s="28"/>
      <c r="M11" s="28"/>
      <c r="N11" s="28">
        <v>1</v>
      </c>
      <c r="O11" s="28"/>
      <c r="P11" s="415">
        <f t="shared" si="0"/>
        <v>1</v>
      </c>
    </row>
    <row r="12" spans="1:16" ht="15.75" thickBot="1" x14ac:dyDescent="0.3">
      <c r="A12" s="35">
        <v>1000004</v>
      </c>
      <c r="B12" s="12" t="s">
        <v>10</v>
      </c>
      <c r="C12" s="41"/>
      <c r="D12" s="47">
        <v>1</v>
      </c>
      <c r="F12" s="28"/>
      <c r="G12" s="28"/>
      <c r="H12" s="28">
        <v>3</v>
      </c>
      <c r="I12" s="28"/>
      <c r="J12" s="28">
        <v>2</v>
      </c>
      <c r="K12" s="28"/>
      <c r="L12" s="28">
        <v>3</v>
      </c>
      <c r="M12" s="28"/>
      <c r="N12" s="28">
        <v>3</v>
      </c>
      <c r="O12" s="28"/>
      <c r="P12" s="415">
        <f t="shared" si="0"/>
        <v>11</v>
      </c>
    </row>
    <row r="13" spans="1:16" ht="15.75" thickBot="1" x14ac:dyDescent="0.3">
      <c r="A13" s="35">
        <v>1000067</v>
      </c>
      <c r="B13" s="12" t="s">
        <v>11</v>
      </c>
      <c r="C13" s="41"/>
      <c r="D13" s="47">
        <v>0</v>
      </c>
      <c r="F13" s="28"/>
      <c r="G13" s="28"/>
      <c r="H13" s="28">
        <v>2</v>
      </c>
      <c r="I13" s="28"/>
      <c r="J13" s="28"/>
      <c r="K13" s="28"/>
      <c r="L13" s="28"/>
      <c r="M13" s="28"/>
      <c r="N13" s="28"/>
      <c r="O13" s="28"/>
      <c r="P13" s="415">
        <f t="shared" si="0"/>
        <v>2</v>
      </c>
    </row>
    <row r="14" spans="1:16" ht="15.75" thickBot="1" x14ac:dyDescent="0.3">
      <c r="A14" s="35">
        <v>1000054</v>
      </c>
      <c r="B14" s="12" t="s">
        <v>12</v>
      </c>
      <c r="C14" s="41"/>
      <c r="D14" s="47">
        <v>18</v>
      </c>
      <c r="F14" s="28"/>
      <c r="G14" s="28"/>
      <c r="H14" s="28">
        <v>10</v>
      </c>
      <c r="I14" s="28"/>
      <c r="J14" s="28">
        <v>20</v>
      </c>
      <c r="K14" s="28"/>
      <c r="L14" s="28">
        <v>20</v>
      </c>
      <c r="M14" s="28"/>
      <c r="N14" s="28">
        <v>10</v>
      </c>
      <c r="O14" s="28"/>
      <c r="P14" s="415">
        <f t="shared" si="0"/>
        <v>60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20</v>
      </c>
      <c r="F15" s="28"/>
      <c r="G15" s="28"/>
      <c r="H15" s="28">
        <v>40</v>
      </c>
      <c r="I15" s="28"/>
      <c r="J15" s="28">
        <v>30</v>
      </c>
      <c r="K15" s="28"/>
      <c r="L15" s="28">
        <v>30</v>
      </c>
      <c r="M15" s="28"/>
      <c r="N15" s="28">
        <v>30</v>
      </c>
      <c r="O15" s="28"/>
      <c r="P15" s="415">
        <f t="shared" si="0"/>
        <v>130</v>
      </c>
    </row>
    <row r="16" spans="1:16" ht="15.75" thickBot="1" x14ac:dyDescent="0.3">
      <c r="A16" s="35">
        <v>1000016</v>
      </c>
      <c r="B16" s="12" t="s">
        <v>15</v>
      </c>
      <c r="C16" s="41"/>
      <c r="D16" s="47">
        <v>5</v>
      </c>
      <c r="F16" s="28"/>
      <c r="G16" s="28"/>
      <c r="H16" s="28"/>
      <c r="I16" s="28"/>
      <c r="J16" s="28">
        <v>5</v>
      </c>
      <c r="K16" s="28"/>
      <c r="L16" s="28"/>
      <c r="M16" s="28"/>
      <c r="N16" s="28">
        <v>5</v>
      </c>
      <c r="O16" s="28"/>
      <c r="P16" s="415">
        <f t="shared" si="0"/>
        <v>10</v>
      </c>
    </row>
    <row r="17" spans="1:16" ht="15.75" thickBot="1" x14ac:dyDescent="0.3">
      <c r="A17" s="35">
        <v>1000041</v>
      </c>
      <c r="B17" s="12" t="s">
        <v>16</v>
      </c>
      <c r="C17" s="41"/>
      <c r="D17" s="47">
        <v>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5">
        <f t="shared" si="0"/>
        <v>0</v>
      </c>
    </row>
    <row r="18" spans="1:16" ht="15.75" thickBot="1" x14ac:dyDescent="0.3">
      <c r="A18" s="35">
        <v>1000049</v>
      </c>
      <c r="B18" s="12" t="s">
        <v>21</v>
      </c>
      <c r="C18" s="41"/>
      <c r="D18" s="47">
        <v>1</v>
      </c>
      <c r="F18" s="28"/>
      <c r="G18" s="28"/>
      <c r="H18" s="28"/>
      <c r="I18" s="28"/>
      <c r="J18" s="28">
        <v>2</v>
      </c>
      <c r="K18" s="28"/>
      <c r="L18" s="28"/>
      <c r="M18" s="28"/>
      <c r="N18" s="28">
        <v>2</v>
      </c>
      <c r="O18" s="28"/>
      <c r="P18" s="415">
        <f t="shared" si="0"/>
        <v>4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8"/>
      <c r="G19" s="28"/>
      <c r="H19" s="28"/>
      <c r="I19" s="28"/>
      <c r="J19" s="28">
        <v>2</v>
      </c>
      <c r="K19" s="28"/>
      <c r="L19" s="28"/>
      <c r="M19" s="28"/>
      <c r="N19" s="28">
        <v>2</v>
      </c>
      <c r="O19" s="28"/>
      <c r="P19" s="415">
        <f t="shared" si="0"/>
        <v>4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5">
        <f t="shared" si="0"/>
        <v>0</v>
      </c>
    </row>
    <row r="21" spans="1:16" ht="15.75" thickBot="1" x14ac:dyDescent="0.3">
      <c r="A21" s="35">
        <v>1000031</v>
      </c>
      <c r="B21" s="12" t="s">
        <v>25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5">
        <f t="shared" si="0"/>
        <v>0</v>
      </c>
    </row>
    <row r="22" spans="1:16" ht="15.75" thickBot="1" x14ac:dyDescent="0.3">
      <c r="A22" s="35">
        <v>1000034</v>
      </c>
      <c r="B22" s="12" t="s">
        <v>28</v>
      </c>
      <c r="C22" s="41"/>
      <c r="D22" s="47">
        <v>0</v>
      </c>
      <c r="F22" s="28"/>
      <c r="G22" s="28"/>
      <c r="H22" s="28"/>
      <c r="I22" s="28"/>
      <c r="J22" s="28"/>
      <c r="K22" s="28"/>
      <c r="L22" s="28">
        <v>1</v>
      </c>
      <c r="M22" s="28"/>
      <c r="N22" s="28"/>
      <c r="O22" s="28"/>
      <c r="P22" s="415">
        <f t="shared" si="0"/>
        <v>1</v>
      </c>
    </row>
    <row r="23" spans="1:16" ht="15.75" thickBot="1" x14ac:dyDescent="0.3">
      <c r="A23" s="35">
        <v>1000025</v>
      </c>
      <c r="B23" s="12" t="s">
        <v>32</v>
      </c>
      <c r="C23" s="41"/>
      <c r="D23" s="47">
        <v>0</v>
      </c>
      <c r="F23" s="28"/>
      <c r="G23" s="28"/>
      <c r="H23" s="28"/>
      <c r="I23" s="28"/>
      <c r="J23" s="28">
        <v>5</v>
      </c>
      <c r="K23" s="28"/>
      <c r="L23" s="28"/>
      <c r="M23" s="28"/>
      <c r="N23" s="28"/>
      <c r="O23" s="28"/>
      <c r="P23" s="415">
        <f t="shared" si="0"/>
        <v>5</v>
      </c>
    </row>
    <row r="24" spans="1:16" ht="15.75" thickBot="1" x14ac:dyDescent="0.3">
      <c r="A24" s="35">
        <v>1000027</v>
      </c>
      <c r="B24" s="12" t="s">
        <v>33</v>
      </c>
      <c r="C24" s="41"/>
      <c r="D24" s="47">
        <v>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5">
        <f t="shared" si="0"/>
        <v>0</v>
      </c>
    </row>
    <row r="25" spans="1:16" ht="15.75" thickBot="1" x14ac:dyDescent="0.3">
      <c r="A25" s="35">
        <v>1000100</v>
      </c>
      <c r="B25" s="12" t="s">
        <v>34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5">
        <f t="shared" si="0"/>
        <v>0</v>
      </c>
    </row>
    <row r="26" spans="1:16" ht="15.75" thickBot="1" x14ac:dyDescent="0.3">
      <c r="A26" s="35">
        <v>1000073</v>
      </c>
      <c r="B26" s="12" t="s">
        <v>36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5">
        <f t="shared" si="0"/>
        <v>0</v>
      </c>
    </row>
    <row r="27" spans="1:16" ht="15.75" thickBot="1" x14ac:dyDescent="0.3">
      <c r="A27" s="35">
        <v>1000082</v>
      </c>
      <c r="B27" s="12" t="s">
        <v>37</v>
      </c>
      <c r="C27" s="41"/>
      <c r="D27" s="47">
        <v>38</v>
      </c>
      <c r="F27" s="28"/>
      <c r="G27" s="28"/>
      <c r="H27" s="28">
        <v>40</v>
      </c>
      <c r="I27" s="28"/>
      <c r="J27" s="28">
        <v>40</v>
      </c>
      <c r="K27" s="28"/>
      <c r="L27" s="28">
        <v>40</v>
      </c>
      <c r="M27" s="28"/>
      <c r="N27" s="28">
        <v>40</v>
      </c>
      <c r="O27" s="28"/>
      <c r="P27" s="415">
        <f t="shared" si="0"/>
        <v>160</v>
      </c>
    </row>
    <row r="28" spans="1:16" ht="15.75" thickBot="1" x14ac:dyDescent="0.3">
      <c r="A28" s="35">
        <v>1000146</v>
      </c>
      <c r="B28" s="12" t="s">
        <v>39</v>
      </c>
      <c r="C28" s="41"/>
      <c r="D28" s="47">
        <v>10</v>
      </c>
      <c r="F28" s="28"/>
      <c r="G28" s="28"/>
      <c r="H28" s="28">
        <v>10</v>
      </c>
      <c r="I28" s="28"/>
      <c r="J28" s="28">
        <v>10</v>
      </c>
      <c r="K28" s="28"/>
      <c r="L28" s="28">
        <v>10</v>
      </c>
      <c r="M28" s="28"/>
      <c r="N28" s="28">
        <v>10</v>
      </c>
      <c r="O28" s="28"/>
      <c r="P28" s="415">
        <f t="shared" si="0"/>
        <v>40</v>
      </c>
    </row>
    <row r="29" spans="1:16" ht="15.75" thickBot="1" x14ac:dyDescent="0.3">
      <c r="A29" s="35">
        <v>10248</v>
      </c>
      <c r="B29" s="12" t="s">
        <v>183</v>
      </c>
      <c r="C29" s="41"/>
      <c r="D29" s="47">
        <v>0</v>
      </c>
      <c r="F29" s="28"/>
      <c r="G29" s="28"/>
      <c r="H29" s="28">
        <v>9</v>
      </c>
      <c r="I29" s="28"/>
      <c r="J29" s="28"/>
      <c r="K29" s="28"/>
      <c r="L29" s="28"/>
      <c r="M29" s="28"/>
      <c r="N29" s="28"/>
      <c r="O29" s="28"/>
      <c r="P29" s="415">
        <f t="shared" si="0"/>
        <v>9</v>
      </c>
    </row>
    <row r="30" spans="1:16" ht="15.75" thickBot="1" x14ac:dyDescent="0.3">
      <c r="A30" s="35">
        <v>1000090</v>
      </c>
      <c r="B30" s="12" t="s">
        <v>40</v>
      </c>
      <c r="C30" s="41"/>
      <c r="D30" s="47">
        <v>3</v>
      </c>
      <c r="F30" s="28"/>
      <c r="G30" s="28"/>
      <c r="H30" s="28">
        <v>4</v>
      </c>
      <c r="I30" s="28"/>
      <c r="J30" s="28">
        <v>4</v>
      </c>
      <c r="K30" s="28"/>
      <c r="L30" s="28"/>
      <c r="M30" s="28"/>
      <c r="N30" s="28">
        <v>4</v>
      </c>
      <c r="O30" s="28"/>
      <c r="P30" s="415">
        <f t="shared" si="0"/>
        <v>12</v>
      </c>
    </row>
    <row r="31" spans="1:16" ht="15.75" thickBot="1" x14ac:dyDescent="0.3">
      <c r="A31" s="35">
        <v>1000052</v>
      </c>
      <c r="B31" s="12" t="s">
        <v>41</v>
      </c>
      <c r="C31" s="41"/>
      <c r="D31" s="47">
        <v>2</v>
      </c>
      <c r="F31" s="28"/>
      <c r="G31" s="28"/>
      <c r="H31" s="28">
        <v>6</v>
      </c>
      <c r="I31" s="28"/>
      <c r="J31" s="28">
        <v>4</v>
      </c>
      <c r="K31" s="28"/>
      <c r="L31" s="28">
        <v>6</v>
      </c>
      <c r="M31" s="28"/>
      <c r="N31" s="28">
        <v>4</v>
      </c>
      <c r="O31" s="28"/>
      <c r="P31" s="415">
        <f t="shared" si="0"/>
        <v>20</v>
      </c>
    </row>
    <row r="32" spans="1:16" ht="15.75" thickBot="1" x14ac:dyDescent="0.3">
      <c r="A32" s="35">
        <v>1000089</v>
      </c>
      <c r="B32" s="12" t="s">
        <v>42</v>
      </c>
      <c r="C32" s="41"/>
      <c r="D32" s="47">
        <v>2</v>
      </c>
      <c r="F32" s="28"/>
      <c r="G32" s="28"/>
      <c r="H32" s="28">
        <v>6</v>
      </c>
      <c r="I32" s="28"/>
      <c r="J32" s="28">
        <v>4</v>
      </c>
      <c r="K32" s="28"/>
      <c r="L32" s="28">
        <v>6</v>
      </c>
      <c r="M32" s="28"/>
      <c r="N32" s="28">
        <v>4</v>
      </c>
      <c r="O32" s="28"/>
      <c r="P32" s="415">
        <f t="shared" si="0"/>
        <v>20</v>
      </c>
    </row>
    <row r="33" spans="1:16" ht="15.75" thickBot="1" x14ac:dyDescent="0.3">
      <c r="A33" s="35">
        <v>1000051</v>
      </c>
      <c r="B33" s="12" t="s">
        <v>43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>
        <v>2</v>
      </c>
      <c r="O33" s="28"/>
      <c r="P33" s="415">
        <f t="shared" si="0"/>
        <v>2</v>
      </c>
    </row>
    <row r="34" spans="1:16" ht="15.75" thickBot="1" x14ac:dyDescent="0.3">
      <c r="A34" s="35">
        <v>1000048</v>
      </c>
      <c r="B34" s="12" t="s">
        <v>45</v>
      </c>
      <c r="C34" s="41"/>
      <c r="D34" s="47">
        <v>0</v>
      </c>
      <c r="F34" s="28"/>
      <c r="G34" s="28"/>
      <c r="H34" s="28"/>
      <c r="I34" s="28"/>
      <c r="J34" s="28"/>
      <c r="K34" s="28"/>
      <c r="L34" s="28">
        <v>2</v>
      </c>
      <c r="M34" s="28"/>
      <c r="N34" s="28"/>
      <c r="O34" s="28"/>
      <c r="P34" s="415">
        <f t="shared" si="0"/>
        <v>2</v>
      </c>
    </row>
    <row r="35" spans="1:16" ht="15.75" thickBot="1" x14ac:dyDescent="0.3">
      <c r="A35" s="35">
        <v>1000214</v>
      </c>
      <c r="B35" s="12" t="s">
        <v>49</v>
      </c>
      <c r="C35" s="41"/>
      <c r="D35" s="47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5">
        <f t="shared" si="0"/>
        <v>0</v>
      </c>
    </row>
    <row r="36" spans="1:16" ht="15.75" thickBot="1" x14ac:dyDescent="0.3">
      <c r="A36" s="35">
        <v>1000092</v>
      </c>
      <c r="B36" s="12" t="s">
        <v>51</v>
      </c>
      <c r="C36" s="41"/>
      <c r="D36" s="47">
        <v>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5">
        <f t="shared" si="0"/>
        <v>0</v>
      </c>
    </row>
    <row r="37" spans="1:16" ht="15.75" thickBot="1" x14ac:dyDescent="0.3">
      <c r="A37" s="35">
        <v>1000142</v>
      </c>
      <c r="B37" s="12" t="s">
        <v>54</v>
      </c>
      <c r="C37" s="41"/>
      <c r="D37" s="47"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5">
        <f t="shared" si="0"/>
        <v>0</v>
      </c>
    </row>
    <row r="38" spans="1:16" ht="15.75" thickBot="1" x14ac:dyDescent="0.3">
      <c r="A38" s="35">
        <v>1000087</v>
      </c>
      <c r="B38" s="12" t="s">
        <v>69</v>
      </c>
      <c r="C38" s="41"/>
      <c r="D38" s="47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5">
        <f t="shared" si="0"/>
        <v>0</v>
      </c>
    </row>
    <row r="39" spans="1:16" ht="15.75" thickBot="1" x14ac:dyDescent="0.3">
      <c r="A39" s="35">
        <v>1000036</v>
      </c>
      <c r="B39" s="12" t="s">
        <v>75</v>
      </c>
      <c r="C39" s="41"/>
      <c r="D39" s="47">
        <v>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5">
        <f t="shared" si="0"/>
        <v>0</v>
      </c>
    </row>
    <row r="40" spans="1:16" ht="15.75" thickBot="1" x14ac:dyDescent="0.3">
      <c r="A40" s="35">
        <v>1000037</v>
      </c>
      <c r="B40" s="12" t="s">
        <v>76</v>
      </c>
      <c r="C40" s="41"/>
      <c r="D40" s="47">
        <v>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5">
        <f t="shared" si="0"/>
        <v>0</v>
      </c>
    </row>
    <row r="41" spans="1:16" ht="15.75" thickBot="1" x14ac:dyDescent="0.3">
      <c r="A41" s="35">
        <v>1000117</v>
      </c>
      <c r="B41" s="12" t="s">
        <v>80</v>
      </c>
      <c r="C41" s="41"/>
      <c r="D41" s="47">
        <v>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5">
        <f t="shared" si="0"/>
        <v>0</v>
      </c>
    </row>
    <row r="42" spans="1:16" ht="15.75" thickBot="1" x14ac:dyDescent="0.3">
      <c r="A42" s="35">
        <v>1000076</v>
      </c>
      <c r="B42" s="12" t="s">
        <v>46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5">
        <f t="shared" si="0"/>
        <v>0</v>
      </c>
    </row>
    <row r="43" spans="1:16" ht="15.75" thickBot="1" x14ac:dyDescent="0.3">
      <c r="A43" s="35">
        <v>1000029</v>
      </c>
      <c r="B43" s="12" t="s">
        <v>30</v>
      </c>
      <c r="C43" s="41"/>
      <c r="D43" s="47"/>
      <c r="F43" s="28"/>
      <c r="G43" s="28"/>
      <c r="H43" s="28"/>
      <c r="I43" s="28"/>
      <c r="J43" s="28">
        <v>1</v>
      </c>
      <c r="K43" s="28"/>
      <c r="L43" s="28"/>
      <c r="M43" s="28"/>
      <c r="N43" s="28">
        <v>1</v>
      </c>
      <c r="O43" s="28"/>
      <c r="P43" s="415">
        <f t="shared" si="0"/>
        <v>2</v>
      </c>
    </row>
    <row r="44" spans="1:16" ht="15.75" thickBot="1" x14ac:dyDescent="0.3">
      <c r="A44" s="35">
        <v>1000107</v>
      </c>
      <c r="B44" s="12" t="s">
        <v>60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5">
        <f t="shared" si="0"/>
        <v>0</v>
      </c>
    </row>
    <row r="45" spans="1:16" ht="15.75" thickBot="1" x14ac:dyDescent="0.3">
      <c r="A45" s="35">
        <v>1000062</v>
      </c>
      <c r="B45" s="12" t="s">
        <v>66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5">
        <f t="shared" si="0"/>
        <v>0</v>
      </c>
    </row>
    <row r="46" spans="1:16" ht="15.75" thickBot="1" x14ac:dyDescent="0.3">
      <c r="A46" s="35">
        <v>1000205</v>
      </c>
      <c r="B46" s="12" t="s">
        <v>82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5">
        <f t="shared" si="0"/>
        <v>0</v>
      </c>
    </row>
    <row r="47" spans="1:16" ht="15.75" thickBot="1" x14ac:dyDescent="0.3">
      <c r="A47" s="35">
        <v>1000070</v>
      </c>
      <c r="B47" s="12" t="s">
        <v>13</v>
      </c>
      <c r="C47" s="41"/>
      <c r="D47" s="47"/>
      <c r="F47" s="28"/>
      <c r="G47" s="28"/>
      <c r="H47" s="28">
        <v>1</v>
      </c>
      <c r="I47" s="28"/>
      <c r="J47" s="28"/>
      <c r="K47" s="28"/>
      <c r="L47" s="28"/>
      <c r="M47" s="28"/>
      <c r="N47" s="28"/>
      <c r="O47" s="28"/>
      <c r="P47" s="415">
        <f t="shared" si="0"/>
        <v>1</v>
      </c>
    </row>
    <row r="48" spans="1:16" ht="15.75" thickBot="1" x14ac:dyDescent="0.3">
      <c r="A48" s="35">
        <v>1000472</v>
      </c>
      <c r="B48" s="12" t="s">
        <v>222</v>
      </c>
      <c r="C48" s="41"/>
      <c r="D48" s="47"/>
      <c r="F48" s="28"/>
      <c r="G48" s="28"/>
      <c r="H48" s="28"/>
      <c r="I48" s="28"/>
      <c r="J48" s="28"/>
      <c r="K48" s="28"/>
      <c r="L48" s="28">
        <v>1</v>
      </c>
      <c r="M48" s="28"/>
      <c r="N48" s="28"/>
      <c r="O48" s="28"/>
      <c r="P48" s="415">
        <f t="shared" si="0"/>
        <v>1</v>
      </c>
    </row>
    <row r="49" spans="1:16" ht="15.75" thickBot="1" x14ac:dyDescent="0.3">
      <c r="A49" s="35">
        <v>1000101</v>
      </c>
      <c r="B49" s="12" t="s">
        <v>35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5">
        <f t="shared" si="0"/>
        <v>0</v>
      </c>
    </row>
    <row r="50" spans="1:16" ht="15.75" thickBot="1" x14ac:dyDescent="0.3">
      <c r="A50" s="35">
        <v>1000486</v>
      </c>
      <c r="B50" s="12" t="s">
        <v>263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5">
        <f t="shared" si="0"/>
        <v>0</v>
      </c>
    </row>
    <row r="51" spans="1:16" ht="15.75" thickBot="1" x14ac:dyDescent="0.3">
      <c r="A51" s="35">
        <v>1000084</v>
      </c>
      <c r="B51" s="12" t="s">
        <v>194</v>
      </c>
      <c r="C51" s="41"/>
      <c r="D51" s="47"/>
      <c r="F51" s="28"/>
      <c r="G51" s="28"/>
      <c r="H51" s="28">
        <v>4</v>
      </c>
      <c r="I51" s="28"/>
      <c r="J51" s="28">
        <v>4</v>
      </c>
      <c r="K51" s="28"/>
      <c r="L51" s="28">
        <v>4</v>
      </c>
      <c r="M51" s="28"/>
      <c r="N51" s="28">
        <v>4</v>
      </c>
      <c r="O51" s="28"/>
      <c r="P51" s="415">
        <f t="shared" si="0"/>
        <v>16</v>
      </c>
    </row>
    <row r="52" spans="1:16" ht="15.75" thickBot="1" x14ac:dyDescent="0.3">
      <c r="A52" s="35">
        <v>1000080</v>
      </c>
      <c r="B52" s="12" t="s">
        <v>275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5">
        <f t="shared" si="0"/>
        <v>0</v>
      </c>
    </row>
    <row r="53" spans="1:16" ht="15.75" thickBot="1" x14ac:dyDescent="0.3">
      <c r="A53" s="35">
        <v>1000436</v>
      </c>
      <c r="B53" s="12" t="s">
        <v>276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5">
        <f t="shared" si="0"/>
        <v>0</v>
      </c>
    </row>
    <row r="54" spans="1:16" ht="15.75" thickBot="1" x14ac:dyDescent="0.3">
      <c r="A54" s="35">
        <v>1000550</v>
      </c>
      <c r="B54" s="12" t="s">
        <v>277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5">
        <f t="shared" si="0"/>
        <v>0</v>
      </c>
    </row>
    <row r="55" spans="1:16" ht="15.75" thickBot="1" x14ac:dyDescent="0.3">
      <c r="A55" s="35">
        <v>1000551</v>
      </c>
      <c r="B55" s="12" t="s">
        <v>278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5">
        <f t="shared" si="0"/>
        <v>0</v>
      </c>
    </row>
    <row r="56" spans="1:16" ht="15.75" thickBot="1" x14ac:dyDescent="0.3">
      <c r="A56" s="38">
        <v>1000552</v>
      </c>
      <c r="B56" s="17" t="s">
        <v>279</v>
      </c>
      <c r="C56" s="41"/>
      <c r="D56" s="4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5">
        <f t="shared" si="0"/>
        <v>0</v>
      </c>
    </row>
    <row r="57" spans="1:16" ht="15.75" thickBot="1" x14ac:dyDescent="0.3">
      <c r="A57" s="35">
        <v>1000032</v>
      </c>
      <c r="B57" s="12" t="s">
        <v>26</v>
      </c>
      <c r="D57" s="46"/>
      <c r="F57" s="28"/>
      <c r="G57" s="28"/>
      <c r="H57" s="28"/>
      <c r="I57" s="28"/>
      <c r="J57" s="28"/>
      <c r="K57" s="28"/>
      <c r="L57" s="28">
        <v>3</v>
      </c>
      <c r="M57" s="28"/>
      <c r="N57" s="28">
        <v>2</v>
      </c>
      <c r="O57" s="28"/>
      <c r="P57" s="415">
        <f t="shared" si="0"/>
        <v>5</v>
      </c>
    </row>
    <row r="58" spans="1:16" ht="15.75" thickBot="1" x14ac:dyDescent="0.3">
      <c r="A58" s="35"/>
      <c r="B58" s="22"/>
      <c r="D58" s="4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5">
        <f t="shared" si="0"/>
        <v>0</v>
      </c>
    </row>
    <row r="59" spans="1:16" ht="15.75" thickBot="1" x14ac:dyDescent="0.3">
      <c r="A59" s="35"/>
      <c r="B59" s="22"/>
      <c r="D59" s="4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5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9AE6-5D8F-40EF-BD84-239AC6131428}">
  <sheetPr>
    <tabColor rgb="FF7030A0"/>
    <pageSetUpPr fitToPage="1"/>
  </sheetPr>
  <dimension ref="A1:P45"/>
  <sheetViews>
    <sheetView zoomScale="85" zoomScaleNormal="85" workbookViewId="0">
      <selection activeCell="S27" sqref="S27"/>
    </sheetView>
  </sheetViews>
  <sheetFormatPr baseColWidth="10" defaultColWidth="10.875" defaultRowHeight="15" x14ac:dyDescent="0.25"/>
  <cols>
    <col min="1" max="1" width="8.125" style="27" bestFit="1" customWidth="1"/>
    <col min="2" max="2" width="37.125" style="27" bestFit="1" customWidth="1"/>
    <col min="3" max="3" width="0.875" style="27" customWidth="1"/>
    <col min="4" max="4" width="8.25" style="27" bestFit="1" customWidth="1"/>
    <col min="5" max="5" width="1" style="27" customWidth="1"/>
    <col min="6" max="6" width="9.125" style="27" bestFit="1" customWidth="1"/>
    <col min="7" max="7" width="7.25" style="27" customWidth="1"/>
    <col min="8" max="8" width="9.125" style="27" bestFit="1" customWidth="1"/>
    <col min="9" max="9" width="6.625" style="27" customWidth="1"/>
    <col min="10" max="10" width="9.125" style="27" bestFit="1" customWidth="1"/>
    <col min="11" max="11" width="7.125" style="27" customWidth="1"/>
    <col min="12" max="12" width="9.125" style="27" bestFit="1" customWidth="1"/>
    <col min="13" max="13" width="6.375" style="27" customWidth="1"/>
    <col min="14" max="14" width="9.125" style="27" bestFit="1" customWidth="1"/>
    <col min="15" max="15" width="6.75" style="27" customWidth="1"/>
    <col min="16" max="16" width="11" style="27" bestFit="1" customWidth="1"/>
    <col min="17" max="16384" width="10.875" style="27"/>
  </cols>
  <sheetData>
    <row r="1" spans="1:16" ht="17.25" customHeight="1" x14ac:dyDescent="0.45">
      <c r="A1" s="686" t="s">
        <v>145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373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5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25</v>
      </c>
      <c r="F6" s="28">
        <v>50</v>
      </c>
      <c r="G6" s="28"/>
      <c r="H6" s="28"/>
      <c r="I6" s="28"/>
      <c r="J6" s="28">
        <v>50</v>
      </c>
      <c r="K6" s="28"/>
      <c r="L6" s="28"/>
      <c r="M6" s="28"/>
      <c r="N6" s="28"/>
      <c r="O6" s="28"/>
      <c r="P6" s="418">
        <f t="shared" si="0"/>
        <v>100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40</v>
      </c>
      <c r="F7" s="28">
        <v>50</v>
      </c>
      <c r="G7" s="28"/>
      <c r="H7" s="28"/>
      <c r="I7" s="28"/>
      <c r="J7" s="28">
        <v>50</v>
      </c>
      <c r="K7" s="28"/>
      <c r="L7" s="28"/>
      <c r="M7" s="28"/>
      <c r="N7" s="28"/>
      <c r="O7" s="28"/>
      <c r="P7" s="418">
        <f t="shared" si="0"/>
        <v>100</v>
      </c>
    </row>
    <row r="8" spans="1:16" ht="15.75" thickBot="1" x14ac:dyDescent="0.3">
      <c r="A8" s="35">
        <v>1000001</v>
      </c>
      <c r="B8" s="12" t="s">
        <v>8</v>
      </c>
      <c r="C8" s="41"/>
      <c r="D8" s="47">
        <v>2</v>
      </c>
      <c r="F8" s="28">
        <v>3</v>
      </c>
      <c r="G8" s="28"/>
      <c r="H8" s="28"/>
      <c r="I8" s="28"/>
      <c r="J8" s="28">
        <v>3</v>
      </c>
      <c r="K8" s="28"/>
      <c r="L8" s="28"/>
      <c r="M8" s="28"/>
      <c r="N8" s="28"/>
      <c r="O8" s="28"/>
      <c r="P8" s="418">
        <f t="shared" si="0"/>
        <v>6</v>
      </c>
    </row>
    <row r="9" spans="1:16" ht="15.75" thickBot="1" x14ac:dyDescent="0.3">
      <c r="A9" s="35">
        <v>1000002</v>
      </c>
      <c r="B9" s="12" t="s">
        <v>9</v>
      </c>
      <c r="C9" s="41"/>
      <c r="D9" s="47">
        <v>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1000067</v>
      </c>
      <c r="B10" s="12" t="s">
        <v>11</v>
      </c>
      <c r="C10" s="41"/>
      <c r="D10" s="47">
        <v>0</v>
      </c>
      <c r="F10" s="28">
        <v>1</v>
      </c>
      <c r="G10" s="28"/>
      <c r="H10" s="28"/>
      <c r="I10" s="28"/>
      <c r="J10" s="28">
        <v>1</v>
      </c>
      <c r="K10" s="28"/>
      <c r="L10" s="28"/>
      <c r="M10" s="28"/>
      <c r="N10" s="28"/>
      <c r="O10" s="28"/>
      <c r="P10" s="418">
        <f t="shared" si="0"/>
        <v>2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10</v>
      </c>
      <c r="F11" s="28">
        <v>5</v>
      </c>
      <c r="G11" s="28"/>
      <c r="H11" s="28"/>
      <c r="I11" s="28"/>
      <c r="J11" s="28">
        <v>5</v>
      </c>
      <c r="K11" s="28"/>
      <c r="L11" s="28"/>
      <c r="M11" s="28"/>
      <c r="N11" s="28"/>
      <c r="O11" s="28"/>
      <c r="P11" s="418">
        <f t="shared" si="0"/>
        <v>10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10</v>
      </c>
      <c r="F13" s="28">
        <v>5</v>
      </c>
      <c r="G13" s="28"/>
      <c r="H13" s="28"/>
      <c r="I13" s="28"/>
      <c r="J13" s="28">
        <v>5</v>
      </c>
      <c r="K13" s="28"/>
      <c r="L13" s="28"/>
      <c r="M13" s="28"/>
      <c r="N13" s="28"/>
      <c r="O13" s="28"/>
      <c r="P13" s="418">
        <f t="shared" si="0"/>
        <v>10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F14" s="28">
        <v>5</v>
      </c>
      <c r="G14" s="28"/>
      <c r="H14" s="28"/>
      <c r="I14" s="28"/>
      <c r="J14" s="28">
        <v>5</v>
      </c>
      <c r="K14" s="28"/>
      <c r="L14" s="28"/>
      <c r="M14" s="28"/>
      <c r="N14" s="28"/>
      <c r="O14" s="28"/>
      <c r="P14" s="418">
        <f t="shared" si="0"/>
        <v>10</v>
      </c>
    </row>
    <row r="15" spans="1:16" ht="15.75" thickBot="1" x14ac:dyDescent="0.3">
      <c r="A15" s="35">
        <v>1000041</v>
      </c>
      <c r="B15" s="12" t="s">
        <v>16</v>
      </c>
      <c r="C15" s="41"/>
      <c r="D15" s="47">
        <v>2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1</v>
      </c>
      <c r="F16" s="28">
        <v>1</v>
      </c>
      <c r="G16" s="28"/>
      <c r="H16" s="28"/>
      <c r="I16" s="28"/>
      <c r="J16" s="28"/>
      <c r="K16" s="28"/>
      <c r="L16" s="28"/>
      <c r="M16" s="28"/>
      <c r="N16" s="28"/>
      <c r="O16" s="28"/>
      <c r="P16" s="418">
        <f t="shared" si="0"/>
        <v>1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28">
        <v>1</v>
      </c>
      <c r="G17" s="28"/>
      <c r="H17" s="28"/>
      <c r="I17" s="28"/>
      <c r="J17" s="28">
        <v>2</v>
      </c>
      <c r="K17" s="28"/>
      <c r="L17" s="28"/>
      <c r="M17" s="28"/>
      <c r="N17" s="28"/>
      <c r="O17" s="28"/>
      <c r="P17" s="418">
        <f t="shared" si="0"/>
        <v>3</v>
      </c>
    </row>
    <row r="18" spans="1:16" ht="15.75" thickBot="1" x14ac:dyDescent="0.3">
      <c r="A18" s="35">
        <v>1000032</v>
      </c>
      <c r="B18" s="12" t="s">
        <v>26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1000025</v>
      </c>
      <c r="B19" s="12" t="s">
        <v>32</v>
      </c>
      <c r="C19" s="41"/>
      <c r="D19" s="47">
        <v>1</v>
      </c>
      <c r="F19" s="28">
        <v>5</v>
      </c>
      <c r="G19" s="28"/>
      <c r="H19" s="28"/>
      <c r="I19" s="28"/>
      <c r="J19" s="28">
        <v>5</v>
      </c>
      <c r="K19" s="28"/>
      <c r="L19" s="28"/>
      <c r="M19" s="28"/>
      <c r="N19" s="28"/>
      <c r="O19" s="28"/>
      <c r="P19" s="418">
        <f t="shared" si="0"/>
        <v>10</v>
      </c>
    </row>
    <row r="20" spans="1:16" ht="15.75" thickBot="1" x14ac:dyDescent="0.3">
      <c r="A20" s="35">
        <v>1000027</v>
      </c>
      <c r="B20" s="12" t="s">
        <v>33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1000073</v>
      </c>
      <c r="B21" s="12" t="s">
        <v>36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1000486</v>
      </c>
      <c r="B22" s="12" t="s">
        <v>263</v>
      </c>
      <c r="C22" s="41"/>
      <c r="D22" s="47">
        <v>8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1000052</v>
      </c>
      <c r="B23" s="12" t="s">
        <v>41</v>
      </c>
      <c r="C23" s="41"/>
      <c r="D23" s="47">
        <v>1</v>
      </c>
      <c r="F23" s="28">
        <v>1</v>
      </c>
      <c r="G23" s="28"/>
      <c r="H23" s="28"/>
      <c r="I23" s="28"/>
      <c r="J23" s="28">
        <v>1</v>
      </c>
      <c r="K23" s="28"/>
      <c r="L23" s="28"/>
      <c r="M23" s="28"/>
      <c r="N23" s="28"/>
      <c r="O23" s="28"/>
      <c r="P23" s="418">
        <f t="shared" si="0"/>
        <v>2</v>
      </c>
    </row>
    <row r="24" spans="1:16" ht="15.75" thickBot="1" x14ac:dyDescent="0.3">
      <c r="A24" s="35">
        <v>1000089</v>
      </c>
      <c r="B24" s="12" t="s">
        <v>42</v>
      </c>
      <c r="C24" s="41"/>
      <c r="D24" s="47">
        <v>1</v>
      </c>
      <c r="F24" s="28">
        <v>2</v>
      </c>
      <c r="G24" s="28"/>
      <c r="H24" s="28"/>
      <c r="I24" s="28"/>
      <c r="J24" s="28">
        <v>1</v>
      </c>
      <c r="K24" s="28"/>
      <c r="L24" s="28"/>
      <c r="M24" s="28"/>
      <c r="N24" s="28"/>
      <c r="O24" s="28"/>
      <c r="P24" s="418">
        <f t="shared" si="0"/>
        <v>3</v>
      </c>
    </row>
    <row r="25" spans="1:16" ht="15.75" thickBot="1" x14ac:dyDescent="0.3">
      <c r="A25" s="35">
        <v>1000051</v>
      </c>
      <c r="B25" s="12" t="s">
        <v>43</v>
      </c>
      <c r="C25" s="41"/>
      <c r="D25" s="47">
        <v>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1000048</v>
      </c>
      <c r="B26" s="12" t="s">
        <v>45</v>
      </c>
      <c r="C26" s="41"/>
      <c r="D26" s="47">
        <v>0</v>
      </c>
      <c r="F26" s="28"/>
      <c r="G26" s="28"/>
      <c r="H26" s="28"/>
      <c r="I26" s="28"/>
      <c r="J26" s="28">
        <v>1</v>
      </c>
      <c r="K26" s="28"/>
      <c r="L26" s="28"/>
      <c r="M26" s="28"/>
      <c r="N26" s="28"/>
      <c r="O26" s="28"/>
      <c r="P26" s="418">
        <f t="shared" si="0"/>
        <v>1</v>
      </c>
    </row>
    <row r="27" spans="1:16" ht="15.75" thickBot="1" x14ac:dyDescent="0.3">
      <c r="A27" s="35">
        <v>1000075</v>
      </c>
      <c r="B27" s="12" t="s">
        <v>47</v>
      </c>
      <c r="C27" s="41"/>
      <c r="D27" s="4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1000004</v>
      </c>
      <c r="B28" s="12" t="s">
        <v>10</v>
      </c>
      <c r="C28" s="41"/>
      <c r="D28" s="47"/>
      <c r="F28" s="28">
        <v>3</v>
      </c>
      <c r="G28" s="28"/>
      <c r="H28" s="28"/>
      <c r="I28" s="28"/>
      <c r="J28" s="28">
        <v>2</v>
      </c>
      <c r="K28" s="28"/>
      <c r="L28" s="28"/>
      <c r="M28" s="28"/>
      <c r="N28" s="28"/>
      <c r="O28" s="28"/>
      <c r="P28" s="418">
        <f t="shared" si="0"/>
        <v>5</v>
      </c>
    </row>
    <row r="29" spans="1:16" s="15" customFormat="1" ht="15.95" customHeight="1" thickBot="1" x14ac:dyDescent="0.3">
      <c r="A29" s="35">
        <v>1000031</v>
      </c>
      <c r="B29" s="12" t="s">
        <v>25</v>
      </c>
      <c r="C29" s="41"/>
      <c r="D29" s="47"/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1000048</v>
      </c>
      <c r="B30" s="12" t="s">
        <v>45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1000034</v>
      </c>
      <c r="B31" s="12" t="s">
        <v>28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1000008</v>
      </c>
      <c r="B32" s="12" t="s">
        <v>7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1000045</v>
      </c>
      <c r="B33" s="12" t="s">
        <v>23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1000084</v>
      </c>
      <c r="B34" s="12" t="s">
        <v>38</v>
      </c>
      <c r="C34" s="41"/>
      <c r="D34" s="47"/>
      <c r="F34" s="28">
        <v>4</v>
      </c>
      <c r="G34" s="28"/>
      <c r="H34" s="28"/>
      <c r="I34" s="28"/>
      <c r="J34" s="28">
        <v>4</v>
      </c>
      <c r="K34" s="28"/>
      <c r="L34" s="28"/>
      <c r="M34" s="28"/>
      <c r="N34" s="28"/>
      <c r="O34" s="28"/>
      <c r="P34" s="418">
        <f t="shared" si="0"/>
        <v>8</v>
      </c>
    </row>
    <row r="35" spans="1:16" ht="15.75" thickBot="1" x14ac:dyDescent="0.3">
      <c r="A35" s="35">
        <v>1000085</v>
      </c>
      <c r="B35" s="12" t="s">
        <v>50</v>
      </c>
      <c r="C35" s="41"/>
      <c r="D35" s="47"/>
      <c r="F35" s="28">
        <v>1</v>
      </c>
      <c r="G35" s="28"/>
      <c r="H35" s="28"/>
      <c r="I35" s="28"/>
      <c r="J35" s="28"/>
      <c r="K35" s="28"/>
      <c r="L35" s="28"/>
      <c r="M35" s="28"/>
      <c r="N35" s="28"/>
      <c r="O35" s="28"/>
      <c r="P35" s="418">
        <f t="shared" si="0"/>
        <v>1</v>
      </c>
    </row>
    <row r="36" spans="1:16" ht="15.75" thickBot="1" x14ac:dyDescent="0.3">
      <c r="A36" s="35">
        <v>1000101</v>
      </c>
      <c r="B36" s="12" t="s">
        <v>35</v>
      </c>
      <c r="C36" s="41"/>
      <c r="D36" s="47"/>
      <c r="F36" s="28"/>
      <c r="G36" s="28"/>
      <c r="H36" s="28"/>
      <c r="I36" s="28"/>
      <c r="J36" s="28">
        <v>1</v>
      </c>
      <c r="K36" s="28"/>
      <c r="L36" s="28"/>
      <c r="M36" s="28"/>
      <c r="N36" s="28"/>
      <c r="O36" s="28"/>
      <c r="P36" s="418">
        <f t="shared" si="0"/>
        <v>1</v>
      </c>
    </row>
    <row r="37" spans="1:16" ht="15.75" thickBot="1" x14ac:dyDescent="0.3">
      <c r="A37" s="35">
        <v>1000082</v>
      </c>
      <c r="B37" s="12" t="s">
        <v>224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1000533</v>
      </c>
      <c r="B38" s="12" t="s">
        <v>259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1000029</v>
      </c>
      <c r="B39" s="12" t="s">
        <v>30</v>
      </c>
      <c r="C39" s="41"/>
      <c r="D39" s="47"/>
      <c r="F39" s="28">
        <v>1</v>
      </c>
      <c r="G39" s="28"/>
      <c r="H39" s="28"/>
      <c r="I39" s="28"/>
      <c r="J39" s="28">
        <v>1</v>
      </c>
      <c r="K39" s="28"/>
      <c r="L39" s="28"/>
      <c r="M39" s="28"/>
      <c r="N39" s="28"/>
      <c r="O39" s="28"/>
      <c r="P39" s="418">
        <f t="shared" si="0"/>
        <v>2</v>
      </c>
    </row>
    <row r="40" spans="1:16" ht="15.75" thickBot="1" x14ac:dyDescent="0.3">
      <c r="A40" s="35">
        <v>1000436</v>
      </c>
      <c r="B40" s="12" t="s">
        <v>276</v>
      </c>
      <c r="C40" s="41"/>
      <c r="D40" s="47"/>
      <c r="F40" s="28">
        <v>5</v>
      </c>
      <c r="G40" s="28"/>
      <c r="H40" s="28"/>
      <c r="I40" s="28"/>
      <c r="J40" s="28">
        <v>5</v>
      </c>
      <c r="K40" s="28"/>
      <c r="L40" s="28"/>
      <c r="M40" s="28"/>
      <c r="N40" s="28"/>
      <c r="O40" s="28"/>
      <c r="P40" s="418">
        <f t="shared" si="0"/>
        <v>10</v>
      </c>
    </row>
    <row r="41" spans="1:16" ht="15.75" thickBot="1" x14ac:dyDescent="0.3">
      <c r="A41" s="35">
        <v>1000550</v>
      </c>
      <c r="B41" s="12" t="s">
        <v>277</v>
      </c>
      <c r="C41" s="41"/>
      <c r="D41" s="47"/>
      <c r="F41" s="28">
        <v>8</v>
      </c>
      <c r="G41" s="28"/>
      <c r="H41" s="28"/>
      <c r="I41" s="28"/>
      <c r="J41" s="28">
        <v>8</v>
      </c>
      <c r="K41" s="28"/>
      <c r="L41" s="28"/>
      <c r="M41" s="28"/>
      <c r="N41" s="28"/>
      <c r="O41" s="28"/>
      <c r="P41" s="418">
        <f t="shared" si="0"/>
        <v>16</v>
      </c>
    </row>
    <row r="42" spans="1:16" ht="15.75" thickBot="1" x14ac:dyDescent="0.3">
      <c r="A42" s="35">
        <v>1000551</v>
      </c>
      <c r="B42" s="12" t="s">
        <v>278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1000552</v>
      </c>
      <c r="B43" s="12" t="s">
        <v>279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243">
        <v>1000080</v>
      </c>
      <c r="B44" s="251" t="s">
        <v>275</v>
      </c>
      <c r="C44" s="215"/>
      <c r="D44" s="38"/>
      <c r="E44" s="21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10248</v>
      </c>
      <c r="B45" s="12" t="s">
        <v>183</v>
      </c>
      <c r="D45" s="3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3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7143-9754-4530-9460-3989B0C29672}">
  <sheetPr>
    <tabColor rgb="FF7030A0"/>
    <pageSetUpPr fitToPage="1"/>
  </sheetPr>
  <dimension ref="A1:R60"/>
  <sheetViews>
    <sheetView topLeftCell="A37" workbookViewId="0">
      <selection activeCell="G67" sqref="G66:G67"/>
    </sheetView>
  </sheetViews>
  <sheetFormatPr baseColWidth="10" defaultColWidth="10.875" defaultRowHeight="15" x14ac:dyDescent="0.25"/>
  <cols>
    <col min="1" max="1" width="7.875" style="149" bestFit="1" customWidth="1"/>
    <col min="2" max="2" width="40.125" style="149" bestFit="1" customWidth="1"/>
    <col min="3" max="3" width="0.875" style="149" customWidth="1"/>
    <col min="4" max="4" width="8.5" style="149" bestFit="1" customWidth="1"/>
    <col min="5" max="5" width="1" style="149" customWidth="1"/>
    <col min="6" max="6" width="9.125" style="149" bestFit="1" customWidth="1"/>
    <col min="7" max="7" width="5.875" style="149" customWidth="1"/>
    <col min="8" max="8" width="9.125" style="149" bestFit="1" customWidth="1"/>
    <col min="9" max="9" width="6.625" style="149" customWidth="1"/>
    <col min="10" max="10" width="9.125" style="149" bestFit="1" customWidth="1"/>
    <col min="11" max="11" width="6" style="149" customWidth="1"/>
    <col min="12" max="12" width="9.125" style="149" bestFit="1" customWidth="1"/>
    <col min="13" max="13" width="5.75" style="149" customWidth="1"/>
    <col min="14" max="14" width="9.125" style="149" bestFit="1" customWidth="1"/>
    <col min="15" max="15" width="6" style="149" customWidth="1"/>
    <col min="16" max="16" width="12.25" style="149" customWidth="1"/>
    <col min="17" max="16384" width="10.875" style="149"/>
  </cols>
  <sheetData>
    <row r="1" spans="1:16" ht="17.25" customHeight="1" x14ac:dyDescent="0.45">
      <c r="A1" s="686" t="s">
        <v>220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9" t="s">
        <v>362</v>
      </c>
      <c r="F2" s="754"/>
      <c r="G2" s="755"/>
      <c r="H2" s="755"/>
      <c r="I2" s="755"/>
      <c r="J2" s="756"/>
      <c r="K2" s="2"/>
    </row>
    <row r="3" spans="1:16" s="3" customFormat="1" ht="17.25" customHeight="1" thickBot="1" x14ac:dyDescent="0.3">
      <c r="A3" s="5"/>
      <c r="B3" s="419" t="s">
        <v>374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149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150">
        <v>10000015</v>
      </c>
      <c r="B5" s="11" t="s">
        <v>1</v>
      </c>
      <c r="C5" s="151"/>
      <c r="D5" s="152">
        <v>1</v>
      </c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0">
        <f t="shared" ref="P5:P60" si="0">SUM(F5:O5)</f>
        <v>0</v>
      </c>
    </row>
    <row r="6" spans="1:16" ht="15.75" thickBot="1" x14ac:dyDescent="0.3">
      <c r="A6" s="154">
        <v>1000006</v>
      </c>
      <c r="B6" s="12" t="s">
        <v>4</v>
      </c>
      <c r="C6" s="151"/>
      <c r="D6" s="155">
        <v>500</v>
      </c>
      <c r="F6" s="153"/>
      <c r="G6" s="153"/>
      <c r="H6" s="153">
        <v>50</v>
      </c>
      <c r="I6" s="153"/>
      <c r="J6" s="153"/>
      <c r="K6" s="153"/>
      <c r="L6" s="153">
        <v>50</v>
      </c>
      <c r="M6" s="153"/>
      <c r="N6" s="153">
        <v>50</v>
      </c>
      <c r="O6" s="153"/>
      <c r="P6" s="565">
        <f t="shared" si="0"/>
        <v>150</v>
      </c>
    </row>
    <row r="7" spans="1:16" ht="15.75" thickBot="1" x14ac:dyDescent="0.3">
      <c r="A7" s="154">
        <v>1000008</v>
      </c>
      <c r="B7" s="12" t="s">
        <v>7</v>
      </c>
      <c r="C7" s="151"/>
      <c r="D7" s="155">
        <v>100</v>
      </c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0">
        <f t="shared" si="0"/>
        <v>0</v>
      </c>
    </row>
    <row r="8" spans="1:16" ht="15.75" thickBot="1" x14ac:dyDescent="0.3">
      <c r="A8" s="154">
        <v>1000001</v>
      </c>
      <c r="B8" s="12" t="s">
        <v>8</v>
      </c>
      <c r="C8" s="151"/>
      <c r="D8" s="155">
        <v>3</v>
      </c>
      <c r="F8" s="153">
        <v>3</v>
      </c>
      <c r="G8" s="153"/>
      <c r="H8" s="153">
        <v>3</v>
      </c>
      <c r="I8" s="153"/>
      <c r="J8" s="153">
        <v>2</v>
      </c>
      <c r="K8" s="153"/>
      <c r="L8" s="153">
        <v>3</v>
      </c>
      <c r="M8" s="153"/>
      <c r="N8" s="153">
        <v>2</v>
      </c>
      <c r="O8" s="153"/>
      <c r="P8" s="565">
        <f t="shared" si="0"/>
        <v>13</v>
      </c>
    </row>
    <row r="9" spans="1:16" ht="15.75" thickBot="1" x14ac:dyDescent="0.3">
      <c r="A9" s="154">
        <v>1000002</v>
      </c>
      <c r="B9" s="12" t="s">
        <v>9</v>
      </c>
      <c r="C9" s="151"/>
      <c r="D9" s="155">
        <v>1</v>
      </c>
      <c r="F9" s="153"/>
      <c r="G9" s="153"/>
      <c r="H9" s="153"/>
      <c r="I9" s="153"/>
      <c r="J9" s="153"/>
      <c r="K9" s="153"/>
      <c r="L9" s="153">
        <v>1</v>
      </c>
      <c r="M9" s="153"/>
      <c r="N9" s="153"/>
      <c r="O9" s="153"/>
      <c r="P9" s="565">
        <f t="shared" si="0"/>
        <v>1</v>
      </c>
    </row>
    <row r="10" spans="1:16" ht="15.75" thickBot="1" x14ac:dyDescent="0.3">
      <c r="A10" s="154">
        <v>1000004</v>
      </c>
      <c r="B10" s="12" t="s">
        <v>10</v>
      </c>
      <c r="C10" s="151"/>
      <c r="D10" s="155">
        <v>2</v>
      </c>
      <c r="F10" s="153">
        <v>3</v>
      </c>
      <c r="G10" s="153"/>
      <c r="H10" s="153">
        <v>3</v>
      </c>
      <c r="I10" s="153"/>
      <c r="J10" s="153">
        <v>2</v>
      </c>
      <c r="K10" s="153"/>
      <c r="L10" s="153">
        <v>3</v>
      </c>
      <c r="M10" s="153"/>
      <c r="N10" s="153">
        <v>2</v>
      </c>
      <c r="O10" s="153"/>
      <c r="P10" s="565">
        <f t="shared" si="0"/>
        <v>13</v>
      </c>
    </row>
    <row r="11" spans="1:16" ht="15.75" thickBot="1" x14ac:dyDescent="0.3">
      <c r="A11" s="154">
        <v>1000054</v>
      </c>
      <c r="B11" s="12" t="s">
        <v>12</v>
      </c>
      <c r="C11" s="151"/>
      <c r="D11" s="155">
        <v>60</v>
      </c>
      <c r="F11" s="153">
        <v>5</v>
      </c>
      <c r="G11" s="153"/>
      <c r="H11" s="153"/>
      <c r="I11" s="153"/>
      <c r="J11" s="153"/>
      <c r="K11" s="153"/>
      <c r="L11" s="153"/>
      <c r="M11" s="153"/>
      <c r="N11" s="153"/>
      <c r="O11" s="153"/>
      <c r="P11" s="565">
        <f t="shared" si="0"/>
        <v>5</v>
      </c>
    </row>
    <row r="12" spans="1:16" ht="15.75" thickBot="1" x14ac:dyDescent="0.3">
      <c r="A12" s="154">
        <v>1000017</v>
      </c>
      <c r="B12" s="12" t="s">
        <v>14</v>
      </c>
      <c r="C12" s="151"/>
      <c r="D12" s="155">
        <v>20</v>
      </c>
      <c r="F12" s="153">
        <v>15</v>
      </c>
      <c r="G12" s="153"/>
      <c r="H12" s="153">
        <v>20</v>
      </c>
      <c r="I12" s="153"/>
      <c r="J12" s="153">
        <v>20</v>
      </c>
      <c r="K12" s="153"/>
      <c r="L12" s="153">
        <v>20</v>
      </c>
      <c r="M12" s="153"/>
      <c r="N12" s="153">
        <v>20</v>
      </c>
      <c r="O12" s="153"/>
      <c r="P12" s="565">
        <f t="shared" si="0"/>
        <v>95</v>
      </c>
    </row>
    <row r="13" spans="1:16" ht="15.75" thickBot="1" x14ac:dyDescent="0.3">
      <c r="A13" s="154">
        <v>1000016</v>
      </c>
      <c r="B13" s="12" t="s">
        <v>15</v>
      </c>
      <c r="C13" s="151"/>
      <c r="D13" s="155">
        <v>5</v>
      </c>
      <c r="F13" s="153"/>
      <c r="G13" s="153"/>
      <c r="H13" s="153">
        <v>5</v>
      </c>
      <c r="I13" s="153"/>
      <c r="J13" s="153"/>
      <c r="K13" s="153"/>
      <c r="L13" s="153">
        <v>5</v>
      </c>
      <c r="M13" s="153"/>
      <c r="N13" s="153"/>
      <c r="O13" s="153"/>
      <c r="P13" s="565">
        <f t="shared" si="0"/>
        <v>10</v>
      </c>
    </row>
    <row r="14" spans="1:16" ht="15.75" thickBot="1" x14ac:dyDescent="0.3">
      <c r="A14" s="154">
        <v>1000041</v>
      </c>
      <c r="B14" s="12" t="s">
        <v>16</v>
      </c>
      <c r="C14" s="151"/>
      <c r="D14" s="155">
        <v>10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0">
        <f t="shared" si="0"/>
        <v>0</v>
      </c>
    </row>
    <row r="15" spans="1:16" ht="15.75" thickBot="1" x14ac:dyDescent="0.3">
      <c r="A15" s="154">
        <v>1000049</v>
      </c>
      <c r="B15" s="13" t="s">
        <v>21</v>
      </c>
      <c r="C15" s="151"/>
      <c r="D15" s="155">
        <v>1</v>
      </c>
      <c r="F15" s="153"/>
      <c r="G15" s="153"/>
      <c r="H15" s="153"/>
      <c r="I15" s="153"/>
      <c r="J15" s="153">
        <v>1</v>
      </c>
      <c r="K15" s="153"/>
      <c r="L15" s="153"/>
      <c r="M15" s="153"/>
      <c r="N15" s="153"/>
      <c r="O15" s="153"/>
      <c r="P15" s="565">
        <f t="shared" si="0"/>
        <v>1</v>
      </c>
    </row>
    <row r="16" spans="1:16" ht="15.75" thickBot="1" x14ac:dyDescent="0.3">
      <c r="A16" s="154">
        <v>1000050</v>
      </c>
      <c r="B16" s="12" t="s">
        <v>22</v>
      </c>
      <c r="C16" s="151"/>
      <c r="D16" s="155">
        <v>1</v>
      </c>
      <c r="F16" s="153"/>
      <c r="G16" s="153"/>
      <c r="H16" s="153"/>
      <c r="I16" s="153"/>
      <c r="J16" s="153">
        <v>1</v>
      </c>
      <c r="K16" s="153"/>
      <c r="L16" s="153"/>
      <c r="M16" s="153"/>
      <c r="N16" s="153">
        <v>1</v>
      </c>
      <c r="O16" s="153"/>
      <c r="P16" s="565">
        <f t="shared" si="0"/>
        <v>2</v>
      </c>
    </row>
    <row r="17" spans="1:16" ht="15.75" thickBot="1" x14ac:dyDescent="0.3">
      <c r="A17" s="154">
        <v>1000045</v>
      </c>
      <c r="B17" s="12" t="s">
        <v>23</v>
      </c>
      <c r="C17" s="151"/>
      <c r="D17" s="155">
        <v>1</v>
      </c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0">
        <f t="shared" si="0"/>
        <v>0</v>
      </c>
    </row>
    <row r="18" spans="1:16" ht="15.75" thickBot="1" x14ac:dyDescent="0.3">
      <c r="A18" s="154">
        <v>1000030</v>
      </c>
      <c r="B18" s="12" t="s">
        <v>24</v>
      </c>
      <c r="C18" s="151"/>
      <c r="D18" s="155">
        <v>4</v>
      </c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0">
        <f t="shared" si="0"/>
        <v>0</v>
      </c>
    </row>
    <row r="19" spans="1:16" ht="15.75" thickBot="1" x14ac:dyDescent="0.3">
      <c r="A19" s="154">
        <v>1000031</v>
      </c>
      <c r="B19" s="12" t="s">
        <v>25</v>
      </c>
      <c r="C19" s="151"/>
      <c r="D19" s="155">
        <v>4</v>
      </c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0">
        <f t="shared" si="0"/>
        <v>0</v>
      </c>
    </row>
    <row r="20" spans="1:16" ht="15.75" thickBot="1" x14ac:dyDescent="0.3">
      <c r="A20" s="154">
        <v>1000026</v>
      </c>
      <c r="B20" s="12" t="s">
        <v>31</v>
      </c>
      <c r="C20" s="151"/>
      <c r="D20" s="155">
        <v>4</v>
      </c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0">
        <f t="shared" si="0"/>
        <v>0</v>
      </c>
    </row>
    <row r="21" spans="1:16" ht="15.75" thickBot="1" x14ac:dyDescent="0.3">
      <c r="A21" s="154">
        <v>1000027</v>
      </c>
      <c r="B21" s="12" t="s">
        <v>33</v>
      </c>
      <c r="C21" s="151"/>
      <c r="D21" s="155">
        <v>12</v>
      </c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0">
        <f t="shared" si="0"/>
        <v>0</v>
      </c>
    </row>
    <row r="22" spans="1:16" ht="15.75" thickBot="1" x14ac:dyDescent="0.3">
      <c r="A22" s="154">
        <v>1000100</v>
      </c>
      <c r="B22" s="12" t="s">
        <v>34</v>
      </c>
      <c r="C22" s="151"/>
      <c r="D22" s="155">
        <v>1</v>
      </c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0">
        <f t="shared" si="0"/>
        <v>0</v>
      </c>
    </row>
    <row r="23" spans="1:16" ht="15.75" thickBot="1" x14ac:dyDescent="0.3">
      <c r="A23" s="156">
        <v>1000082</v>
      </c>
      <c r="B23" s="13" t="s">
        <v>37</v>
      </c>
      <c r="C23" s="151"/>
      <c r="D23" s="155">
        <v>60</v>
      </c>
      <c r="F23" s="153">
        <v>16</v>
      </c>
      <c r="G23" s="153"/>
      <c r="H23" s="153">
        <v>8</v>
      </c>
      <c r="I23" s="153"/>
      <c r="J23" s="153">
        <v>16</v>
      </c>
      <c r="K23" s="153"/>
      <c r="L23" s="153">
        <v>8</v>
      </c>
      <c r="M23" s="153"/>
      <c r="N23" s="153"/>
      <c r="O23" s="153"/>
      <c r="P23" s="565">
        <f t="shared" si="0"/>
        <v>48</v>
      </c>
    </row>
    <row r="24" spans="1:16" ht="15.75" thickBot="1" x14ac:dyDescent="0.3">
      <c r="A24" s="156">
        <v>1000084</v>
      </c>
      <c r="B24" s="13" t="s">
        <v>38</v>
      </c>
      <c r="C24" s="151"/>
      <c r="D24" s="155">
        <v>30</v>
      </c>
      <c r="F24" s="153">
        <v>8</v>
      </c>
      <c r="G24" s="153"/>
      <c r="H24" s="153">
        <v>8</v>
      </c>
      <c r="I24" s="153"/>
      <c r="J24" s="153">
        <v>8</v>
      </c>
      <c r="K24" s="153"/>
      <c r="L24" s="153">
        <v>8</v>
      </c>
      <c r="M24" s="153"/>
      <c r="N24" s="153">
        <v>8</v>
      </c>
      <c r="O24" s="153"/>
      <c r="P24" s="565">
        <f t="shared" si="0"/>
        <v>40</v>
      </c>
    </row>
    <row r="25" spans="1:16" ht="15.75" thickBot="1" x14ac:dyDescent="0.3">
      <c r="A25" s="156">
        <v>1000052</v>
      </c>
      <c r="B25" s="13" t="s">
        <v>41</v>
      </c>
      <c r="C25" s="151"/>
      <c r="D25" s="155">
        <v>6</v>
      </c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0">
        <f t="shared" si="0"/>
        <v>0</v>
      </c>
    </row>
    <row r="26" spans="1:16" ht="15.75" thickBot="1" x14ac:dyDescent="0.3">
      <c r="A26" s="156">
        <v>1000089</v>
      </c>
      <c r="B26" s="13" t="s">
        <v>42</v>
      </c>
      <c r="C26" s="151"/>
      <c r="D26" s="155">
        <v>6</v>
      </c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0">
        <f t="shared" si="0"/>
        <v>0</v>
      </c>
    </row>
    <row r="27" spans="1:16" ht="15.75" thickBot="1" x14ac:dyDescent="0.3">
      <c r="A27" s="156">
        <v>1000051</v>
      </c>
      <c r="B27" s="13" t="s">
        <v>43</v>
      </c>
      <c r="C27" s="151"/>
      <c r="D27" s="155">
        <v>1</v>
      </c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632">
        <v>0</v>
      </c>
    </row>
    <row r="28" spans="1:16" ht="15.75" thickBot="1" x14ac:dyDescent="0.3">
      <c r="A28" s="154">
        <v>1000048</v>
      </c>
      <c r="B28" s="12" t="s">
        <v>45</v>
      </c>
      <c r="C28" s="151"/>
      <c r="D28" s="155">
        <v>1</v>
      </c>
      <c r="E28" s="15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0">
        <f t="shared" si="0"/>
        <v>0</v>
      </c>
    </row>
    <row r="29" spans="1:16" ht="15.75" thickBot="1" x14ac:dyDescent="0.3">
      <c r="A29" s="156">
        <v>1000142</v>
      </c>
      <c r="B29" s="13" t="s">
        <v>54</v>
      </c>
      <c r="C29" s="151"/>
      <c r="D29" s="155">
        <v>1</v>
      </c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0">
        <f t="shared" si="0"/>
        <v>0</v>
      </c>
    </row>
    <row r="30" spans="1:16" ht="15.75" thickBot="1" x14ac:dyDescent="0.3">
      <c r="A30" s="154">
        <v>1000205</v>
      </c>
      <c r="B30" s="12" t="s">
        <v>82</v>
      </c>
      <c r="C30" s="151"/>
      <c r="D30" s="155">
        <v>1</v>
      </c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0">
        <f t="shared" si="0"/>
        <v>0</v>
      </c>
    </row>
    <row r="31" spans="1:16" ht="15.75" thickBot="1" x14ac:dyDescent="0.3">
      <c r="A31" s="154">
        <v>1000070</v>
      </c>
      <c r="B31" s="12" t="s">
        <v>13</v>
      </c>
      <c r="C31" s="151"/>
      <c r="D31" s="157">
        <v>1</v>
      </c>
      <c r="F31" s="153"/>
      <c r="G31" s="153"/>
      <c r="H31" s="153">
        <v>1</v>
      </c>
      <c r="I31" s="153"/>
      <c r="J31" s="153"/>
      <c r="K31" s="153"/>
      <c r="L31" s="153">
        <v>1</v>
      </c>
      <c r="M31" s="153"/>
      <c r="N31" s="153"/>
      <c r="O31" s="153"/>
      <c r="P31" s="565">
        <f t="shared" si="0"/>
        <v>2</v>
      </c>
    </row>
    <row r="32" spans="1:16" s="15" customFormat="1" ht="15.95" customHeight="1" thickBot="1" x14ac:dyDescent="0.3">
      <c r="A32" s="154">
        <v>1000067</v>
      </c>
      <c r="B32" s="12" t="s">
        <v>11</v>
      </c>
      <c r="C32" s="151"/>
      <c r="D32" s="155"/>
      <c r="E32" s="149"/>
      <c r="F32" s="153"/>
      <c r="G32" s="153"/>
      <c r="H32" s="153">
        <v>1</v>
      </c>
      <c r="I32" s="153"/>
      <c r="J32" s="153"/>
      <c r="K32" s="153"/>
      <c r="L32" s="153">
        <v>1</v>
      </c>
      <c r="M32" s="153"/>
      <c r="N32" s="153"/>
      <c r="O32" s="153"/>
      <c r="P32" s="565">
        <f t="shared" si="0"/>
        <v>2</v>
      </c>
    </row>
    <row r="33" spans="1:16" ht="15.75" thickBot="1" x14ac:dyDescent="0.3">
      <c r="A33" s="154">
        <v>1000146</v>
      </c>
      <c r="B33" s="12" t="s">
        <v>39</v>
      </c>
      <c r="C33" s="151"/>
      <c r="D33" s="155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0">
        <f t="shared" si="0"/>
        <v>0</v>
      </c>
    </row>
    <row r="34" spans="1:16" ht="15.75" thickBot="1" x14ac:dyDescent="0.3">
      <c r="A34" s="154">
        <v>1000032</v>
      </c>
      <c r="B34" s="12" t="s">
        <v>26</v>
      </c>
      <c r="C34" s="151"/>
      <c r="D34" s="155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0">
        <f t="shared" si="0"/>
        <v>0</v>
      </c>
    </row>
    <row r="35" spans="1:16" ht="15.75" thickBot="1" x14ac:dyDescent="0.3">
      <c r="A35" s="154">
        <v>1000087</v>
      </c>
      <c r="B35" s="12" t="s">
        <v>197</v>
      </c>
      <c r="C35" s="151"/>
      <c r="D35" s="155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0">
        <f t="shared" si="0"/>
        <v>0</v>
      </c>
    </row>
    <row r="36" spans="1:16" ht="15.75" thickBot="1" x14ac:dyDescent="0.3">
      <c r="A36" s="154">
        <v>1000011</v>
      </c>
      <c r="B36" s="12" t="s">
        <v>18</v>
      </c>
      <c r="C36" s="151"/>
      <c r="D36" s="155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0">
        <f t="shared" si="0"/>
        <v>0</v>
      </c>
    </row>
    <row r="37" spans="1:16" ht="15.75" thickBot="1" x14ac:dyDescent="0.3">
      <c r="A37" s="154">
        <v>1000075</v>
      </c>
      <c r="B37" s="12" t="s">
        <v>47</v>
      </c>
      <c r="C37" s="151"/>
      <c r="D37" s="155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0">
        <f t="shared" si="0"/>
        <v>0</v>
      </c>
    </row>
    <row r="38" spans="1:16" ht="15.75" thickBot="1" x14ac:dyDescent="0.3">
      <c r="A38" s="154">
        <v>1000147</v>
      </c>
      <c r="B38" s="12" t="s">
        <v>52</v>
      </c>
      <c r="C38" s="151"/>
      <c r="D38" s="155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0">
        <f t="shared" si="0"/>
        <v>0</v>
      </c>
    </row>
    <row r="39" spans="1:16" ht="15.75" thickBot="1" x14ac:dyDescent="0.3">
      <c r="A39" s="154">
        <v>10000102</v>
      </c>
      <c r="B39" s="12" t="s">
        <v>2</v>
      </c>
      <c r="C39" s="151"/>
      <c r="D39" s="155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0">
        <f t="shared" si="0"/>
        <v>0</v>
      </c>
    </row>
    <row r="40" spans="1:16" ht="15.75" thickBot="1" x14ac:dyDescent="0.3">
      <c r="A40" s="154">
        <v>1000029</v>
      </c>
      <c r="B40" s="12" t="s">
        <v>30</v>
      </c>
      <c r="C40" s="151"/>
      <c r="D40" s="155"/>
      <c r="F40" s="153"/>
      <c r="G40" s="153"/>
      <c r="H40" s="153"/>
      <c r="I40" s="153"/>
      <c r="J40" s="153"/>
      <c r="K40" s="153"/>
      <c r="L40" s="153">
        <v>1</v>
      </c>
      <c r="M40" s="153"/>
      <c r="N40" s="153"/>
      <c r="O40" s="153"/>
      <c r="P40" s="565">
        <f t="shared" si="0"/>
        <v>1</v>
      </c>
    </row>
    <row r="41" spans="1:16" ht="15.75" thickBot="1" x14ac:dyDescent="0.3">
      <c r="A41" s="154">
        <v>1000073</v>
      </c>
      <c r="B41" s="12" t="s">
        <v>36</v>
      </c>
      <c r="C41" s="151"/>
      <c r="D41" s="155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0">
        <f t="shared" si="0"/>
        <v>0</v>
      </c>
    </row>
    <row r="42" spans="1:16" ht="15.75" thickBot="1" x14ac:dyDescent="0.3">
      <c r="A42" s="154">
        <v>1000076</v>
      </c>
      <c r="B42" s="12" t="s">
        <v>46</v>
      </c>
      <c r="C42" s="151"/>
      <c r="D42" s="155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0">
        <f t="shared" si="0"/>
        <v>0</v>
      </c>
    </row>
    <row r="43" spans="1:16" ht="15.75" thickBot="1" x14ac:dyDescent="0.3">
      <c r="A43" s="154">
        <v>10211</v>
      </c>
      <c r="B43" s="12" t="s">
        <v>3</v>
      </c>
      <c r="C43" s="151"/>
      <c r="D43" s="155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0">
        <f t="shared" si="0"/>
        <v>0</v>
      </c>
    </row>
    <row r="44" spans="1:16" ht="15.75" thickBot="1" x14ac:dyDescent="0.3">
      <c r="A44" s="154">
        <v>1000007</v>
      </c>
      <c r="B44" s="12" t="s">
        <v>5</v>
      </c>
      <c r="C44" s="151"/>
      <c r="D44" s="155"/>
      <c r="F44" s="153">
        <v>50</v>
      </c>
      <c r="G44" s="153"/>
      <c r="H44" s="153">
        <v>50</v>
      </c>
      <c r="I44" s="153"/>
      <c r="J44" s="153">
        <v>50</v>
      </c>
      <c r="K44" s="153"/>
      <c r="L44" s="153">
        <v>50</v>
      </c>
      <c r="M44" s="153"/>
      <c r="N44" s="153">
        <v>50</v>
      </c>
      <c r="O44" s="153"/>
      <c r="P44" s="565">
        <f t="shared" si="0"/>
        <v>250</v>
      </c>
    </row>
    <row r="45" spans="1:16" ht="15.75" thickBot="1" x14ac:dyDescent="0.3">
      <c r="A45" s="154">
        <v>1000033</v>
      </c>
      <c r="B45" s="12" t="s">
        <v>27</v>
      </c>
      <c r="C45" s="151"/>
      <c r="D45" s="155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0">
        <f t="shared" si="0"/>
        <v>0</v>
      </c>
    </row>
    <row r="46" spans="1:16" ht="15.75" thickBot="1" x14ac:dyDescent="0.3">
      <c r="A46" s="154">
        <v>10248</v>
      </c>
      <c r="B46" s="12" t="s">
        <v>183</v>
      </c>
      <c r="C46" s="151"/>
      <c r="D46" s="155"/>
      <c r="F46" s="153">
        <v>9</v>
      </c>
      <c r="G46" s="153"/>
      <c r="H46" s="153"/>
      <c r="I46" s="153"/>
      <c r="J46" s="153"/>
      <c r="K46" s="153"/>
      <c r="L46" s="153"/>
      <c r="M46" s="153"/>
      <c r="N46" s="153">
        <v>9</v>
      </c>
      <c r="O46" s="153"/>
      <c r="P46" s="565">
        <f t="shared" si="0"/>
        <v>18</v>
      </c>
    </row>
    <row r="47" spans="1:16" ht="15.75" thickBot="1" x14ac:dyDescent="0.3">
      <c r="A47" s="154">
        <v>1000061</v>
      </c>
      <c r="B47" s="12" t="s">
        <v>217</v>
      </c>
      <c r="C47" s="151"/>
      <c r="D47" s="155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0">
        <f t="shared" si="0"/>
        <v>0</v>
      </c>
    </row>
    <row r="48" spans="1:16" ht="15.75" thickBot="1" x14ac:dyDescent="0.3">
      <c r="A48" s="154">
        <v>1000034</v>
      </c>
      <c r="B48" s="12" t="s">
        <v>28</v>
      </c>
      <c r="C48" s="151"/>
      <c r="D48" s="155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0">
        <f t="shared" si="0"/>
        <v>0</v>
      </c>
    </row>
    <row r="49" spans="1:18" ht="15.75" thickBot="1" x14ac:dyDescent="0.3">
      <c r="A49" s="154">
        <v>1000465</v>
      </c>
      <c r="B49" s="12" t="s">
        <v>219</v>
      </c>
      <c r="C49" s="151"/>
      <c r="D49" s="155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0">
        <f t="shared" si="0"/>
        <v>0</v>
      </c>
    </row>
    <row r="50" spans="1:18" ht="15.75" thickBot="1" x14ac:dyDescent="0.3">
      <c r="A50" s="154">
        <v>1000439</v>
      </c>
      <c r="B50" s="12" t="s">
        <v>193</v>
      </c>
      <c r="C50" s="151"/>
      <c r="D50" s="155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0">
        <f t="shared" si="0"/>
        <v>0</v>
      </c>
    </row>
    <row r="51" spans="1:18" ht="15.75" thickBot="1" x14ac:dyDescent="0.3">
      <c r="A51" s="154">
        <v>1000205</v>
      </c>
      <c r="B51" s="12" t="s">
        <v>82</v>
      </c>
      <c r="C51" s="151"/>
      <c r="D51" s="155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0">
        <f t="shared" si="0"/>
        <v>0</v>
      </c>
    </row>
    <row r="52" spans="1:18" ht="15.75" thickBot="1" x14ac:dyDescent="0.3">
      <c r="A52" s="154">
        <v>1000090</v>
      </c>
      <c r="B52" s="12" t="s">
        <v>40</v>
      </c>
      <c r="C52" s="151"/>
      <c r="D52" s="155"/>
      <c r="F52" s="153">
        <v>2</v>
      </c>
      <c r="G52" s="153"/>
      <c r="H52" s="153"/>
      <c r="I52" s="153"/>
      <c r="J52" s="153">
        <v>3</v>
      </c>
      <c r="K52" s="153"/>
      <c r="L52" s="153"/>
      <c r="M52" s="153"/>
      <c r="N52" s="153">
        <v>2</v>
      </c>
      <c r="O52" s="153"/>
      <c r="P52" s="565">
        <f t="shared" si="0"/>
        <v>7</v>
      </c>
    </row>
    <row r="53" spans="1:18" ht="15.75" thickBot="1" x14ac:dyDescent="0.3">
      <c r="A53" s="154">
        <v>1000080</v>
      </c>
      <c r="B53" s="12" t="s">
        <v>275</v>
      </c>
      <c r="C53" s="151"/>
      <c r="D53" s="155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0">
        <f t="shared" si="0"/>
        <v>0</v>
      </c>
    </row>
    <row r="54" spans="1:18" ht="15.75" thickBot="1" x14ac:dyDescent="0.3">
      <c r="A54" s="154">
        <v>1000436</v>
      </c>
      <c r="B54" s="12" t="s">
        <v>276</v>
      </c>
      <c r="C54" s="151"/>
      <c r="D54" s="155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0">
        <f t="shared" si="0"/>
        <v>0</v>
      </c>
    </row>
    <row r="55" spans="1:18" ht="15.75" thickBot="1" x14ac:dyDescent="0.3">
      <c r="A55" s="154">
        <v>1000550</v>
      </c>
      <c r="B55" s="12" t="s">
        <v>277</v>
      </c>
      <c r="C55" s="151"/>
      <c r="D55" s="155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0">
        <f t="shared" si="0"/>
        <v>0</v>
      </c>
    </row>
    <row r="56" spans="1:18" ht="16.5" thickBot="1" x14ac:dyDescent="0.3">
      <c r="A56" s="36">
        <v>1000551</v>
      </c>
      <c r="B56" s="12" t="s">
        <v>278</v>
      </c>
      <c r="C56"/>
      <c r="D56" s="35"/>
      <c r="E56" s="215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0">
        <f t="shared" si="0"/>
        <v>0</v>
      </c>
      <c r="R56" s="566" t="s">
        <v>336</v>
      </c>
    </row>
    <row r="57" spans="1:18" ht="16.5" thickBot="1" x14ac:dyDescent="0.3">
      <c r="A57" s="207">
        <v>1000552</v>
      </c>
      <c r="B57" s="246" t="s">
        <v>279</v>
      </c>
      <c r="C57"/>
      <c r="D57" s="38"/>
      <c r="E57" s="215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0">
        <f t="shared" si="0"/>
        <v>0</v>
      </c>
    </row>
    <row r="58" spans="1:18" ht="15.75" thickBot="1" x14ac:dyDescent="0.3">
      <c r="A58" s="35">
        <v>1000025</v>
      </c>
      <c r="B58" s="12" t="s">
        <v>32</v>
      </c>
      <c r="D58" s="38"/>
      <c r="F58" s="153">
        <v>5</v>
      </c>
      <c r="G58" s="153"/>
      <c r="H58" s="153"/>
      <c r="I58" s="153"/>
      <c r="J58" s="153"/>
      <c r="K58" s="153"/>
      <c r="L58" s="153"/>
      <c r="M58" s="153"/>
      <c r="N58" s="153"/>
      <c r="O58" s="153"/>
      <c r="P58" s="565">
        <f t="shared" si="0"/>
        <v>5</v>
      </c>
    </row>
    <row r="59" spans="1:18" ht="15.75" thickBot="1" x14ac:dyDescent="0.3">
      <c r="A59" s="35"/>
      <c r="B59" s="12"/>
      <c r="D59" s="38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0">
        <f t="shared" si="0"/>
        <v>0</v>
      </c>
    </row>
    <row r="60" spans="1:18" ht="15.75" thickBot="1" x14ac:dyDescent="0.3">
      <c r="A60" s="35"/>
      <c r="B60" s="12"/>
      <c r="D60" s="38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7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9984-1245-4BDB-AC4F-4860F6130906}">
  <sheetPr>
    <tabColor rgb="FF7030A0"/>
    <pageSetUpPr fitToPage="1"/>
  </sheetPr>
  <dimension ref="A1:P47"/>
  <sheetViews>
    <sheetView topLeftCell="A15" zoomScale="85" zoomScaleNormal="85" workbookViewId="0">
      <selection activeCell="R49" sqref="R49"/>
    </sheetView>
  </sheetViews>
  <sheetFormatPr baseColWidth="10" defaultColWidth="10.875" defaultRowHeight="15" x14ac:dyDescent="0.25"/>
  <cols>
    <col min="1" max="1" width="8.875" style="27" customWidth="1"/>
    <col min="2" max="2" width="39.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875" style="27" customWidth="1"/>
    <col min="8" max="8" width="9.125" style="27" bestFit="1" customWidth="1"/>
    <col min="9" max="9" width="5.875" style="27" customWidth="1"/>
    <col min="10" max="10" width="9.125" style="27" bestFit="1" customWidth="1"/>
    <col min="11" max="11" width="5.375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5.875" style="27" customWidth="1"/>
    <col min="16" max="16384" width="10.875" style="27"/>
  </cols>
  <sheetData>
    <row r="1" spans="1:16" ht="17.25" customHeight="1" x14ac:dyDescent="0.45">
      <c r="A1" s="686" t="s">
        <v>146</v>
      </c>
      <c r="B1" s="687"/>
      <c r="C1" s="18"/>
      <c r="D1" s="18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7.2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375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485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486">
        <v>1000006</v>
      </c>
      <c r="B5" s="11" t="s">
        <v>4</v>
      </c>
      <c r="C5" s="487"/>
      <c r="D5" s="505">
        <v>25</v>
      </c>
      <c r="E5" s="485"/>
      <c r="F5" s="568">
        <v>50</v>
      </c>
      <c r="G5" s="568"/>
      <c r="H5" s="568"/>
      <c r="I5" s="568"/>
      <c r="J5" s="568"/>
      <c r="K5" s="568"/>
      <c r="L5" s="568">
        <v>50</v>
      </c>
      <c r="M5" s="568"/>
      <c r="N5" s="568"/>
      <c r="O5" s="568"/>
      <c r="P5" s="569">
        <f t="shared" ref="P5:P47" si="0">SUM(F5:O5)</f>
        <v>100</v>
      </c>
    </row>
    <row r="6" spans="1:16" x14ac:dyDescent="0.25">
      <c r="A6" s="491">
        <v>1000007</v>
      </c>
      <c r="B6" s="12" t="s">
        <v>5</v>
      </c>
      <c r="C6" s="487"/>
      <c r="D6" s="503">
        <v>25</v>
      </c>
      <c r="E6" s="485"/>
      <c r="F6" s="568">
        <v>50</v>
      </c>
      <c r="G6" s="568"/>
      <c r="H6" s="568"/>
      <c r="I6" s="568"/>
      <c r="J6" s="568"/>
      <c r="K6" s="568"/>
      <c r="L6" s="568">
        <v>50</v>
      </c>
      <c r="M6" s="568"/>
      <c r="N6" s="568"/>
      <c r="O6" s="568"/>
      <c r="P6" s="569">
        <f t="shared" si="0"/>
        <v>100</v>
      </c>
    </row>
    <row r="7" spans="1:16" x14ac:dyDescent="0.25">
      <c r="A7" s="491">
        <v>1000001</v>
      </c>
      <c r="B7" s="12" t="s">
        <v>8</v>
      </c>
      <c r="C7" s="487"/>
      <c r="D7" s="503">
        <v>2</v>
      </c>
      <c r="E7" s="485"/>
      <c r="F7" s="568">
        <v>3</v>
      </c>
      <c r="G7" s="568"/>
      <c r="H7" s="568"/>
      <c r="I7" s="568"/>
      <c r="J7" s="568"/>
      <c r="K7" s="568"/>
      <c r="L7" s="568">
        <v>3</v>
      </c>
      <c r="M7" s="568"/>
      <c r="N7" s="568"/>
      <c r="O7" s="568"/>
      <c r="P7" s="569">
        <f t="shared" si="0"/>
        <v>6</v>
      </c>
    </row>
    <row r="8" spans="1:16" x14ac:dyDescent="0.25">
      <c r="A8" s="491">
        <v>1000002</v>
      </c>
      <c r="B8" s="12" t="s">
        <v>9</v>
      </c>
      <c r="C8" s="487"/>
      <c r="D8" s="503">
        <v>2</v>
      </c>
      <c r="E8" s="485"/>
      <c r="F8" s="568">
        <v>1</v>
      </c>
      <c r="G8" s="568"/>
      <c r="H8" s="568"/>
      <c r="I8" s="568"/>
      <c r="J8" s="568"/>
      <c r="K8" s="568"/>
      <c r="L8" s="568">
        <v>1</v>
      </c>
      <c r="M8" s="568"/>
      <c r="N8" s="568"/>
      <c r="O8" s="568"/>
      <c r="P8" s="569">
        <f t="shared" si="0"/>
        <v>2</v>
      </c>
    </row>
    <row r="9" spans="1:16" x14ac:dyDescent="0.25">
      <c r="A9" s="491">
        <v>1000054</v>
      </c>
      <c r="B9" s="12" t="s">
        <v>12</v>
      </c>
      <c r="C9" s="487"/>
      <c r="D9" s="503">
        <v>5</v>
      </c>
      <c r="E9" s="485"/>
      <c r="F9" s="568"/>
      <c r="G9" s="568"/>
      <c r="H9" s="568"/>
      <c r="I9" s="568"/>
      <c r="J9" s="568"/>
      <c r="K9" s="568"/>
      <c r="L9" s="568">
        <v>10</v>
      </c>
      <c r="M9" s="568"/>
      <c r="N9" s="568"/>
      <c r="O9" s="568"/>
      <c r="P9" s="569">
        <f t="shared" si="0"/>
        <v>10</v>
      </c>
    </row>
    <row r="10" spans="1:16" x14ac:dyDescent="0.25">
      <c r="A10" s="491">
        <v>1000070</v>
      </c>
      <c r="B10" s="12" t="s">
        <v>13</v>
      </c>
      <c r="C10" s="487"/>
      <c r="D10" s="503">
        <v>0</v>
      </c>
      <c r="E10" s="485"/>
      <c r="F10" s="568">
        <v>1</v>
      </c>
      <c r="G10" s="568"/>
      <c r="H10" s="568"/>
      <c r="I10" s="568"/>
      <c r="J10" s="568"/>
      <c r="K10" s="568"/>
      <c r="L10" s="568"/>
      <c r="M10" s="568"/>
      <c r="N10" s="568"/>
      <c r="O10" s="568"/>
      <c r="P10" s="569">
        <f t="shared" si="0"/>
        <v>1</v>
      </c>
    </row>
    <row r="11" spans="1:16" x14ac:dyDescent="0.25">
      <c r="A11" s="491">
        <v>1000016</v>
      </c>
      <c r="B11" s="12" t="s">
        <v>15</v>
      </c>
      <c r="C11" s="487"/>
      <c r="D11" s="503">
        <v>1</v>
      </c>
      <c r="E11" s="485"/>
      <c r="F11" s="568"/>
      <c r="G11" s="568"/>
      <c r="H11" s="568"/>
      <c r="I11" s="568"/>
      <c r="J11" s="568"/>
      <c r="K11" s="568"/>
      <c r="L11" s="568"/>
      <c r="M11" s="568"/>
      <c r="N11" s="568"/>
      <c r="O11" s="568"/>
      <c r="P11" s="568">
        <f t="shared" si="0"/>
        <v>0</v>
      </c>
    </row>
    <row r="12" spans="1:16" x14ac:dyDescent="0.25">
      <c r="A12" s="491">
        <v>1000041</v>
      </c>
      <c r="B12" s="12" t="s">
        <v>16</v>
      </c>
      <c r="C12" s="487"/>
      <c r="D12" s="503">
        <v>3</v>
      </c>
      <c r="E12" s="485"/>
      <c r="F12" s="568">
        <v>5</v>
      </c>
      <c r="G12" s="568"/>
      <c r="H12" s="568"/>
      <c r="I12" s="568"/>
      <c r="J12" s="568"/>
      <c r="K12" s="568"/>
      <c r="L12" s="568">
        <v>5</v>
      </c>
      <c r="M12" s="568"/>
      <c r="N12" s="568"/>
      <c r="O12" s="568"/>
      <c r="P12" s="569">
        <f t="shared" si="0"/>
        <v>10</v>
      </c>
    </row>
    <row r="13" spans="1:16" x14ac:dyDescent="0.25">
      <c r="A13" s="491">
        <v>1000049</v>
      </c>
      <c r="B13" s="12" t="s">
        <v>21</v>
      </c>
      <c r="C13" s="487"/>
      <c r="D13" s="503">
        <v>0</v>
      </c>
      <c r="E13" s="485"/>
      <c r="F13" s="568"/>
      <c r="G13" s="568"/>
      <c r="H13" s="568"/>
      <c r="I13" s="568"/>
      <c r="J13" s="568"/>
      <c r="K13" s="568"/>
      <c r="L13" s="568"/>
      <c r="M13" s="568"/>
      <c r="N13" s="568"/>
      <c r="O13" s="568"/>
      <c r="P13" s="568">
        <f t="shared" si="0"/>
        <v>0</v>
      </c>
    </row>
    <row r="14" spans="1:16" x14ac:dyDescent="0.25">
      <c r="A14" s="491">
        <v>1000050</v>
      </c>
      <c r="B14" s="12" t="s">
        <v>22</v>
      </c>
      <c r="C14" s="487"/>
      <c r="D14" s="503">
        <v>0</v>
      </c>
      <c r="E14" s="485"/>
      <c r="F14" s="568">
        <v>2</v>
      </c>
      <c r="G14" s="568"/>
      <c r="H14" s="568"/>
      <c r="I14" s="568"/>
      <c r="J14" s="568"/>
      <c r="K14" s="568"/>
      <c r="L14" s="568"/>
      <c r="M14" s="568"/>
      <c r="N14" s="568"/>
      <c r="O14" s="568"/>
      <c r="P14" s="569">
        <f t="shared" si="0"/>
        <v>2</v>
      </c>
    </row>
    <row r="15" spans="1:16" x14ac:dyDescent="0.25">
      <c r="A15" s="491">
        <v>1000030</v>
      </c>
      <c r="B15" s="12" t="s">
        <v>24</v>
      </c>
      <c r="C15" s="487"/>
      <c r="D15" s="503">
        <v>1</v>
      </c>
      <c r="E15" s="485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8">
        <f t="shared" si="0"/>
        <v>0</v>
      </c>
    </row>
    <row r="16" spans="1:16" x14ac:dyDescent="0.25">
      <c r="A16" s="491">
        <v>1000031</v>
      </c>
      <c r="B16" s="12" t="s">
        <v>25</v>
      </c>
      <c r="C16" s="487"/>
      <c r="D16" s="503">
        <v>1</v>
      </c>
      <c r="E16" s="485"/>
      <c r="F16" s="568"/>
      <c r="G16" s="568"/>
      <c r="H16" s="568"/>
      <c r="I16" s="568"/>
      <c r="J16" s="568"/>
      <c r="K16" s="568"/>
      <c r="L16" s="568"/>
      <c r="M16" s="568"/>
      <c r="N16" s="568"/>
      <c r="O16" s="568"/>
      <c r="P16" s="568">
        <f t="shared" si="0"/>
        <v>0</v>
      </c>
    </row>
    <row r="17" spans="1:16" x14ac:dyDescent="0.25">
      <c r="A17" s="491">
        <v>1000027</v>
      </c>
      <c r="B17" s="12" t="s">
        <v>33</v>
      </c>
      <c r="C17" s="487"/>
      <c r="D17" s="503">
        <v>0</v>
      </c>
      <c r="E17" s="485"/>
      <c r="F17" s="568"/>
      <c r="G17" s="568"/>
      <c r="H17" s="568"/>
      <c r="I17" s="568"/>
      <c r="J17" s="568"/>
      <c r="K17" s="568"/>
      <c r="L17" s="568"/>
      <c r="M17" s="568"/>
      <c r="N17" s="568"/>
      <c r="O17" s="568"/>
      <c r="P17" s="568">
        <f t="shared" si="0"/>
        <v>0</v>
      </c>
    </row>
    <row r="18" spans="1:16" x14ac:dyDescent="0.25">
      <c r="A18" s="491">
        <v>1000436</v>
      </c>
      <c r="B18" s="12" t="s">
        <v>198</v>
      </c>
      <c r="C18" s="487"/>
      <c r="D18" s="503">
        <v>9</v>
      </c>
      <c r="E18" s="485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8">
        <f t="shared" si="0"/>
        <v>0</v>
      </c>
    </row>
    <row r="19" spans="1:16" x14ac:dyDescent="0.25">
      <c r="A19" s="491">
        <v>1000146</v>
      </c>
      <c r="B19" s="12" t="s">
        <v>39</v>
      </c>
      <c r="C19" s="487"/>
      <c r="D19" s="503">
        <v>6</v>
      </c>
      <c r="E19" s="485"/>
      <c r="F19" s="568">
        <v>10</v>
      </c>
      <c r="G19" s="568"/>
      <c r="H19" s="568"/>
      <c r="I19" s="568"/>
      <c r="J19" s="568"/>
      <c r="K19" s="568"/>
      <c r="L19" s="568">
        <v>10</v>
      </c>
      <c r="M19" s="568"/>
      <c r="N19" s="568"/>
      <c r="O19" s="568"/>
      <c r="P19" s="569">
        <f t="shared" si="0"/>
        <v>20</v>
      </c>
    </row>
    <row r="20" spans="1:16" x14ac:dyDescent="0.25">
      <c r="A20" s="491">
        <v>10248</v>
      </c>
      <c r="B20" s="12" t="s">
        <v>183</v>
      </c>
      <c r="C20" s="487"/>
      <c r="D20" s="503">
        <v>0</v>
      </c>
      <c r="E20" s="485"/>
      <c r="F20" s="568">
        <v>6</v>
      </c>
      <c r="G20" s="568"/>
      <c r="H20" s="568"/>
      <c r="I20" s="568"/>
      <c r="J20" s="568"/>
      <c r="K20" s="568"/>
      <c r="L20" s="568">
        <v>6</v>
      </c>
      <c r="M20" s="568"/>
      <c r="N20" s="568"/>
      <c r="O20" s="568"/>
      <c r="P20" s="569">
        <f t="shared" si="0"/>
        <v>12</v>
      </c>
    </row>
    <row r="21" spans="1:16" x14ac:dyDescent="0.25">
      <c r="A21" s="491">
        <v>1000052</v>
      </c>
      <c r="B21" s="12" t="s">
        <v>41</v>
      </c>
      <c r="C21" s="487"/>
      <c r="D21" s="503">
        <v>1</v>
      </c>
      <c r="E21" s="485"/>
      <c r="F21" s="568"/>
      <c r="G21" s="568"/>
      <c r="H21" s="568"/>
      <c r="I21" s="568"/>
      <c r="J21" s="568"/>
      <c r="K21" s="568"/>
      <c r="L21" s="568">
        <v>2</v>
      </c>
      <c r="M21" s="568"/>
      <c r="N21" s="568"/>
      <c r="O21" s="568"/>
      <c r="P21" s="569">
        <f t="shared" si="0"/>
        <v>2</v>
      </c>
    </row>
    <row r="22" spans="1:16" x14ac:dyDescent="0.25">
      <c r="A22" s="491">
        <v>1000089</v>
      </c>
      <c r="B22" s="12" t="s">
        <v>42</v>
      </c>
      <c r="C22" s="487"/>
      <c r="D22" s="503">
        <v>1</v>
      </c>
      <c r="E22" s="485"/>
      <c r="F22" s="568">
        <v>2</v>
      </c>
      <c r="G22" s="568"/>
      <c r="H22" s="568"/>
      <c r="I22" s="568"/>
      <c r="J22" s="568"/>
      <c r="K22" s="568"/>
      <c r="L22" s="568">
        <v>2</v>
      </c>
      <c r="M22" s="568"/>
      <c r="N22" s="568"/>
      <c r="O22" s="568"/>
      <c r="P22" s="569">
        <f t="shared" si="0"/>
        <v>4</v>
      </c>
    </row>
    <row r="23" spans="1:16" x14ac:dyDescent="0.25">
      <c r="A23" s="491">
        <v>1000051</v>
      </c>
      <c r="B23" s="12" t="s">
        <v>43</v>
      </c>
      <c r="C23" s="487"/>
      <c r="D23" s="503">
        <v>1</v>
      </c>
      <c r="E23" s="485"/>
      <c r="F23" s="568"/>
      <c r="G23" s="568"/>
      <c r="H23" s="568"/>
      <c r="I23" s="568"/>
      <c r="J23" s="568"/>
      <c r="K23" s="568"/>
      <c r="L23" s="568">
        <v>2</v>
      </c>
      <c r="M23" s="568"/>
      <c r="N23" s="568"/>
      <c r="O23" s="568"/>
      <c r="P23" s="569">
        <f t="shared" si="0"/>
        <v>2</v>
      </c>
    </row>
    <row r="24" spans="1:16" x14ac:dyDescent="0.25">
      <c r="A24" s="491">
        <v>1000032</v>
      </c>
      <c r="B24" s="12" t="s">
        <v>26</v>
      </c>
      <c r="C24" s="487"/>
      <c r="D24" s="503"/>
      <c r="E24" s="485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68">
        <f t="shared" si="0"/>
        <v>0</v>
      </c>
    </row>
    <row r="25" spans="1:16" s="15" customFormat="1" ht="15.95" customHeight="1" x14ac:dyDescent="0.25">
      <c r="A25" s="491">
        <v>1000067</v>
      </c>
      <c r="B25" s="12" t="s">
        <v>11</v>
      </c>
      <c r="C25" s="487"/>
      <c r="D25" s="503">
        <v>808.4021666666664</v>
      </c>
      <c r="E25" s="485"/>
      <c r="F25" s="568">
        <v>1</v>
      </c>
      <c r="G25" s="568"/>
      <c r="H25" s="568"/>
      <c r="I25" s="568"/>
      <c r="J25" s="568"/>
      <c r="K25" s="568"/>
      <c r="L25" s="568"/>
      <c r="M25" s="568"/>
      <c r="N25" s="568"/>
      <c r="O25" s="568"/>
      <c r="P25" s="569">
        <f t="shared" si="0"/>
        <v>1</v>
      </c>
    </row>
    <row r="26" spans="1:16" x14ac:dyDescent="0.25">
      <c r="A26" s="491">
        <v>10211</v>
      </c>
      <c r="B26" s="12" t="s">
        <v>3</v>
      </c>
      <c r="C26" s="487"/>
      <c r="D26" s="503"/>
      <c r="E26" s="485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812">
        <f t="shared" si="0"/>
        <v>0</v>
      </c>
    </row>
    <row r="27" spans="1:16" x14ac:dyDescent="0.25">
      <c r="A27" s="491">
        <v>1000045</v>
      </c>
      <c r="B27" s="12" t="s">
        <v>23</v>
      </c>
      <c r="C27" s="487"/>
      <c r="D27" s="503"/>
      <c r="E27" s="485"/>
      <c r="F27" s="568">
        <v>1</v>
      </c>
      <c r="G27" s="568"/>
      <c r="H27" s="568"/>
      <c r="I27" s="568"/>
      <c r="J27" s="568"/>
      <c r="K27" s="568"/>
      <c r="L27" s="568"/>
      <c r="M27" s="568"/>
      <c r="N27" s="568"/>
      <c r="O27" s="568"/>
      <c r="P27" s="569">
        <f t="shared" si="0"/>
        <v>1</v>
      </c>
    </row>
    <row r="28" spans="1:16" x14ac:dyDescent="0.25">
      <c r="A28" s="491">
        <v>1000027</v>
      </c>
      <c r="B28" s="12" t="s">
        <v>33</v>
      </c>
      <c r="C28" s="487"/>
      <c r="D28" s="503"/>
      <c r="E28" s="485"/>
      <c r="F28" s="568"/>
      <c r="G28" s="568"/>
      <c r="H28" s="568"/>
      <c r="I28" s="568"/>
      <c r="J28" s="568"/>
      <c r="K28" s="568"/>
      <c r="L28" s="568"/>
      <c r="M28" s="568"/>
      <c r="N28" s="568"/>
      <c r="O28" s="568"/>
      <c r="P28" s="568">
        <f t="shared" si="0"/>
        <v>0</v>
      </c>
    </row>
    <row r="29" spans="1:16" x14ac:dyDescent="0.25">
      <c r="A29" s="491">
        <v>10000015</v>
      </c>
      <c r="B29" s="12" t="s">
        <v>1</v>
      </c>
      <c r="C29" s="487"/>
      <c r="D29" s="503"/>
      <c r="E29" s="485"/>
      <c r="F29" s="568">
        <v>10</v>
      </c>
      <c r="G29" s="568"/>
      <c r="H29" s="568"/>
      <c r="I29" s="568"/>
      <c r="J29" s="568"/>
      <c r="K29" s="568"/>
      <c r="L29" s="568"/>
      <c r="M29" s="568"/>
      <c r="N29" s="568"/>
      <c r="O29" s="568"/>
      <c r="P29" s="811">
        <f t="shared" si="0"/>
        <v>10</v>
      </c>
    </row>
    <row r="30" spans="1:16" x14ac:dyDescent="0.25">
      <c r="A30" s="491">
        <v>1000008</v>
      </c>
      <c r="B30" s="12" t="s">
        <v>7</v>
      </c>
      <c r="C30" s="487"/>
      <c r="D30" s="503"/>
      <c r="E30" s="485"/>
      <c r="F30" s="568"/>
      <c r="G30" s="568"/>
      <c r="H30" s="568"/>
      <c r="I30" s="568"/>
      <c r="J30" s="568"/>
      <c r="K30" s="568"/>
      <c r="L30" s="568"/>
      <c r="M30" s="568"/>
      <c r="N30" s="568"/>
      <c r="O30" s="568"/>
      <c r="P30" s="568">
        <f t="shared" si="0"/>
        <v>0</v>
      </c>
    </row>
    <row r="31" spans="1:16" x14ac:dyDescent="0.25">
      <c r="A31" s="491">
        <v>1000101</v>
      </c>
      <c r="B31" s="12" t="s">
        <v>35</v>
      </c>
      <c r="C31" s="487"/>
      <c r="D31" s="503"/>
      <c r="E31" s="485"/>
      <c r="F31" s="568"/>
      <c r="G31" s="568"/>
      <c r="H31" s="568"/>
      <c r="I31" s="568"/>
      <c r="J31" s="568"/>
      <c r="K31" s="568"/>
      <c r="L31" s="568"/>
      <c r="M31" s="568"/>
      <c r="N31" s="568"/>
      <c r="O31" s="568"/>
      <c r="P31" s="568">
        <f t="shared" si="0"/>
        <v>0</v>
      </c>
    </row>
    <row r="32" spans="1:16" x14ac:dyDescent="0.25">
      <c r="A32" s="491">
        <v>1000004</v>
      </c>
      <c r="B32" s="12" t="s">
        <v>182</v>
      </c>
      <c r="C32" s="487"/>
      <c r="D32" s="503"/>
      <c r="E32" s="485"/>
      <c r="F32" s="568">
        <v>2</v>
      </c>
      <c r="G32" s="568"/>
      <c r="H32" s="568"/>
      <c r="I32" s="568"/>
      <c r="J32" s="568"/>
      <c r="K32" s="568"/>
      <c r="L32" s="568">
        <v>3</v>
      </c>
      <c r="M32" s="568"/>
      <c r="N32" s="568"/>
      <c r="O32" s="568"/>
      <c r="P32" s="569">
        <f t="shared" si="0"/>
        <v>5</v>
      </c>
    </row>
    <row r="33" spans="1:16" x14ac:dyDescent="0.25">
      <c r="A33" s="491">
        <v>1000472</v>
      </c>
      <c r="B33" s="12" t="s">
        <v>222</v>
      </c>
      <c r="C33" s="487"/>
      <c r="D33" s="503"/>
      <c r="E33" s="485"/>
      <c r="F33" s="568"/>
      <c r="G33" s="568"/>
      <c r="H33" s="568"/>
      <c r="I33" s="568"/>
      <c r="J33" s="568"/>
      <c r="K33" s="568"/>
      <c r="L33" s="568">
        <v>1</v>
      </c>
      <c r="M33" s="568"/>
      <c r="N33" s="568"/>
      <c r="O33" s="568"/>
      <c r="P33" s="569">
        <f t="shared" si="0"/>
        <v>1</v>
      </c>
    </row>
    <row r="34" spans="1:16" x14ac:dyDescent="0.25">
      <c r="A34" s="491">
        <v>1000033</v>
      </c>
      <c r="B34" s="12" t="s">
        <v>27</v>
      </c>
      <c r="C34" s="487"/>
      <c r="D34" s="503"/>
      <c r="E34" s="485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>
        <f t="shared" si="0"/>
        <v>0</v>
      </c>
    </row>
    <row r="35" spans="1:16" x14ac:dyDescent="0.25">
      <c r="A35" s="491">
        <v>1000383</v>
      </c>
      <c r="B35" s="12" t="s">
        <v>264</v>
      </c>
      <c r="C35" s="487"/>
      <c r="D35" s="503"/>
      <c r="E35" s="485"/>
      <c r="F35" s="568"/>
      <c r="G35" s="568"/>
      <c r="H35" s="568"/>
      <c r="I35" s="568"/>
      <c r="J35" s="568"/>
      <c r="K35" s="568"/>
      <c r="L35" s="568"/>
      <c r="M35" s="568"/>
      <c r="N35" s="568"/>
      <c r="O35" s="568"/>
      <c r="P35" s="568">
        <f t="shared" si="0"/>
        <v>0</v>
      </c>
    </row>
    <row r="36" spans="1:16" x14ac:dyDescent="0.25">
      <c r="A36" s="491">
        <v>1000084</v>
      </c>
      <c r="B36" s="12" t="s">
        <v>194</v>
      </c>
      <c r="C36" s="487"/>
      <c r="D36" s="503"/>
      <c r="E36" s="485"/>
      <c r="F36" s="568">
        <v>4</v>
      </c>
      <c r="G36" s="568"/>
      <c r="H36" s="568"/>
      <c r="I36" s="568"/>
      <c r="J36" s="568"/>
      <c r="K36" s="568"/>
      <c r="L36" s="568">
        <v>4</v>
      </c>
      <c r="M36" s="568"/>
      <c r="N36" s="568"/>
      <c r="O36" s="568"/>
      <c r="P36" s="569">
        <f t="shared" si="0"/>
        <v>8</v>
      </c>
    </row>
    <row r="37" spans="1:16" x14ac:dyDescent="0.25">
      <c r="A37" s="491">
        <v>1000017</v>
      </c>
      <c r="B37" s="12" t="s">
        <v>14</v>
      </c>
      <c r="C37" s="487"/>
      <c r="D37" s="503"/>
      <c r="E37" s="485"/>
      <c r="F37" s="568">
        <v>10</v>
      </c>
      <c r="G37" s="568"/>
      <c r="H37" s="568"/>
      <c r="I37" s="568"/>
      <c r="J37" s="568"/>
      <c r="K37" s="568"/>
      <c r="L37" s="568">
        <v>10</v>
      </c>
      <c r="M37" s="568"/>
      <c r="N37" s="568"/>
      <c r="O37" s="568"/>
      <c r="P37" s="569">
        <f t="shared" si="0"/>
        <v>20</v>
      </c>
    </row>
    <row r="38" spans="1:16" x14ac:dyDescent="0.25">
      <c r="A38" s="491">
        <v>10000015</v>
      </c>
      <c r="B38" s="12" t="s">
        <v>1</v>
      </c>
      <c r="C38" s="487"/>
      <c r="D38" s="503"/>
      <c r="E38" s="485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>
        <f t="shared" si="0"/>
        <v>0</v>
      </c>
    </row>
    <row r="39" spans="1:16" x14ac:dyDescent="0.25">
      <c r="A39" s="491">
        <v>1000010</v>
      </c>
      <c r="B39" s="12" t="s">
        <v>17</v>
      </c>
      <c r="C39" s="487"/>
      <c r="D39" s="503"/>
      <c r="E39" s="485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>
        <f t="shared" si="0"/>
        <v>0</v>
      </c>
    </row>
    <row r="40" spans="1:16" x14ac:dyDescent="0.25">
      <c r="A40" s="491">
        <v>1000029</v>
      </c>
      <c r="B40" s="12" t="s">
        <v>30</v>
      </c>
      <c r="C40" s="487"/>
      <c r="D40" s="503"/>
      <c r="E40" s="485"/>
      <c r="F40" s="568">
        <v>1</v>
      </c>
      <c r="G40" s="568"/>
      <c r="H40" s="568"/>
      <c r="I40" s="568"/>
      <c r="J40" s="568"/>
      <c r="K40" s="568"/>
      <c r="L40" s="568">
        <v>1</v>
      </c>
      <c r="M40" s="568"/>
      <c r="N40" s="568"/>
      <c r="O40" s="568"/>
      <c r="P40" s="569">
        <f t="shared" si="0"/>
        <v>2</v>
      </c>
    </row>
    <row r="41" spans="1:16" x14ac:dyDescent="0.25">
      <c r="A41" s="491">
        <v>1000436</v>
      </c>
      <c r="B41" s="12" t="s">
        <v>276</v>
      </c>
      <c r="C41" s="487"/>
      <c r="D41" s="503"/>
      <c r="E41" s="485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>
        <f t="shared" si="0"/>
        <v>0</v>
      </c>
    </row>
    <row r="42" spans="1:16" x14ac:dyDescent="0.25">
      <c r="A42" s="491">
        <v>1000550</v>
      </c>
      <c r="B42" s="12" t="s">
        <v>277</v>
      </c>
      <c r="C42" s="487"/>
      <c r="D42" s="503"/>
      <c r="E42" s="485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>
        <f t="shared" si="0"/>
        <v>0</v>
      </c>
    </row>
    <row r="43" spans="1:16" x14ac:dyDescent="0.25">
      <c r="A43" s="491">
        <v>1000551</v>
      </c>
      <c r="B43" s="12" t="s">
        <v>278</v>
      </c>
      <c r="C43" s="487"/>
      <c r="D43" s="503"/>
      <c r="E43" s="485"/>
      <c r="F43" s="568"/>
      <c r="G43" s="568"/>
      <c r="H43" s="568"/>
      <c r="I43" s="568"/>
      <c r="J43" s="568"/>
      <c r="K43" s="568"/>
      <c r="L43" s="568"/>
      <c r="M43" s="568"/>
      <c r="N43" s="568"/>
      <c r="O43" s="568"/>
      <c r="P43" s="568">
        <f t="shared" si="0"/>
        <v>0</v>
      </c>
    </row>
    <row r="44" spans="1:16" x14ac:dyDescent="0.25">
      <c r="A44" s="491">
        <v>1000552</v>
      </c>
      <c r="B44" s="12" t="s">
        <v>279</v>
      </c>
      <c r="C44" s="487"/>
      <c r="D44" s="503"/>
      <c r="E44" s="485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8">
        <f t="shared" si="0"/>
        <v>0</v>
      </c>
    </row>
    <row r="45" spans="1:16" ht="15.75" thickBot="1" x14ac:dyDescent="0.3">
      <c r="A45" s="243">
        <v>1000080</v>
      </c>
      <c r="B45" s="251" t="s">
        <v>275</v>
      </c>
      <c r="C45" s="496"/>
      <c r="D45" s="495"/>
      <c r="E45" s="496"/>
      <c r="F45" s="568"/>
      <c r="G45" s="568"/>
      <c r="H45" s="568"/>
      <c r="I45" s="568"/>
      <c r="J45" s="568"/>
      <c r="K45" s="568"/>
      <c r="L45" s="568">
        <v>48</v>
      </c>
      <c r="M45" s="568"/>
      <c r="N45" s="568"/>
      <c r="O45" s="568"/>
      <c r="P45" s="569">
        <f t="shared" si="0"/>
        <v>48</v>
      </c>
    </row>
    <row r="46" spans="1:16" ht="15.75" thickBot="1" x14ac:dyDescent="0.3">
      <c r="A46" s="491">
        <v>1000048</v>
      </c>
      <c r="B46" s="12" t="s">
        <v>45</v>
      </c>
      <c r="C46" s="485"/>
      <c r="D46" s="495"/>
      <c r="E46" s="485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>
        <f t="shared" si="0"/>
        <v>0</v>
      </c>
    </row>
    <row r="47" spans="1:16" ht="15.75" thickBot="1" x14ac:dyDescent="0.3">
      <c r="A47" s="35">
        <v>1000057</v>
      </c>
      <c r="B47" s="12" t="s">
        <v>70</v>
      </c>
      <c r="C47" s="485"/>
      <c r="D47" s="495"/>
      <c r="E47" s="485"/>
      <c r="F47" s="568"/>
      <c r="G47" s="568"/>
      <c r="H47" s="568"/>
      <c r="I47" s="568"/>
      <c r="J47" s="568"/>
      <c r="K47" s="568"/>
      <c r="L47" s="568"/>
      <c r="M47" s="568"/>
      <c r="N47" s="568"/>
      <c r="O47" s="568"/>
      <c r="P47" s="568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1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F2D7-365B-4DF2-8521-C9B173C39A26}">
  <sheetPr>
    <tabColor rgb="FF7030A0"/>
    <pageSetUpPr fitToPage="1"/>
  </sheetPr>
  <dimension ref="A1:R50"/>
  <sheetViews>
    <sheetView zoomScale="70" zoomScaleNormal="70" workbookViewId="0">
      <selection activeCell="S27" sqref="S27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6.875" style="27" customWidth="1"/>
    <col min="10" max="10" width="9.125" style="27" bestFit="1" customWidth="1"/>
    <col min="11" max="11" width="6.625" style="27" customWidth="1"/>
    <col min="12" max="12" width="9.125" style="27" bestFit="1" customWidth="1"/>
    <col min="13" max="13" width="7.375" style="27" customWidth="1"/>
    <col min="14" max="14" width="9.125" style="27" bestFit="1" customWidth="1"/>
    <col min="15" max="15" width="6.875" style="27" customWidth="1"/>
    <col min="16" max="16384" width="10.875" style="27"/>
  </cols>
  <sheetData>
    <row r="1" spans="1:16" ht="15" customHeight="1" x14ac:dyDescent="0.45">
      <c r="A1" s="686" t="s">
        <v>121</v>
      </c>
      <c r="B1" s="687"/>
      <c r="C1" s="18"/>
      <c r="D1" s="485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434</v>
      </c>
      <c r="C3" s="18"/>
      <c r="D3" s="4"/>
    </row>
    <row r="4" spans="1:16" s="3" customFormat="1" ht="16.5" thickBot="1" x14ac:dyDescent="0.3">
      <c r="A4" s="52" t="s">
        <v>0</v>
      </c>
      <c r="B4" s="6" t="s">
        <v>105</v>
      </c>
      <c r="C4" s="4"/>
      <c r="D4" s="7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s="3" customFormat="1" ht="15.75" x14ac:dyDescent="0.25">
      <c r="A5" s="486">
        <v>10000015</v>
      </c>
      <c r="B5" s="53" t="s">
        <v>1</v>
      </c>
      <c r="C5" s="49"/>
      <c r="D5" s="54"/>
      <c r="F5" s="568"/>
      <c r="G5" s="568"/>
      <c r="H5" s="568"/>
      <c r="I5" s="568"/>
      <c r="J5" s="568"/>
      <c r="K5" s="568"/>
      <c r="L5" s="568">
        <v>10</v>
      </c>
      <c r="M5" s="568"/>
      <c r="N5" s="568"/>
      <c r="O5" s="568"/>
      <c r="P5" s="573">
        <f t="shared" ref="P5:P50" si="0">SUM(F5:O5)</f>
        <v>10</v>
      </c>
    </row>
    <row r="6" spans="1:16" ht="15.95" customHeight="1" x14ac:dyDescent="0.25">
      <c r="A6" s="491">
        <v>1000006</v>
      </c>
      <c r="B6" s="55" t="s">
        <v>4</v>
      </c>
      <c r="C6" s="49"/>
      <c r="D6" s="56"/>
      <c r="E6" s="485"/>
      <c r="F6" s="568">
        <v>50</v>
      </c>
      <c r="G6" s="568"/>
      <c r="H6" s="568"/>
      <c r="I6" s="568"/>
      <c r="J6" s="568"/>
      <c r="K6" s="568"/>
      <c r="L6" s="568">
        <v>50</v>
      </c>
      <c r="M6" s="568"/>
      <c r="N6" s="568"/>
      <c r="O6" s="568"/>
      <c r="P6" s="573">
        <f t="shared" si="0"/>
        <v>100</v>
      </c>
    </row>
    <row r="7" spans="1:16" x14ac:dyDescent="0.25">
      <c r="A7" s="491">
        <v>1000007</v>
      </c>
      <c r="B7" s="55" t="s">
        <v>5</v>
      </c>
      <c r="C7" s="49"/>
      <c r="D7" s="56"/>
      <c r="E7" s="485"/>
      <c r="F7" s="568">
        <v>50</v>
      </c>
      <c r="G7" s="568"/>
      <c r="H7" s="568"/>
      <c r="I7" s="568"/>
      <c r="J7" s="568"/>
      <c r="K7" s="568"/>
      <c r="L7" s="568">
        <v>50</v>
      </c>
      <c r="M7" s="568"/>
      <c r="N7" s="568"/>
      <c r="O7" s="568"/>
      <c r="P7" s="573">
        <f t="shared" si="0"/>
        <v>100</v>
      </c>
    </row>
    <row r="8" spans="1:16" x14ac:dyDescent="0.25">
      <c r="A8" s="491">
        <v>1000008</v>
      </c>
      <c r="B8" s="55" t="s">
        <v>7</v>
      </c>
      <c r="C8" s="49"/>
      <c r="D8" s="56"/>
      <c r="E8" s="485"/>
      <c r="F8" s="568"/>
      <c r="G8" s="568"/>
      <c r="H8" s="568"/>
      <c r="I8" s="568"/>
      <c r="J8" s="568"/>
      <c r="K8" s="568"/>
      <c r="L8" s="568"/>
      <c r="M8" s="568"/>
      <c r="N8" s="568"/>
      <c r="O8" s="568"/>
      <c r="P8" s="573">
        <f t="shared" si="0"/>
        <v>0</v>
      </c>
    </row>
    <row r="9" spans="1:16" x14ac:dyDescent="0.25">
      <c r="A9" s="491">
        <v>1000001</v>
      </c>
      <c r="B9" s="55" t="s">
        <v>8</v>
      </c>
      <c r="C9" s="49"/>
      <c r="D9" s="56"/>
      <c r="E9" s="485"/>
      <c r="F9" s="568">
        <v>3</v>
      </c>
      <c r="G9" s="568"/>
      <c r="H9" s="568"/>
      <c r="I9" s="568"/>
      <c r="J9" s="568"/>
      <c r="K9" s="568"/>
      <c r="L9" s="568">
        <v>3</v>
      </c>
      <c r="M9" s="568"/>
      <c r="N9" s="568"/>
      <c r="O9" s="568"/>
      <c r="P9" s="573">
        <f t="shared" si="0"/>
        <v>6</v>
      </c>
    </row>
    <row r="10" spans="1:16" x14ac:dyDescent="0.25">
      <c r="A10" s="491">
        <v>1000054</v>
      </c>
      <c r="B10" s="55" t="s">
        <v>12</v>
      </c>
      <c r="C10" s="49"/>
      <c r="D10" s="56"/>
      <c r="E10" s="485"/>
      <c r="F10" s="568">
        <v>10</v>
      </c>
      <c r="G10" s="568"/>
      <c r="H10" s="568"/>
      <c r="I10" s="568"/>
      <c r="J10" s="568"/>
      <c r="K10" s="568"/>
      <c r="L10" s="568">
        <v>10</v>
      </c>
      <c r="M10" s="568"/>
      <c r="N10" s="568"/>
      <c r="O10" s="568"/>
      <c r="P10" s="573">
        <f t="shared" si="0"/>
        <v>20</v>
      </c>
    </row>
    <row r="11" spans="1:16" x14ac:dyDescent="0.25">
      <c r="A11" s="491">
        <v>1000017</v>
      </c>
      <c r="B11" s="55" t="s">
        <v>14</v>
      </c>
      <c r="C11" s="49"/>
      <c r="D11" s="56"/>
      <c r="E11" s="485"/>
      <c r="F11" s="568">
        <v>10</v>
      </c>
      <c r="G11" s="568"/>
      <c r="H11" s="568"/>
      <c r="I11" s="568"/>
      <c r="J11" s="568"/>
      <c r="K11" s="568"/>
      <c r="L11" s="568">
        <v>10</v>
      </c>
      <c r="M11" s="568"/>
      <c r="N11" s="568"/>
      <c r="O11" s="568"/>
      <c r="P11" s="573">
        <f t="shared" si="0"/>
        <v>20</v>
      </c>
    </row>
    <row r="12" spans="1:16" x14ac:dyDescent="0.25">
      <c r="A12" s="491">
        <v>1000016</v>
      </c>
      <c r="B12" s="55" t="s">
        <v>15</v>
      </c>
      <c r="C12" s="49"/>
      <c r="D12" s="56"/>
      <c r="E12" s="485"/>
      <c r="F12" s="568"/>
      <c r="G12" s="568"/>
      <c r="H12" s="568"/>
      <c r="I12" s="568"/>
      <c r="J12" s="568"/>
      <c r="K12" s="568"/>
      <c r="L12" s="568"/>
      <c r="M12" s="568"/>
      <c r="N12" s="568"/>
      <c r="O12" s="568"/>
      <c r="P12" s="572">
        <f t="shared" si="0"/>
        <v>0</v>
      </c>
    </row>
    <row r="13" spans="1:16" x14ac:dyDescent="0.25">
      <c r="A13" s="491">
        <v>1000101</v>
      </c>
      <c r="B13" s="55" t="s">
        <v>35</v>
      </c>
      <c r="C13" s="49"/>
      <c r="D13" s="56"/>
      <c r="E13" s="485"/>
      <c r="F13" s="568"/>
      <c r="G13" s="568"/>
      <c r="H13" s="568"/>
      <c r="I13" s="568"/>
      <c r="J13" s="568"/>
      <c r="K13" s="568"/>
      <c r="L13" s="568"/>
      <c r="M13" s="568"/>
      <c r="N13" s="568"/>
      <c r="O13" s="568"/>
      <c r="P13" s="572">
        <f t="shared" si="0"/>
        <v>0</v>
      </c>
    </row>
    <row r="14" spans="1:16" x14ac:dyDescent="0.25">
      <c r="A14" s="491">
        <v>1000052</v>
      </c>
      <c r="B14" s="55" t="s">
        <v>41</v>
      </c>
      <c r="C14" s="49"/>
      <c r="D14" s="56"/>
      <c r="E14" s="485"/>
      <c r="F14" s="568">
        <v>2</v>
      </c>
      <c r="G14" s="568"/>
      <c r="H14" s="568"/>
      <c r="I14" s="568"/>
      <c r="J14" s="568"/>
      <c r="K14" s="568"/>
      <c r="L14" s="568">
        <v>2</v>
      </c>
      <c r="M14" s="568"/>
      <c r="N14" s="568"/>
      <c r="O14" s="568"/>
      <c r="P14" s="573">
        <f t="shared" si="0"/>
        <v>4</v>
      </c>
    </row>
    <row r="15" spans="1:16" x14ac:dyDescent="0.25">
      <c r="A15" s="491">
        <v>1000089</v>
      </c>
      <c r="B15" s="55" t="s">
        <v>42</v>
      </c>
      <c r="C15" s="49"/>
      <c r="D15" s="56"/>
      <c r="E15" s="485"/>
      <c r="F15" s="568">
        <v>2</v>
      </c>
      <c r="G15" s="568"/>
      <c r="H15" s="568"/>
      <c r="I15" s="568"/>
      <c r="J15" s="568"/>
      <c r="K15" s="568"/>
      <c r="L15" s="568">
        <v>2</v>
      </c>
      <c r="M15" s="568"/>
      <c r="N15" s="568"/>
      <c r="O15" s="568"/>
      <c r="P15" s="633">
        <v>2</v>
      </c>
    </row>
    <row r="16" spans="1:16" x14ac:dyDescent="0.25">
      <c r="A16" s="491">
        <v>1000076</v>
      </c>
      <c r="B16" s="55" t="s">
        <v>46</v>
      </c>
      <c r="C16" s="49"/>
      <c r="D16" s="56"/>
      <c r="E16" s="485"/>
      <c r="F16" s="568"/>
      <c r="G16" s="568"/>
      <c r="H16" s="568"/>
      <c r="I16" s="568"/>
      <c r="J16" s="568"/>
      <c r="K16" s="568"/>
      <c r="L16" s="568"/>
      <c r="M16" s="568"/>
      <c r="N16" s="568"/>
      <c r="O16" s="568"/>
      <c r="P16" s="572">
        <f t="shared" si="0"/>
        <v>0</v>
      </c>
    </row>
    <row r="17" spans="1:16" x14ac:dyDescent="0.25">
      <c r="A17" s="491">
        <v>1000214</v>
      </c>
      <c r="B17" s="55" t="s">
        <v>49</v>
      </c>
      <c r="C17" s="49"/>
      <c r="D17" s="56"/>
      <c r="E17" s="485"/>
      <c r="F17" s="568"/>
      <c r="G17" s="568"/>
      <c r="H17" s="568"/>
      <c r="I17" s="568"/>
      <c r="J17" s="568"/>
      <c r="K17" s="568"/>
      <c r="L17" s="568"/>
      <c r="M17" s="568"/>
      <c r="N17" s="568"/>
      <c r="O17" s="568"/>
      <c r="P17" s="572">
        <f t="shared" si="0"/>
        <v>0</v>
      </c>
    </row>
    <row r="18" spans="1:16" x14ac:dyDescent="0.25">
      <c r="A18" s="491">
        <v>1000051</v>
      </c>
      <c r="B18" s="55" t="s">
        <v>43</v>
      </c>
      <c r="C18" s="49"/>
      <c r="D18" s="56"/>
      <c r="E18" s="485"/>
      <c r="F18" s="568"/>
      <c r="G18" s="568"/>
      <c r="H18" s="568"/>
      <c r="I18" s="568"/>
      <c r="J18" s="568"/>
      <c r="K18" s="568"/>
      <c r="L18" s="568">
        <v>2</v>
      </c>
      <c r="M18" s="568"/>
      <c r="N18" s="568"/>
      <c r="O18" s="568"/>
      <c r="P18" s="573">
        <f t="shared" si="0"/>
        <v>2</v>
      </c>
    </row>
    <row r="19" spans="1:16" x14ac:dyDescent="0.25">
      <c r="A19" s="491">
        <v>10000102</v>
      </c>
      <c r="B19" s="55" t="s">
        <v>2</v>
      </c>
      <c r="C19" s="49"/>
      <c r="D19" s="56"/>
      <c r="E19" s="485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72">
        <f t="shared" si="0"/>
        <v>0</v>
      </c>
    </row>
    <row r="20" spans="1:16" s="15" customFormat="1" ht="15.95" customHeight="1" x14ac:dyDescent="0.25">
      <c r="A20" s="491">
        <v>1000002</v>
      </c>
      <c r="B20" s="55" t="s">
        <v>9</v>
      </c>
      <c r="C20" s="49"/>
      <c r="D20" s="56"/>
      <c r="E20" s="485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72">
        <f t="shared" si="0"/>
        <v>0</v>
      </c>
    </row>
    <row r="21" spans="1:16" x14ac:dyDescent="0.25">
      <c r="A21" s="491">
        <v>10211</v>
      </c>
      <c r="B21" s="55" t="s">
        <v>3</v>
      </c>
      <c r="C21" s="49"/>
      <c r="D21" s="56"/>
      <c r="E21" s="485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72">
        <f t="shared" si="0"/>
        <v>0</v>
      </c>
    </row>
    <row r="22" spans="1:16" x14ac:dyDescent="0.25">
      <c r="A22" s="491">
        <v>1000027</v>
      </c>
      <c r="B22" s="55" t="s">
        <v>33</v>
      </c>
      <c r="C22" s="49"/>
      <c r="D22" s="56"/>
      <c r="E22" s="485"/>
      <c r="F22" s="568">
        <v>6</v>
      </c>
      <c r="G22" s="568"/>
      <c r="H22" s="568"/>
      <c r="I22" s="568"/>
      <c r="J22" s="568"/>
      <c r="K22" s="568"/>
      <c r="L22" s="568">
        <v>6</v>
      </c>
      <c r="M22" s="568"/>
      <c r="N22" s="568"/>
      <c r="O22" s="568"/>
      <c r="P22" s="573">
        <f t="shared" si="0"/>
        <v>12</v>
      </c>
    </row>
    <row r="23" spans="1:16" x14ac:dyDescent="0.25">
      <c r="A23" s="491">
        <v>1000048</v>
      </c>
      <c r="B23" s="55" t="s">
        <v>45</v>
      </c>
      <c r="C23" s="49"/>
      <c r="D23" s="56"/>
      <c r="E23" s="485"/>
      <c r="F23" s="568">
        <v>1</v>
      </c>
      <c r="G23" s="568"/>
      <c r="H23" s="568"/>
      <c r="I23" s="568"/>
      <c r="J23" s="568"/>
      <c r="K23" s="568"/>
      <c r="L23" s="568">
        <v>1</v>
      </c>
      <c r="M23" s="568"/>
      <c r="N23" s="568"/>
      <c r="O23" s="568"/>
      <c r="P23" s="573">
        <f t="shared" si="0"/>
        <v>2</v>
      </c>
    </row>
    <row r="24" spans="1:16" x14ac:dyDescent="0.25">
      <c r="A24" s="491">
        <v>1000100</v>
      </c>
      <c r="B24" s="55" t="s">
        <v>34</v>
      </c>
      <c r="C24" s="49"/>
      <c r="D24" s="56"/>
      <c r="E24" s="485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72">
        <f t="shared" si="0"/>
        <v>0</v>
      </c>
    </row>
    <row r="25" spans="1:16" x14ac:dyDescent="0.25">
      <c r="A25" s="491">
        <v>1000029</v>
      </c>
      <c r="B25" s="55" t="s">
        <v>30</v>
      </c>
      <c r="C25" s="49"/>
      <c r="D25" s="56"/>
      <c r="E25" s="485"/>
      <c r="F25" s="568">
        <v>1</v>
      </c>
      <c r="G25" s="568"/>
      <c r="H25" s="568"/>
      <c r="I25" s="568"/>
      <c r="J25" s="568"/>
      <c r="K25" s="568"/>
      <c r="L25" s="568">
        <v>1</v>
      </c>
      <c r="M25" s="568"/>
      <c r="N25" s="568"/>
      <c r="O25" s="568"/>
      <c r="P25" s="573">
        <f t="shared" si="0"/>
        <v>2</v>
      </c>
    </row>
    <row r="26" spans="1:16" x14ac:dyDescent="0.25">
      <c r="A26" s="491">
        <v>1000049</v>
      </c>
      <c r="B26" s="55" t="s">
        <v>21</v>
      </c>
      <c r="C26" s="49"/>
      <c r="D26" s="56"/>
      <c r="E26" s="485"/>
      <c r="F26" s="568"/>
      <c r="G26" s="568"/>
      <c r="H26" s="568"/>
      <c r="I26" s="568"/>
      <c r="J26" s="568"/>
      <c r="K26" s="568"/>
      <c r="L26" s="568">
        <v>2</v>
      </c>
      <c r="M26" s="568"/>
      <c r="N26" s="568"/>
      <c r="O26" s="568"/>
      <c r="P26" s="573">
        <f t="shared" si="0"/>
        <v>2</v>
      </c>
    </row>
    <row r="27" spans="1:16" x14ac:dyDescent="0.25">
      <c r="A27" s="491">
        <v>1000050</v>
      </c>
      <c r="B27" s="55" t="s">
        <v>22</v>
      </c>
      <c r="C27" s="49"/>
      <c r="D27" s="56"/>
      <c r="E27" s="485"/>
      <c r="F27" s="568">
        <v>2</v>
      </c>
      <c r="G27" s="568"/>
      <c r="H27" s="568"/>
      <c r="I27" s="568"/>
      <c r="J27" s="568"/>
      <c r="K27" s="568"/>
      <c r="L27" s="568">
        <v>2</v>
      </c>
      <c r="M27" s="568"/>
      <c r="N27" s="568"/>
      <c r="O27" s="568"/>
      <c r="P27" s="573">
        <f t="shared" si="0"/>
        <v>4</v>
      </c>
    </row>
    <row r="28" spans="1:16" x14ac:dyDescent="0.25">
      <c r="A28" s="491">
        <v>1000070</v>
      </c>
      <c r="B28" s="55" t="s">
        <v>13</v>
      </c>
      <c r="C28" s="49"/>
      <c r="D28" s="56"/>
      <c r="E28" s="485"/>
      <c r="F28" s="568">
        <v>1</v>
      </c>
      <c r="G28" s="568"/>
      <c r="H28" s="568"/>
      <c r="I28" s="568"/>
      <c r="J28" s="568"/>
      <c r="K28" s="568"/>
      <c r="L28" s="568"/>
      <c r="M28" s="568"/>
      <c r="N28" s="568"/>
      <c r="O28" s="568"/>
      <c r="P28" s="573">
        <f t="shared" si="0"/>
        <v>1</v>
      </c>
    </row>
    <row r="29" spans="1:16" x14ac:dyDescent="0.25">
      <c r="A29" s="491">
        <v>1000073</v>
      </c>
      <c r="B29" s="55" t="s">
        <v>36</v>
      </c>
      <c r="C29" s="49"/>
      <c r="D29" s="56"/>
      <c r="E29" s="485"/>
      <c r="F29" s="568"/>
      <c r="G29" s="568"/>
      <c r="H29" s="568"/>
      <c r="I29" s="568"/>
      <c r="J29" s="568"/>
      <c r="K29" s="568"/>
      <c r="L29" s="568">
        <v>1</v>
      </c>
      <c r="M29" s="568"/>
      <c r="N29" s="568"/>
      <c r="O29" s="568"/>
      <c r="P29" s="573">
        <f t="shared" si="0"/>
        <v>1</v>
      </c>
    </row>
    <row r="30" spans="1:16" x14ac:dyDescent="0.25">
      <c r="A30" s="491">
        <v>1000067</v>
      </c>
      <c r="B30" s="55" t="s">
        <v>11</v>
      </c>
      <c r="C30" s="49"/>
      <c r="D30" s="56"/>
      <c r="E30" s="485"/>
      <c r="F30" s="568">
        <v>1</v>
      </c>
      <c r="G30" s="568"/>
      <c r="H30" s="568"/>
      <c r="I30" s="568"/>
      <c r="J30" s="568"/>
      <c r="K30" s="568"/>
      <c r="L30" s="568"/>
      <c r="M30" s="568"/>
      <c r="N30" s="568"/>
      <c r="O30" s="568"/>
      <c r="P30" s="573">
        <f t="shared" si="0"/>
        <v>1</v>
      </c>
    </row>
    <row r="31" spans="1:16" x14ac:dyDescent="0.25">
      <c r="A31" s="491">
        <v>1000092</v>
      </c>
      <c r="B31" s="55" t="s">
        <v>51</v>
      </c>
      <c r="C31" s="49"/>
      <c r="D31" s="56"/>
      <c r="E31" s="485"/>
      <c r="F31" s="568"/>
      <c r="G31" s="568"/>
      <c r="H31" s="568"/>
      <c r="I31" s="568"/>
      <c r="J31" s="568"/>
      <c r="K31" s="568"/>
      <c r="L31" s="568"/>
      <c r="M31" s="568"/>
      <c r="N31" s="568"/>
      <c r="O31" s="568"/>
      <c r="P31" s="572">
        <f t="shared" si="0"/>
        <v>0</v>
      </c>
    </row>
    <row r="32" spans="1:16" x14ac:dyDescent="0.25">
      <c r="A32" s="491">
        <v>1000045</v>
      </c>
      <c r="B32" s="55" t="s">
        <v>23</v>
      </c>
      <c r="C32" s="49"/>
      <c r="D32" s="56"/>
      <c r="E32" s="485"/>
      <c r="F32" s="568">
        <v>2</v>
      </c>
      <c r="G32" s="568"/>
      <c r="H32" s="568"/>
      <c r="I32" s="568"/>
      <c r="J32" s="568"/>
      <c r="K32" s="568"/>
      <c r="L32" s="568"/>
      <c r="M32" s="568"/>
      <c r="N32" s="568"/>
      <c r="O32" s="568"/>
      <c r="P32" s="573">
        <f t="shared" si="0"/>
        <v>2</v>
      </c>
    </row>
    <row r="33" spans="1:18" x14ac:dyDescent="0.25">
      <c r="A33" s="491">
        <v>1000004</v>
      </c>
      <c r="B33" s="55" t="s">
        <v>10</v>
      </c>
      <c r="C33" s="49"/>
      <c r="D33" s="56"/>
      <c r="E33" s="485"/>
      <c r="F33" s="568">
        <v>2</v>
      </c>
      <c r="G33" s="568"/>
      <c r="H33" s="568"/>
      <c r="I33" s="568"/>
      <c r="J33" s="568"/>
      <c r="K33" s="568"/>
      <c r="L33" s="568">
        <v>3</v>
      </c>
      <c r="M33" s="568"/>
      <c r="N33" s="568"/>
      <c r="O33" s="568"/>
      <c r="P33" s="573">
        <f t="shared" si="0"/>
        <v>5</v>
      </c>
    </row>
    <row r="34" spans="1:18" x14ac:dyDescent="0.25">
      <c r="A34" s="491">
        <v>1000472</v>
      </c>
      <c r="B34" s="55" t="s">
        <v>222</v>
      </c>
      <c r="C34" s="49"/>
      <c r="D34" s="56"/>
      <c r="E34" s="485"/>
      <c r="F34" s="568"/>
      <c r="G34" s="568"/>
      <c r="H34" s="568"/>
      <c r="I34" s="568"/>
      <c r="J34" s="568"/>
      <c r="K34" s="568"/>
      <c r="L34" s="568">
        <v>1</v>
      </c>
      <c r="M34" s="568"/>
      <c r="N34" s="568"/>
      <c r="O34" s="568"/>
      <c r="P34" s="573">
        <f t="shared" si="0"/>
        <v>1</v>
      </c>
    </row>
    <row r="35" spans="1:18" x14ac:dyDescent="0.25">
      <c r="A35" s="491">
        <v>1000031</v>
      </c>
      <c r="B35" s="55" t="s">
        <v>25</v>
      </c>
      <c r="C35" s="49"/>
      <c r="D35" s="56"/>
      <c r="E35" s="485"/>
      <c r="F35" s="568"/>
      <c r="G35" s="568"/>
      <c r="H35" s="568"/>
      <c r="I35" s="568"/>
      <c r="J35" s="568"/>
      <c r="K35" s="568"/>
      <c r="L35" s="568"/>
      <c r="M35" s="568"/>
      <c r="N35" s="568"/>
      <c r="O35" s="568"/>
      <c r="P35" s="572">
        <f t="shared" si="0"/>
        <v>0</v>
      </c>
    </row>
    <row r="36" spans="1:18" x14ac:dyDescent="0.25">
      <c r="A36" s="491">
        <v>10248</v>
      </c>
      <c r="B36" s="55" t="s">
        <v>183</v>
      </c>
      <c r="C36" s="49"/>
      <c r="D36" s="56"/>
      <c r="E36" s="485"/>
      <c r="F36" s="568">
        <v>6</v>
      </c>
      <c r="G36" s="568"/>
      <c r="H36" s="568"/>
      <c r="I36" s="568"/>
      <c r="J36" s="568"/>
      <c r="K36" s="568"/>
      <c r="L36" s="568">
        <v>6</v>
      </c>
      <c r="M36" s="568"/>
      <c r="N36" s="568"/>
      <c r="O36" s="568"/>
      <c r="P36" s="573">
        <f t="shared" si="0"/>
        <v>12</v>
      </c>
    </row>
    <row r="37" spans="1:18" x14ac:dyDescent="0.25">
      <c r="A37" s="491">
        <v>1000035</v>
      </c>
      <c r="B37" s="55" t="s">
        <v>29</v>
      </c>
      <c r="C37" s="49"/>
      <c r="D37" s="56"/>
      <c r="E37" s="485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72">
        <f t="shared" si="0"/>
        <v>0</v>
      </c>
    </row>
    <row r="38" spans="1:18" x14ac:dyDescent="0.25">
      <c r="A38" s="491">
        <v>1000033</v>
      </c>
      <c r="B38" s="55" t="s">
        <v>27</v>
      </c>
      <c r="C38" s="49"/>
      <c r="D38" s="56"/>
      <c r="E38" s="485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72">
        <f>SUM(F35:O35)</f>
        <v>0</v>
      </c>
    </row>
    <row r="39" spans="1:18" x14ac:dyDescent="0.25">
      <c r="A39" s="491">
        <v>1000002</v>
      </c>
      <c r="B39" s="55" t="s">
        <v>9</v>
      </c>
      <c r="C39" s="49"/>
      <c r="D39" s="56"/>
      <c r="E39" s="485"/>
      <c r="F39" s="568"/>
      <c r="G39" s="568"/>
      <c r="H39" s="568"/>
      <c r="I39" s="568"/>
      <c r="J39" s="568"/>
      <c r="K39" s="568"/>
      <c r="L39" s="568">
        <v>1</v>
      </c>
      <c r="M39" s="568"/>
      <c r="N39" s="568"/>
      <c r="O39" s="568"/>
      <c r="P39" s="573">
        <f t="shared" si="0"/>
        <v>1</v>
      </c>
      <c r="R39" s="614" t="s">
        <v>336</v>
      </c>
    </row>
    <row r="40" spans="1:18" x14ac:dyDescent="0.25">
      <c r="A40" s="491">
        <v>1000075</v>
      </c>
      <c r="B40" s="55" t="s">
        <v>47</v>
      </c>
      <c r="C40" s="49"/>
      <c r="D40" s="56"/>
      <c r="E40" s="485"/>
      <c r="F40" s="568"/>
      <c r="G40" s="568"/>
      <c r="H40" s="568"/>
      <c r="I40" s="568"/>
      <c r="J40" s="568"/>
      <c r="K40" s="568"/>
      <c r="L40" s="568">
        <v>1</v>
      </c>
      <c r="M40" s="568"/>
      <c r="N40" s="568"/>
      <c r="O40" s="568"/>
      <c r="P40" s="573">
        <f t="shared" si="0"/>
        <v>1</v>
      </c>
    </row>
    <row r="41" spans="1:18" x14ac:dyDescent="0.25">
      <c r="A41" s="491">
        <v>1000383</v>
      </c>
      <c r="B41" s="55" t="s">
        <v>264</v>
      </c>
      <c r="C41" s="49"/>
      <c r="D41" s="56"/>
      <c r="E41" s="485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813">
        <f t="shared" si="0"/>
        <v>0</v>
      </c>
    </row>
    <row r="42" spans="1:18" x14ac:dyDescent="0.25">
      <c r="A42" s="491">
        <v>1000486</v>
      </c>
      <c r="B42" s="55" t="s">
        <v>263</v>
      </c>
      <c r="C42" s="49"/>
      <c r="D42" s="56"/>
      <c r="E42" s="485"/>
      <c r="F42" s="568">
        <v>10</v>
      </c>
      <c r="G42" s="568"/>
      <c r="H42" s="568"/>
      <c r="I42" s="568"/>
      <c r="J42" s="568"/>
      <c r="K42" s="568"/>
      <c r="L42" s="568"/>
      <c r="M42" s="568"/>
      <c r="N42" s="568"/>
      <c r="O42" s="568"/>
      <c r="P42" s="573">
        <f t="shared" si="0"/>
        <v>10</v>
      </c>
    </row>
    <row r="43" spans="1:18" x14ac:dyDescent="0.25">
      <c r="A43" s="491">
        <v>1000439</v>
      </c>
      <c r="B43" s="55" t="s">
        <v>193</v>
      </c>
      <c r="C43" s="49"/>
      <c r="D43" s="56"/>
      <c r="E43" s="485"/>
      <c r="F43" s="568"/>
      <c r="G43" s="568"/>
      <c r="H43" s="568"/>
      <c r="I43" s="568"/>
      <c r="J43" s="568"/>
      <c r="K43" s="568"/>
      <c r="L43" s="568"/>
      <c r="M43" s="568"/>
      <c r="N43" s="568"/>
      <c r="O43" s="568"/>
      <c r="P43" s="572">
        <f t="shared" si="0"/>
        <v>0</v>
      </c>
    </row>
    <row r="44" spans="1:18" x14ac:dyDescent="0.25">
      <c r="A44" s="491">
        <v>1000080</v>
      </c>
      <c r="B44" s="55" t="s">
        <v>275</v>
      </c>
      <c r="C44" s="49"/>
      <c r="D44" s="56"/>
      <c r="E44" s="485"/>
      <c r="F44" s="568"/>
      <c r="G44" s="568"/>
      <c r="H44" s="568"/>
      <c r="I44" s="568"/>
      <c r="J44" s="568"/>
      <c r="K44" s="568"/>
      <c r="L44" s="568">
        <v>48</v>
      </c>
      <c r="M44" s="568"/>
      <c r="N44" s="568"/>
      <c r="O44" s="568"/>
      <c r="P44" s="573">
        <f t="shared" si="0"/>
        <v>48</v>
      </c>
    </row>
    <row r="45" spans="1:18" x14ac:dyDescent="0.25">
      <c r="A45" s="491">
        <v>1000436</v>
      </c>
      <c r="B45" s="55" t="s">
        <v>276</v>
      </c>
      <c r="C45" s="49"/>
      <c r="D45" s="56"/>
      <c r="E45" s="485"/>
      <c r="F45" s="568"/>
      <c r="G45" s="568"/>
      <c r="H45" s="568"/>
      <c r="I45" s="568"/>
      <c r="J45" s="568"/>
      <c r="K45" s="568"/>
      <c r="L45" s="568">
        <v>10</v>
      </c>
      <c r="M45" s="568"/>
      <c r="N45" s="568"/>
      <c r="O45" s="568"/>
      <c r="P45" s="573">
        <f t="shared" si="0"/>
        <v>10</v>
      </c>
    </row>
    <row r="46" spans="1:18" x14ac:dyDescent="0.25">
      <c r="A46" s="491">
        <v>1000550</v>
      </c>
      <c r="B46" s="55" t="s">
        <v>277</v>
      </c>
      <c r="C46" s="49"/>
      <c r="D46" s="56"/>
      <c r="E46" s="485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72">
        <f t="shared" si="0"/>
        <v>0</v>
      </c>
    </row>
    <row r="47" spans="1:18" x14ac:dyDescent="0.25">
      <c r="A47" s="491">
        <v>1000551</v>
      </c>
      <c r="B47" s="55" t="s">
        <v>278</v>
      </c>
      <c r="C47" s="49"/>
      <c r="D47" s="56"/>
      <c r="E47" s="485"/>
      <c r="F47" s="568"/>
      <c r="G47" s="568"/>
      <c r="H47" s="568"/>
      <c r="I47" s="568"/>
      <c r="J47" s="568"/>
      <c r="K47" s="568"/>
      <c r="L47" s="568"/>
      <c r="M47" s="568"/>
      <c r="N47" s="568"/>
      <c r="O47" s="568"/>
      <c r="P47" s="572">
        <f t="shared" si="0"/>
        <v>0</v>
      </c>
    </row>
    <row r="48" spans="1:18" ht="15.75" thickBot="1" x14ac:dyDescent="0.3">
      <c r="A48" s="243">
        <v>1000552</v>
      </c>
      <c r="B48" s="251" t="s">
        <v>279</v>
      </c>
      <c r="C48" s="496"/>
      <c r="D48" s="495"/>
      <c r="E48" s="496"/>
      <c r="F48" s="568"/>
      <c r="G48" s="568"/>
      <c r="H48" s="568"/>
      <c r="I48" s="568"/>
      <c r="J48" s="568"/>
      <c r="K48" s="568"/>
      <c r="L48" s="568"/>
      <c r="M48" s="568"/>
      <c r="N48" s="568"/>
      <c r="O48" s="568"/>
      <c r="P48" s="572">
        <f t="shared" si="0"/>
        <v>0</v>
      </c>
    </row>
    <row r="49" spans="1:16" ht="15.75" thickBot="1" x14ac:dyDescent="0.3">
      <c r="A49" s="491">
        <v>1000084</v>
      </c>
      <c r="B49" s="12" t="s">
        <v>38</v>
      </c>
      <c r="C49" s="485"/>
      <c r="D49" s="495"/>
      <c r="E49" s="485"/>
      <c r="F49" s="568">
        <v>4</v>
      </c>
      <c r="G49" s="568"/>
      <c r="H49" s="568"/>
      <c r="I49" s="568"/>
      <c r="J49" s="568"/>
      <c r="K49" s="568"/>
      <c r="L49" s="568">
        <v>4</v>
      </c>
      <c r="M49" s="568"/>
      <c r="N49" s="568"/>
      <c r="O49" s="568"/>
      <c r="P49" s="573">
        <f t="shared" si="0"/>
        <v>8</v>
      </c>
    </row>
    <row r="50" spans="1:16" ht="15.75" thickBot="1" x14ac:dyDescent="0.3">
      <c r="A50" s="491"/>
      <c r="B50" s="12" t="s">
        <v>495</v>
      </c>
      <c r="D50" s="495"/>
      <c r="F50" s="568">
        <v>1</v>
      </c>
      <c r="G50" s="568"/>
      <c r="H50" s="568"/>
      <c r="I50" s="568"/>
      <c r="J50" s="568"/>
      <c r="K50" s="568"/>
      <c r="L50" s="568"/>
      <c r="M50" s="568"/>
      <c r="N50" s="568"/>
      <c r="O50" s="568"/>
      <c r="P50" s="573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8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C3EB-89D6-4B80-B48D-82B35B6C6E16}">
  <sheetPr>
    <tabColor rgb="FF7030A0"/>
    <pageSetUpPr fitToPage="1"/>
  </sheetPr>
  <dimension ref="A1:Q51"/>
  <sheetViews>
    <sheetView zoomScale="85" zoomScaleNormal="85" workbookViewId="0">
      <selection activeCell="P29" sqref="P29"/>
    </sheetView>
  </sheetViews>
  <sheetFormatPr baseColWidth="10" defaultColWidth="10.875" defaultRowHeight="15" x14ac:dyDescent="0.25"/>
  <cols>
    <col min="1" max="1" width="10.375" style="146" customWidth="1"/>
    <col min="2" max="2" width="39.375" style="146" customWidth="1"/>
    <col min="3" max="3" width="1.375" style="146" customWidth="1"/>
    <col min="4" max="4" width="8.125" style="146" bestFit="1" customWidth="1"/>
    <col min="5" max="5" width="2.125" style="146" customWidth="1"/>
    <col min="6" max="6" width="8" style="146" customWidth="1"/>
    <col min="7" max="7" width="6.625" style="146" customWidth="1"/>
    <col min="8" max="8" width="8.375" style="146" customWidth="1"/>
    <col min="9" max="9" width="6.875" style="146" customWidth="1"/>
    <col min="10" max="10" width="7.875" style="146" customWidth="1"/>
    <col min="11" max="11" width="6.125" style="146" customWidth="1"/>
    <col min="12" max="12" width="8.625" style="146" customWidth="1"/>
    <col min="13" max="13" width="7.25" style="146" customWidth="1"/>
    <col min="14" max="14" width="8.25" style="146" customWidth="1"/>
    <col min="15" max="15" width="6" style="146" customWidth="1"/>
    <col min="16" max="16384" width="10.875" style="146"/>
  </cols>
  <sheetData>
    <row r="1" spans="1:16" ht="15" customHeight="1" x14ac:dyDescent="0.45">
      <c r="A1" s="686" t="s">
        <v>223</v>
      </c>
      <c r="B1" s="687"/>
      <c r="C1" s="18"/>
      <c r="D1" s="485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5" t="s">
        <v>375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486">
        <v>10000015</v>
      </c>
      <c r="B5" s="11" t="s">
        <v>1</v>
      </c>
      <c r="C5" s="487"/>
      <c r="D5" s="488"/>
      <c r="E5" s="485"/>
      <c r="F5" s="568">
        <v>5</v>
      </c>
      <c r="G5" s="568"/>
      <c r="H5" s="568"/>
      <c r="I5" s="568"/>
      <c r="J5" s="568"/>
      <c r="K5" s="568"/>
      <c r="L5" s="568"/>
      <c r="M5" s="568"/>
      <c r="N5" s="568"/>
      <c r="O5" s="568"/>
      <c r="P5" s="569">
        <f t="shared" ref="P5:P51" si="0">SUM(F5:O5)</f>
        <v>5</v>
      </c>
    </row>
    <row r="6" spans="1:16" x14ac:dyDescent="0.25">
      <c r="A6" s="491">
        <v>10000102</v>
      </c>
      <c r="B6" s="12" t="s">
        <v>2</v>
      </c>
      <c r="C6" s="487"/>
      <c r="D6" s="492"/>
      <c r="E6" s="485"/>
      <c r="F6" s="568"/>
      <c r="G6" s="568"/>
      <c r="H6" s="568"/>
      <c r="I6" s="568"/>
      <c r="J6" s="568"/>
      <c r="K6" s="568"/>
      <c r="L6" s="568"/>
      <c r="M6" s="568"/>
      <c r="N6" s="568"/>
      <c r="O6" s="568"/>
      <c r="P6" s="568">
        <f t="shared" si="0"/>
        <v>0</v>
      </c>
    </row>
    <row r="7" spans="1:16" x14ac:dyDescent="0.25">
      <c r="A7" s="491">
        <v>1000006</v>
      </c>
      <c r="B7" s="12" t="s">
        <v>4</v>
      </c>
      <c r="C7" s="487"/>
      <c r="D7" s="492"/>
      <c r="E7" s="485"/>
      <c r="F7" s="568">
        <v>50</v>
      </c>
      <c r="G7" s="568"/>
      <c r="H7" s="568"/>
      <c r="I7" s="568"/>
      <c r="J7" s="568"/>
      <c r="K7" s="568"/>
      <c r="L7" s="568"/>
      <c r="M7" s="568"/>
      <c r="N7" s="568"/>
      <c r="O7" s="568"/>
      <c r="P7" s="569">
        <f t="shared" si="0"/>
        <v>50</v>
      </c>
    </row>
    <row r="8" spans="1:16" x14ac:dyDescent="0.25">
      <c r="A8" s="491">
        <v>1000007</v>
      </c>
      <c r="B8" s="12" t="s">
        <v>5</v>
      </c>
      <c r="C8" s="487"/>
      <c r="D8" s="492"/>
      <c r="E8" s="485"/>
      <c r="F8" s="568">
        <v>50</v>
      </c>
      <c r="G8" s="568"/>
      <c r="H8" s="568"/>
      <c r="I8" s="568"/>
      <c r="J8" s="568"/>
      <c r="K8" s="568"/>
      <c r="L8" s="568"/>
      <c r="M8" s="568"/>
      <c r="N8" s="568"/>
      <c r="O8" s="568"/>
      <c r="P8" s="569">
        <f t="shared" si="0"/>
        <v>50</v>
      </c>
    </row>
    <row r="9" spans="1:16" x14ac:dyDescent="0.25">
      <c r="A9" s="491">
        <v>1000001</v>
      </c>
      <c r="B9" s="12" t="s">
        <v>8</v>
      </c>
      <c r="C9" s="487"/>
      <c r="D9" s="492"/>
      <c r="E9" s="485"/>
      <c r="F9" s="568">
        <v>3</v>
      </c>
      <c r="G9" s="568"/>
      <c r="H9" s="568"/>
      <c r="I9" s="568"/>
      <c r="J9" s="568"/>
      <c r="K9" s="568"/>
      <c r="L9" s="568"/>
      <c r="M9" s="568"/>
      <c r="N9" s="568"/>
      <c r="O9" s="568"/>
      <c r="P9" s="569">
        <f t="shared" si="0"/>
        <v>3</v>
      </c>
    </row>
    <row r="10" spans="1:16" x14ac:dyDescent="0.25">
      <c r="A10" s="491">
        <v>1000002</v>
      </c>
      <c r="B10" s="12" t="s">
        <v>9</v>
      </c>
      <c r="C10" s="487"/>
      <c r="D10" s="492"/>
      <c r="E10" s="485"/>
      <c r="F10" s="568">
        <v>3</v>
      </c>
      <c r="G10" s="568"/>
      <c r="H10" s="568"/>
      <c r="I10" s="568"/>
      <c r="J10" s="568"/>
      <c r="K10" s="568"/>
      <c r="L10" s="568"/>
      <c r="M10" s="568"/>
      <c r="N10" s="568"/>
      <c r="O10" s="568"/>
      <c r="P10" s="569">
        <f t="shared" si="0"/>
        <v>3</v>
      </c>
    </row>
    <row r="11" spans="1:16" x14ac:dyDescent="0.25">
      <c r="A11" s="491">
        <v>1000054</v>
      </c>
      <c r="B11" s="12" t="s">
        <v>12</v>
      </c>
      <c r="C11" s="487"/>
      <c r="D11" s="492"/>
      <c r="E11" s="485"/>
      <c r="F11" s="568">
        <v>10</v>
      </c>
      <c r="G11" s="568"/>
      <c r="H11" s="568"/>
      <c r="I11" s="568"/>
      <c r="J11" s="568"/>
      <c r="K11" s="568"/>
      <c r="L11" s="568"/>
      <c r="M11" s="568"/>
      <c r="N11" s="568"/>
      <c r="O11" s="568"/>
      <c r="P11" s="569">
        <f t="shared" si="0"/>
        <v>10</v>
      </c>
    </row>
    <row r="12" spans="1:16" x14ac:dyDescent="0.25">
      <c r="A12" s="491">
        <v>1000472</v>
      </c>
      <c r="B12" s="12" t="s">
        <v>222</v>
      </c>
      <c r="C12" s="487"/>
      <c r="D12" s="492"/>
      <c r="E12" s="485"/>
      <c r="F12" s="568"/>
      <c r="G12" s="568"/>
      <c r="H12" s="568"/>
      <c r="I12" s="568"/>
      <c r="J12" s="568"/>
      <c r="K12" s="568"/>
      <c r="L12" s="568"/>
      <c r="M12" s="568"/>
      <c r="N12" s="568"/>
      <c r="O12" s="568"/>
      <c r="P12" s="568">
        <f t="shared" si="0"/>
        <v>0</v>
      </c>
    </row>
    <row r="13" spans="1:16" x14ac:dyDescent="0.25">
      <c r="A13" s="491">
        <v>1000017</v>
      </c>
      <c r="B13" s="12" t="s">
        <v>14</v>
      </c>
      <c r="C13" s="487"/>
      <c r="D13" s="492"/>
      <c r="E13" s="485"/>
      <c r="F13" s="568">
        <v>20</v>
      </c>
      <c r="G13" s="568"/>
      <c r="H13" s="568"/>
      <c r="I13" s="568"/>
      <c r="J13" s="568"/>
      <c r="K13" s="568"/>
      <c r="L13" s="568"/>
      <c r="M13" s="568"/>
      <c r="N13" s="568"/>
      <c r="O13" s="568"/>
      <c r="P13" s="569">
        <f t="shared" si="0"/>
        <v>20</v>
      </c>
    </row>
    <row r="14" spans="1:16" x14ac:dyDescent="0.25">
      <c r="A14" s="491">
        <v>1000016</v>
      </c>
      <c r="B14" s="12" t="s">
        <v>15</v>
      </c>
      <c r="C14" s="487"/>
      <c r="D14" s="492"/>
      <c r="E14" s="485"/>
      <c r="F14" s="568">
        <v>10</v>
      </c>
      <c r="G14" s="568"/>
      <c r="H14" s="568"/>
      <c r="I14" s="568"/>
      <c r="J14" s="568"/>
      <c r="K14" s="568"/>
      <c r="L14" s="568"/>
      <c r="M14" s="568"/>
      <c r="N14" s="568"/>
      <c r="O14" s="568"/>
      <c r="P14" s="569">
        <f t="shared" si="0"/>
        <v>10</v>
      </c>
    </row>
    <row r="15" spans="1:16" x14ac:dyDescent="0.25">
      <c r="A15" s="491">
        <v>1000041</v>
      </c>
      <c r="B15" s="12" t="s">
        <v>16</v>
      </c>
      <c r="C15" s="487"/>
      <c r="D15" s="492"/>
      <c r="E15" s="485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8">
        <f t="shared" si="0"/>
        <v>0</v>
      </c>
    </row>
    <row r="16" spans="1:16" x14ac:dyDescent="0.25">
      <c r="A16" s="491">
        <v>1000049</v>
      </c>
      <c r="B16" s="12" t="s">
        <v>21</v>
      </c>
      <c r="C16" s="487"/>
      <c r="D16" s="492"/>
      <c r="E16" s="485"/>
      <c r="F16" s="568">
        <v>2</v>
      </c>
      <c r="G16" s="568"/>
      <c r="H16" s="568"/>
      <c r="I16" s="568"/>
      <c r="J16" s="568"/>
      <c r="K16" s="568"/>
      <c r="L16" s="568"/>
      <c r="M16" s="568"/>
      <c r="N16" s="568"/>
      <c r="O16" s="568"/>
      <c r="P16" s="569">
        <f t="shared" si="0"/>
        <v>2</v>
      </c>
    </row>
    <row r="17" spans="1:16" x14ac:dyDescent="0.25">
      <c r="A17" s="491">
        <v>1000050</v>
      </c>
      <c r="B17" s="12" t="s">
        <v>22</v>
      </c>
      <c r="C17" s="487"/>
      <c r="D17" s="492"/>
      <c r="E17" s="485"/>
      <c r="F17" s="568">
        <v>2</v>
      </c>
      <c r="G17" s="568"/>
      <c r="H17" s="568"/>
      <c r="I17" s="568"/>
      <c r="J17" s="568"/>
      <c r="K17" s="568"/>
      <c r="L17" s="568"/>
      <c r="M17" s="568"/>
      <c r="N17" s="568"/>
      <c r="O17" s="568"/>
      <c r="P17" s="569">
        <f t="shared" si="0"/>
        <v>2</v>
      </c>
    </row>
    <row r="18" spans="1:16" x14ac:dyDescent="0.25">
      <c r="A18" s="491">
        <v>1000031</v>
      </c>
      <c r="B18" s="12" t="s">
        <v>25</v>
      </c>
      <c r="C18" s="487"/>
      <c r="D18" s="492"/>
      <c r="E18" s="485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8">
        <f t="shared" si="0"/>
        <v>0</v>
      </c>
    </row>
    <row r="19" spans="1:16" x14ac:dyDescent="0.25">
      <c r="A19" s="491">
        <v>1000026</v>
      </c>
      <c r="B19" s="12" t="s">
        <v>31</v>
      </c>
      <c r="C19" s="487"/>
      <c r="D19" s="492"/>
      <c r="E19" s="485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>
        <f t="shared" si="0"/>
        <v>0</v>
      </c>
    </row>
    <row r="20" spans="1:16" x14ac:dyDescent="0.25">
      <c r="A20" s="491">
        <v>1000025</v>
      </c>
      <c r="B20" s="12" t="s">
        <v>32</v>
      </c>
      <c r="C20" s="487"/>
      <c r="D20" s="492"/>
      <c r="E20" s="485"/>
      <c r="F20" s="568">
        <v>5</v>
      </c>
      <c r="G20" s="568"/>
      <c r="H20" s="568"/>
      <c r="I20" s="568"/>
      <c r="J20" s="568"/>
      <c r="K20" s="568"/>
      <c r="L20" s="568"/>
      <c r="M20" s="568"/>
      <c r="N20" s="568"/>
      <c r="O20" s="568"/>
      <c r="P20" s="569">
        <f t="shared" si="0"/>
        <v>5</v>
      </c>
    </row>
    <row r="21" spans="1:16" x14ac:dyDescent="0.25">
      <c r="A21" s="491">
        <v>1000100</v>
      </c>
      <c r="B21" s="12" t="s">
        <v>34</v>
      </c>
      <c r="C21" s="487"/>
      <c r="D21" s="492"/>
      <c r="E21" s="485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>
        <f t="shared" si="0"/>
        <v>0</v>
      </c>
    </row>
    <row r="22" spans="1:16" x14ac:dyDescent="0.25">
      <c r="A22" s="491">
        <v>1000073</v>
      </c>
      <c r="B22" s="12" t="s">
        <v>36</v>
      </c>
      <c r="C22" s="487"/>
      <c r="D22" s="492"/>
      <c r="E22" s="485"/>
      <c r="F22" s="568"/>
      <c r="G22" s="568"/>
      <c r="H22" s="568"/>
      <c r="I22" s="568"/>
      <c r="J22" s="568"/>
      <c r="K22" s="568"/>
      <c r="L22" s="568"/>
      <c r="M22" s="568"/>
      <c r="N22" s="568"/>
      <c r="O22" s="568"/>
      <c r="P22" s="568">
        <f t="shared" si="0"/>
        <v>0</v>
      </c>
    </row>
    <row r="23" spans="1:16" x14ac:dyDescent="0.25">
      <c r="A23" s="491">
        <v>1000383</v>
      </c>
      <c r="B23" s="12" t="s">
        <v>264</v>
      </c>
      <c r="C23" s="487"/>
      <c r="D23" s="492"/>
      <c r="E23" s="485"/>
      <c r="F23" s="568"/>
      <c r="G23" s="568"/>
      <c r="H23" s="568"/>
      <c r="I23" s="568"/>
      <c r="J23" s="568"/>
      <c r="K23" s="568"/>
      <c r="L23" s="568"/>
      <c r="M23" s="568"/>
      <c r="N23" s="568"/>
      <c r="O23" s="568"/>
      <c r="P23" s="568">
        <f t="shared" si="0"/>
        <v>0</v>
      </c>
    </row>
    <row r="24" spans="1:16" x14ac:dyDescent="0.25">
      <c r="A24" s="491">
        <v>1000486</v>
      </c>
      <c r="B24" s="12" t="s">
        <v>263</v>
      </c>
      <c r="C24" s="487"/>
      <c r="D24" s="492"/>
      <c r="E24" s="485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68">
        <f t="shared" si="0"/>
        <v>0</v>
      </c>
    </row>
    <row r="25" spans="1:16" x14ac:dyDescent="0.25">
      <c r="A25" s="491">
        <v>10248</v>
      </c>
      <c r="B25" s="12" t="s">
        <v>183</v>
      </c>
      <c r="C25" s="487"/>
      <c r="D25" s="492"/>
      <c r="E25" s="485"/>
      <c r="F25" s="568">
        <v>3</v>
      </c>
      <c r="G25" s="568"/>
      <c r="H25" s="568"/>
      <c r="I25" s="568"/>
      <c r="J25" s="568"/>
      <c r="K25" s="568"/>
      <c r="L25" s="568"/>
      <c r="M25" s="568"/>
      <c r="N25" s="568"/>
      <c r="O25" s="568"/>
      <c r="P25" s="569">
        <f t="shared" si="0"/>
        <v>3</v>
      </c>
    </row>
    <row r="26" spans="1:16" x14ac:dyDescent="0.25">
      <c r="A26" s="491">
        <v>1000052</v>
      </c>
      <c r="B26" s="12" t="s">
        <v>41</v>
      </c>
      <c r="C26" s="487"/>
      <c r="D26" s="492"/>
      <c r="E26" s="485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812">
        <f t="shared" si="0"/>
        <v>0</v>
      </c>
    </row>
    <row r="27" spans="1:16" x14ac:dyDescent="0.25">
      <c r="A27" s="491">
        <v>1000089</v>
      </c>
      <c r="B27" s="12" t="s">
        <v>42</v>
      </c>
      <c r="C27" s="487"/>
      <c r="D27" s="492"/>
      <c r="E27" s="485"/>
      <c r="F27" s="568"/>
      <c r="G27" s="568"/>
      <c r="H27" s="568"/>
      <c r="I27" s="568"/>
      <c r="J27" s="568"/>
      <c r="K27" s="568"/>
      <c r="L27" s="568"/>
      <c r="M27" s="568"/>
      <c r="N27" s="568"/>
      <c r="O27" s="568"/>
      <c r="P27" s="812">
        <f t="shared" si="0"/>
        <v>0</v>
      </c>
    </row>
    <row r="28" spans="1:16" x14ac:dyDescent="0.25">
      <c r="A28" s="491">
        <v>1000051</v>
      </c>
      <c r="B28" s="12" t="s">
        <v>43</v>
      </c>
      <c r="C28" s="487"/>
      <c r="D28" s="492"/>
      <c r="E28" s="485"/>
      <c r="F28" s="568"/>
      <c r="G28" s="568"/>
      <c r="H28" s="568"/>
      <c r="I28" s="568"/>
      <c r="J28" s="568"/>
      <c r="K28" s="568"/>
      <c r="L28" s="568"/>
      <c r="M28" s="568"/>
      <c r="N28" s="568"/>
      <c r="O28" s="568"/>
      <c r="P28" s="812">
        <f t="shared" si="0"/>
        <v>0</v>
      </c>
    </row>
    <row r="29" spans="1:16" x14ac:dyDescent="0.25">
      <c r="A29" s="491">
        <v>1000048</v>
      </c>
      <c r="B29" s="12" t="s">
        <v>45</v>
      </c>
      <c r="C29" s="487"/>
      <c r="D29" s="492"/>
      <c r="E29" s="485"/>
      <c r="F29" s="568">
        <v>1</v>
      </c>
      <c r="G29" s="568"/>
      <c r="H29" s="568"/>
      <c r="I29" s="568"/>
      <c r="J29" s="568"/>
      <c r="K29" s="568"/>
      <c r="L29" s="568"/>
      <c r="M29" s="568"/>
      <c r="N29" s="568"/>
      <c r="O29" s="568"/>
      <c r="P29" s="569">
        <f t="shared" si="0"/>
        <v>1</v>
      </c>
    </row>
    <row r="30" spans="1:16" x14ac:dyDescent="0.25">
      <c r="A30" s="491">
        <v>1000076</v>
      </c>
      <c r="B30" s="12" t="s">
        <v>46</v>
      </c>
      <c r="C30" s="487"/>
      <c r="D30" s="492"/>
      <c r="E30" s="485"/>
      <c r="F30" s="568"/>
      <c r="G30" s="568"/>
      <c r="H30" s="568"/>
      <c r="I30" s="568"/>
      <c r="J30" s="568"/>
      <c r="K30" s="568"/>
      <c r="L30" s="568"/>
      <c r="M30" s="568"/>
      <c r="N30" s="568"/>
      <c r="O30" s="568"/>
      <c r="P30" s="568">
        <f t="shared" si="0"/>
        <v>0</v>
      </c>
    </row>
    <row r="31" spans="1:16" x14ac:dyDescent="0.25">
      <c r="A31" s="491">
        <v>1000142</v>
      </c>
      <c r="B31" s="12" t="s">
        <v>54</v>
      </c>
      <c r="C31" s="487"/>
      <c r="D31" s="492"/>
      <c r="E31" s="485"/>
      <c r="F31" s="568"/>
      <c r="G31" s="568"/>
      <c r="H31" s="568"/>
      <c r="I31" s="568"/>
      <c r="J31" s="568"/>
      <c r="K31" s="568"/>
      <c r="L31" s="568"/>
      <c r="M31" s="568"/>
      <c r="N31" s="568"/>
      <c r="O31" s="568"/>
      <c r="P31" s="568">
        <f t="shared" si="0"/>
        <v>0</v>
      </c>
    </row>
    <row r="32" spans="1:16" x14ac:dyDescent="0.25">
      <c r="A32" s="491">
        <v>1000008</v>
      </c>
      <c r="B32" s="12" t="s">
        <v>7</v>
      </c>
      <c r="C32" s="487"/>
      <c r="D32" s="492"/>
      <c r="E32" s="485"/>
      <c r="F32" s="568"/>
      <c r="G32" s="568"/>
      <c r="H32" s="568"/>
      <c r="I32" s="568"/>
      <c r="J32" s="568"/>
      <c r="K32" s="568"/>
      <c r="L32" s="568"/>
      <c r="M32" s="568"/>
      <c r="N32" s="568"/>
      <c r="O32" s="568"/>
      <c r="P32" s="568">
        <f t="shared" si="0"/>
        <v>0</v>
      </c>
    </row>
    <row r="33" spans="1:17" s="15" customFormat="1" ht="15.95" customHeight="1" x14ac:dyDescent="0.25">
      <c r="A33" s="491">
        <v>1000082</v>
      </c>
      <c r="B33" s="12" t="s">
        <v>37</v>
      </c>
      <c r="C33" s="487"/>
      <c r="D33" s="492"/>
      <c r="E33" s="485"/>
      <c r="F33" s="568"/>
      <c r="G33" s="568"/>
      <c r="H33" s="568"/>
      <c r="I33" s="568"/>
      <c r="J33" s="568"/>
      <c r="K33" s="568"/>
      <c r="L33" s="568"/>
      <c r="M33" s="568"/>
      <c r="N33" s="568"/>
      <c r="O33" s="568"/>
      <c r="P33" s="568">
        <f t="shared" si="0"/>
        <v>0</v>
      </c>
    </row>
    <row r="34" spans="1:17" x14ac:dyDescent="0.25">
      <c r="A34" s="491">
        <v>1000084</v>
      </c>
      <c r="B34" s="12" t="s">
        <v>38</v>
      </c>
      <c r="C34" s="487"/>
      <c r="D34" s="492"/>
      <c r="E34" s="485"/>
      <c r="F34" s="568">
        <v>4</v>
      </c>
      <c r="G34" s="568"/>
      <c r="H34" s="568"/>
      <c r="I34" s="568"/>
      <c r="J34" s="568"/>
      <c r="K34" s="568"/>
      <c r="L34" s="568"/>
      <c r="M34" s="568"/>
      <c r="N34" s="568"/>
      <c r="O34" s="568"/>
      <c r="P34" s="569">
        <f t="shared" si="0"/>
        <v>4</v>
      </c>
    </row>
    <row r="35" spans="1:17" x14ac:dyDescent="0.25">
      <c r="A35" s="491">
        <v>1000033</v>
      </c>
      <c r="B35" s="12" t="s">
        <v>27</v>
      </c>
      <c r="C35" s="487"/>
      <c r="D35" s="492"/>
      <c r="E35" s="485"/>
      <c r="F35" s="568">
        <v>1</v>
      </c>
      <c r="G35" s="568"/>
      <c r="H35" s="568"/>
      <c r="I35" s="568"/>
      <c r="J35" s="568"/>
      <c r="K35" s="568"/>
      <c r="L35" s="568"/>
      <c r="M35" s="568"/>
      <c r="N35" s="568"/>
      <c r="O35" s="568"/>
      <c r="P35" s="569">
        <f t="shared" si="0"/>
        <v>1</v>
      </c>
    </row>
    <row r="36" spans="1:17" x14ac:dyDescent="0.25">
      <c r="A36" s="491">
        <v>1000067</v>
      </c>
      <c r="B36" s="12" t="s">
        <v>11</v>
      </c>
      <c r="C36" s="487"/>
      <c r="D36" s="492"/>
      <c r="E36" s="485"/>
      <c r="F36" s="568">
        <v>3</v>
      </c>
      <c r="G36" s="568"/>
      <c r="H36" s="568"/>
      <c r="I36" s="568"/>
      <c r="J36" s="568"/>
      <c r="K36" s="568"/>
      <c r="L36" s="568"/>
      <c r="M36" s="568"/>
      <c r="N36" s="568"/>
      <c r="O36" s="568"/>
      <c r="P36" s="569">
        <f t="shared" si="0"/>
        <v>3</v>
      </c>
    </row>
    <row r="37" spans="1:17" x14ac:dyDescent="0.25">
      <c r="A37" s="491">
        <v>1000147</v>
      </c>
      <c r="B37" s="12" t="s">
        <v>52</v>
      </c>
      <c r="C37" s="487"/>
      <c r="D37" s="492"/>
      <c r="E37" s="485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>
        <f t="shared" si="0"/>
        <v>0</v>
      </c>
    </row>
    <row r="38" spans="1:17" x14ac:dyDescent="0.25">
      <c r="A38" s="491">
        <v>1000004</v>
      </c>
      <c r="B38" s="12" t="s">
        <v>10</v>
      </c>
      <c r="C38" s="487"/>
      <c r="D38" s="492"/>
      <c r="E38" s="485"/>
      <c r="F38" s="568">
        <v>3</v>
      </c>
      <c r="G38" s="568"/>
      <c r="H38" s="568"/>
      <c r="I38" s="568"/>
      <c r="J38" s="568"/>
      <c r="K38" s="568"/>
      <c r="L38" s="568"/>
      <c r="M38" s="568"/>
      <c r="N38" s="568"/>
      <c r="O38" s="568"/>
      <c r="P38" s="569">
        <f t="shared" si="0"/>
        <v>3</v>
      </c>
    </row>
    <row r="39" spans="1:17" x14ac:dyDescent="0.25">
      <c r="A39" s="491">
        <v>1000027</v>
      </c>
      <c r="B39" s="12" t="s">
        <v>33</v>
      </c>
      <c r="C39" s="487"/>
      <c r="D39" s="492"/>
      <c r="E39" s="485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>
        <f t="shared" si="0"/>
        <v>0</v>
      </c>
    </row>
    <row r="40" spans="1:17" x14ac:dyDescent="0.25">
      <c r="A40" s="491">
        <v>1000034</v>
      </c>
      <c r="B40" s="12" t="s">
        <v>28</v>
      </c>
      <c r="C40" s="487"/>
      <c r="D40" s="492"/>
      <c r="E40" s="485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>
        <f t="shared" si="0"/>
        <v>0</v>
      </c>
    </row>
    <row r="41" spans="1:17" x14ac:dyDescent="0.25">
      <c r="A41" s="491">
        <v>1000045</v>
      </c>
      <c r="B41" s="12" t="s">
        <v>23</v>
      </c>
      <c r="C41" s="487"/>
      <c r="D41" s="492"/>
      <c r="E41" s="485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>
        <f t="shared" si="0"/>
        <v>0</v>
      </c>
    </row>
    <row r="42" spans="1:17" x14ac:dyDescent="0.25">
      <c r="A42" s="491">
        <v>1000029</v>
      </c>
      <c r="B42" s="12" t="s">
        <v>30</v>
      </c>
      <c r="C42" s="487"/>
      <c r="D42" s="492"/>
      <c r="E42" s="485"/>
      <c r="F42" s="568">
        <v>3</v>
      </c>
      <c r="G42" s="568"/>
      <c r="H42" s="568"/>
      <c r="I42" s="568"/>
      <c r="J42" s="568"/>
      <c r="K42" s="568"/>
      <c r="L42" s="568"/>
      <c r="M42" s="568"/>
      <c r="N42" s="568"/>
      <c r="O42" s="568"/>
      <c r="P42" s="569">
        <f t="shared" si="0"/>
        <v>3</v>
      </c>
    </row>
    <row r="43" spans="1:17" x14ac:dyDescent="0.25">
      <c r="A43" s="491">
        <v>1000057</v>
      </c>
      <c r="B43" s="12" t="s">
        <v>70</v>
      </c>
      <c r="C43" s="487"/>
      <c r="D43" s="492"/>
      <c r="E43" s="485"/>
      <c r="F43" s="568"/>
      <c r="G43" s="568"/>
      <c r="H43" s="568"/>
      <c r="I43" s="568"/>
      <c r="J43" s="568"/>
      <c r="K43" s="568"/>
      <c r="L43" s="568"/>
      <c r="M43" s="568"/>
      <c r="N43" s="568"/>
      <c r="O43" s="568"/>
      <c r="P43" s="568">
        <f t="shared" si="0"/>
        <v>0</v>
      </c>
    </row>
    <row r="44" spans="1:17" x14ac:dyDescent="0.25">
      <c r="A44" s="491">
        <v>1000075</v>
      </c>
      <c r="B44" s="12" t="s">
        <v>47</v>
      </c>
      <c r="C44" s="487"/>
      <c r="D44" s="492"/>
      <c r="E44" s="485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8">
        <f t="shared" si="0"/>
        <v>0</v>
      </c>
    </row>
    <row r="45" spans="1:17" x14ac:dyDescent="0.25">
      <c r="A45" s="491">
        <v>1000070</v>
      </c>
      <c r="B45" s="12" t="s">
        <v>13</v>
      </c>
      <c r="C45" s="487"/>
      <c r="D45" s="492"/>
      <c r="E45" s="485"/>
      <c r="F45" s="568">
        <v>3</v>
      </c>
      <c r="G45" s="568"/>
      <c r="H45" s="568"/>
      <c r="I45" s="568"/>
      <c r="J45" s="568"/>
      <c r="K45" s="568"/>
      <c r="L45" s="568"/>
      <c r="M45" s="568"/>
      <c r="N45" s="568"/>
      <c r="O45" s="568"/>
      <c r="P45" s="569">
        <f t="shared" si="0"/>
        <v>3</v>
      </c>
    </row>
    <row r="46" spans="1:17" x14ac:dyDescent="0.25">
      <c r="A46" s="491">
        <v>1000090</v>
      </c>
      <c r="B46" s="12" t="s">
        <v>40</v>
      </c>
      <c r="C46" s="487"/>
      <c r="D46" s="492"/>
      <c r="E46" s="485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>
        <f t="shared" si="0"/>
        <v>0</v>
      </c>
    </row>
    <row r="47" spans="1:17" ht="15.75" x14ac:dyDescent="0.25">
      <c r="A47" s="491">
        <v>1000080</v>
      </c>
      <c r="B47" s="12" t="s">
        <v>275</v>
      </c>
      <c r="C47" s="487"/>
      <c r="D47" s="492"/>
      <c r="E47" s="485"/>
      <c r="F47" s="568"/>
      <c r="G47" s="568"/>
      <c r="H47" s="568"/>
      <c r="I47" s="568"/>
      <c r="J47" s="568"/>
      <c r="K47" s="568"/>
      <c r="L47" s="568"/>
      <c r="M47" s="568"/>
      <c r="N47" s="568"/>
      <c r="O47" s="568"/>
      <c r="P47" s="568">
        <f t="shared" si="0"/>
        <v>0</v>
      </c>
      <c r="Q47"/>
    </row>
    <row r="48" spans="1:17" x14ac:dyDescent="0.25">
      <c r="A48" s="491">
        <v>1000436</v>
      </c>
      <c r="B48" s="12" t="s">
        <v>276</v>
      </c>
      <c r="C48" s="487"/>
      <c r="D48" s="492"/>
      <c r="E48" s="485"/>
      <c r="F48" s="568">
        <v>10</v>
      </c>
      <c r="G48" s="568"/>
      <c r="H48" s="568"/>
      <c r="I48" s="568"/>
      <c r="J48" s="568"/>
      <c r="K48" s="568"/>
      <c r="L48" s="568"/>
      <c r="M48" s="568"/>
      <c r="N48" s="568"/>
      <c r="O48" s="568"/>
      <c r="P48" s="569">
        <f t="shared" si="0"/>
        <v>10</v>
      </c>
    </row>
    <row r="49" spans="1:16" x14ac:dyDescent="0.25">
      <c r="A49" s="491">
        <v>1000550</v>
      </c>
      <c r="B49" s="12" t="s">
        <v>277</v>
      </c>
      <c r="C49" s="487"/>
      <c r="D49" s="492"/>
      <c r="E49" s="485"/>
      <c r="F49" s="568">
        <v>8</v>
      </c>
      <c r="G49" s="568"/>
      <c r="H49" s="568"/>
      <c r="I49" s="568"/>
      <c r="J49" s="568"/>
      <c r="K49" s="568"/>
      <c r="L49" s="568"/>
      <c r="M49" s="568"/>
      <c r="N49" s="568"/>
      <c r="O49" s="568"/>
      <c r="P49" s="569">
        <f t="shared" si="0"/>
        <v>8</v>
      </c>
    </row>
    <row r="50" spans="1:16" x14ac:dyDescent="0.25">
      <c r="A50" s="491">
        <v>1000551</v>
      </c>
      <c r="B50" s="12" t="s">
        <v>278</v>
      </c>
      <c r="C50" s="487"/>
      <c r="D50" s="492"/>
      <c r="E50" s="485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>
        <f t="shared" si="0"/>
        <v>0</v>
      </c>
    </row>
    <row r="51" spans="1:16" ht="16.5" thickBot="1" x14ac:dyDescent="0.3">
      <c r="A51" s="207">
        <v>1000552</v>
      </c>
      <c r="B51" s="246" t="s">
        <v>279</v>
      </c>
      <c r="C51"/>
      <c r="D51" s="495"/>
      <c r="E51" s="496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4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0060-C511-4853-8DD9-FBE7D38B62F8}">
  <sheetPr>
    <tabColor rgb="FF7030A0"/>
    <pageSetUpPr fitToPage="1"/>
  </sheetPr>
  <dimension ref="A1:S61"/>
  <sheetViews>
    <sheetView workbookViewId="0">
      <selection activeCell="Q53" sqref="Q53"/>
    </sheetView>
  </sheetViews>
  <sheetFormatPr baseColWidth="10" defaultRowHeight="15.75" x14ac:dyDescent="0.25"/>
  <cols>
    <col min="2" max="2" width="34.5" customWidth="1"/>
    <col min="3" max="3" width="1" customWidth="1"/>
    <col min="5" max="5" width="0.875" customWidth="1"/>
    <col min="6" max="6" width="9.625" customWidth="1"/>
    <col min="7" max="7" width="6.75" customWidth="1"/>
    <col min="8" max="8" width="9.25" customWidth="1"/>
    <col min="9" max="9" width="6" customWidth="1"/>
    <col min="10" max="10" width="8.125" customWidth="1"/>
    <col min="11" max="11" width="6" customWidth="1"/>
    <col min="12" max="12" width="9.125" customWidth="1"/>
    <col min="13" max="13" width="5.5" customWidth="1"/>
    <col min="14" max="14" width="9" customWidth="1"/>
    <col min="15" max="15" width="6" customWidth="1"/>
  </cols>
  <sheetData>
    <row r="1" spans="1:16" ht="18.75" customHeight="1" x14ac:dyDescent="0.45">
      <c r="A1" s="686" t="s">
        <v>254</v>
      </c>
      <c r="B1" s="687"/>
      <c r="C1" s="18"/>
      <c r="D1" s="779" t="s">
        <v>362</v>
      </c>
      <c r="E1" s="188"/>
      <c r="F1" s="751" t="s">
        <v>474</v>
      </c>
      <c r="G1" s="752"/>
      <c r="H1" s="752"/>
      <c r="I1" s="752"/>
      <c r="J1" s="753"/>
      <c r="K1" s="2"/>
      <c r="L1" s="188"/>
      <c r="M1" s="188"/>
      <c r="N1" s="188"/>
      <c r="O1" s="188"/>
      <c r="P1" s="188"/>
    </row>
    <row r="2" spans="1:16" ht="18.75" customHeight="1" thickBot="1" x14ac:dyDescent="0.5">
      <c r="A2" s="688"/>
      <c r="B2" s="689"/>
      <c r="C2" s="18"/>
      <c r="D2" s="779"/>
      <c r="E2" s="3"/>
      <c r="F2" s="754"/>
      <c r="G2" s="755"/>
      <c r="H2" s="755"/>
      <c r="I2" s="755"/>
      <c r="J2" s="756"/>
      <c r="K2" s="2"/>
      <c r="L2" s="3"/>
      <c r="M2" s="3"/>
      <c r="N2" s="3"/>
      <c r="O2" s="3"/>
      <c r="P2" s="3"/>
    </row>
    <row r="3" spans="1:16" ht="19.5" customHeight="1" thickBot="1" x14ac:dyDescent="0.3">
      <c r="A3" s="5"/>
      <c r="B3" s="5" t="s">
        <v>375</v>
      </c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188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189">
        <v>10000102</v>
      </c>
      <c r="B5" s="11" t="s">
        <v>2</v>
      </c>
      <c r="C5" s="190"/>
      <c r="D5" s="198">
        <v>0</v>
      </c>
      <c r="E5" s="188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>
        <f t="shared" ref="P5:P61" si="0">SUM(F5:O5)</f>
        <v>0</v>
      </c>
    </row>
    <row r="6" spans="1:16" x14ac:dyDescent="0.25">
      <c r="A6" s="193">
        <v>1000006</v>
      </c>
      <c r="B6" s="12" t="s">
        <v>4</v>
      </c>
      <c r="C6" s="190"/>
      <c r="D6" s="199">
        <v>85</v>
      </c>
      <c r="E6" s="188"/>
      <c r="F6" s="570">
        <v>50</v>
      </c>
      <c r="G6" s="570"/>
      <c r="H6" s="570"/>
      <c r="I6" s="570"/>
      <c r="J6" s="570"/>
      <c r="K6" s="570"/>
      <c r="L6" s="570">
        <v>50</v>
      </c>
      <c r="M6" s="570"/>
      <c r="N6" s="570"/>
      <c r="O6" s="570"/>
      <c r="P6" s="571">
        <f t="shared" si="0"/>
        <v>100</v>
      </c>
    </row>
    <row r="7" spans="1:16" x14ac:dyDescent="0.25">
      <c r="A7" s="193">
        <v>1000007</v>
      </c>
      <c r="B7" s="12" t="s">
        <v>5</v>
      </c>
      <c r="C7" s="190"/>
      <c r="D7" s="199">
        <v>90</v>
      </c>
      <c r="E7" s="188"/>
      <c r="F7" s="570">
        <v>50</v>
      </c>
      <c r="G7" s="570"/>
      <c r="H7" s="570"/>
      <c r="I7" s="570"/>
      <c r="J7" s="570"/>
      <c r="K7" s="570"/>
      <c r="L7" s="570">
        <v>50</v>
      </c>
      <c r="M7" s="570"/>
      <c r="N7" s="570"/>
      <c r="O7" s="570"/>
      <c r="P7" s="571">
        <f t="shared" si="0"/>
        <v>100</v>
      </c>
    </row>
    <row r="8" spans="1:16" x14ac:dyDescent="0.25">
      <c r="A8" s="193">
        <v>1000008</v>
      </c>
      <c r="B8" s="12" t="s">
        <v>7</v>
      </c>
      <c r="C8" s="190"/>
      <c r="D8" s="199">
        <v>75</v>
      </c>
      <c r="E8" s="188"/>
      <c r="F8" s="570"/>
      <c r="G8" s="570"/>
      <c r="H8" s="570"/>
      <c r="I8" s="570"/>
      <c r="J8" s="570"/>
      <c r="K8" s="570"/>
      <c r="L8" s="570"/>
      <c r="M8" s="570"/>
      <c r="N8" s="570"/>
      <c r="O8" s="570"/>
      <c r="P8" s="570">
        <f t="shared" si="0"/>
        <v>0</v>
      </c>
    </row>
    <row r="9" spans="1:16" x14ac:dyDescent="0.25">
      <c r="A9" s="193">
        <v>1000001</v>
      </c>
      <c r="B9" s="12" t="s">
        <v>8</v>
      </c>
      <c r="C9" s="190"/>
      <c r="D9" s="199">
        <v>2</v>
      </c>
      <c r="E9" s="188"/>
      <c r="F9" s="570">
        <v>2</v>
      </c>
      <c r="G9" s="570"/>
      <c r="H9" s="570"/>
      <c r="I9" s="570"/>
      <c r="J9" s="570"/>
      <c r="K9" s="570"/>
      <c r="L9" s="570">
        <v>2</v>
      </c>
      <c r="M9" s="570"/>
      <c r="N9" s="570"/>
      <c r="O9" s="570"/>
      <c r="P9" s="571">
        <f t="shared" si="0"/>
        <v>4</v>
      </c>
    </row>
    <row r="10" spans="1:16" x14ac:dyDescent="0.25">
      <c r="A10" s="193">
        <v>1000002</v>
      </c>
      <c r="B10" s="12" t="s">
        <v>9</v>
      </c>
      <c r="C10" s="190"/>
      <c r="D10" s="199">
        <v>1</v>
      </c>
      <c r="E10" s="188"/>
      <c r="F10" s="570"/>
      <c r="G10" s="570"/>
      <c r="H10" s="570"/>
      <c r="I10" s="570"/>
      <c r="J10" s="570"/>
      <c r="K10" s="570"/>
      <c r="L10" s="570"/>
      <c r="M10" s="570"/>
      <c r="N10" s="570"/>
      <c r="O10" s="570"/>
      <c r="P10" s="570">
        <f t="shared" si="0"/>
        <v>0</v>
      </c>
    </row>
    <row r="11" spans="1:16" x14ac:dyDescent="0.25">
      <c r="A11" s="193">
        <v>1000067</v>
      </c>
      <c r="B11" s="12" t="s">
        <v>11</v>
      </c>
      <c r="C11" s="190"/>
      <c r="D11" s="199">
        <v>0</v>
      </c>
      <c r="E11" s="188"/>
      <c r="F11" s="570">
        <v>1</v>
      </c>
      <c r="G11" s="570"/>
      <c r="H11" s="570"/>
      <c r="I11" s="570"/>
      <c r="J11" s="570"/>
      <c r="K11" s="570"/>
      <c r="L11" s="570">
        <v>1</v>
      </c>
      <c r="M11" s="570"/>
      <c r="N11" s="570"/>
      <c r="O11" s="570"/>
      <c r="P11" s="571">
        <f t="shared" si="0"/>
        <v>2</v>
      </c>
    </row>
    <row r="12" spans="1:16" x14ac:dyDescent="0.25">
      <c r="A12" s="193">
        <v>1000054</v>
      </c>
      <c r="B12" s="12" t="s">
        <v>12</v>
      </c>
      <c r="C12" s="190"/>
      <c r="D12" s="199">
        <v>8</v>
      </c>
      <c r="E12" s="188"/>
      <c r="F12" s="570">
        <v>10</v>
      </c>
      <c r="G12" s="570"/>
      <c r="H12" s="570"/>
      <c r="I12" s="570"/>
      <c r="J12" s="570"/>
      <c r="K12" s="570"/>
      <c r="L12" s="570"/>
      <c r="M12" s="570"/>
      <c r="N12" s="570"/>
      <c r="O12" s="570"/>
      <c r="P12" s="571">
        <f t="shared" si="0"/>
        <v>10</v>
      </c>
    </row>
    <row r="13" spans="1:16" x14ac:dyDescent="0.25">
      <c r="A13" s="193">
        <v>1000070</v>
      </c>
      <c r="B13" s="12" t="s">
        <v>13</v>
      </c>
      <c r="C13" s="190"/>
      <c r="D13" s="199">
        <v>0</v>
      </c>
      <c r="E13" s="188"/>
      <c r="F13" s="570"/>
      <c r="G13" s="570"/>
      <c r="H13" s="570"/>
      <c r="I13" s="570"/>
      <c r="J13" s="570"/>
      <c r="K13" s="570"/>
      <c r="L13" s="570">
        <v>1</v>
      </c>
      <c r="M13" s="570"/>
      <c r="N13" s="570"/>
      <c r="O13" s="570"/>
      <c r="P13" s="571">
        <f t="shared" si="0"/>
        <v>1</v>
      </c>
    </row>
    <row r="14" spans="1:16" x14ac:dyDescent="0.25">
      <c r="A14" s="193">
        <v>1000017</v>
      </c>
      <c r="B14" s="12" t="s">
        <v>14</v>
      </c>
      <c r="C14" s="190"/>
      <c r="D14" s="199">
        <v>40</v>
      </c>
      <c r="E14" s="188"/>
      <c r="F14" s="570">
        <v>10</v>
      </c>
      <c r="G14" s="570"/>
      <c r="H14" s="570"/>
      <c r="I14" s="570"/>
      <c r="J14" s="570"/>
      <c r="K14" s="570"/>
      <c r="L14" s="570"/>
      <c r="M14" s="570"/>
      <c r="N14" s="570"/>
      <c r="O14" s="570"/>
      <c r="P14" s="571">
        <f t="shared" si="0"/>
        <v>10</v>
      </c>
    </row>
    <row r="15" spans="1:16" x14ac:dyDescent="0.25">
      <c r="A15" s="193">
        <v>1000016</v>
      </c>
      <c r="B15" s="12" t="s">
        <v>15</v>
      </c>
      <c r="C15" s="190"/>
      <c r="D15" s="199">
        <v>5</v>
      </c>
      <c r="E15" s="188"/>
      <c r="F15" s="570"/>
      <c r="G15" s="570"/>
      <c r="H15" s="570"/>
      <c r="I15" s="570"/>
      <c r="J15" s="570"/>
      <c r="K15" s="570"/>
      <c r="L15" s="570">
        <v>5</v>
      </c>
      <c r="M15" s="570"/>
      <c r="N15" s="570"/>
      <c r="O15" s="570"/>
      <c r="P15" s="571">
        <f t="shared" si="0"/>
        <v>5</v>
      </c>
    </row>
    <row r="16" spans="1:16" x14ac:dyDescent="0.25">
      <c r="A16" s="193">
        <v>1000041</v>
      </c>
      <c r="B16" s="12" t="s">
        <v>16</v>
      </c>
      <c r="C16" s="190"/>
      <c r="D16" s="199">
        <v>5</v>
      </c>
      <c r="E16" s="188"/>
      <c r="F16" s="570"/>
      <c r="G16" s="570"/>
      <c r="H16" s="570"/>
      <c r="I16" s="570"/>
      <c r="J16" s="570"/>
      <c r="K16" s="570"/>
      <c r="L16" s="570"/>
      <c r="M16" s="570"/>
      <c r="N16" s="570"/>
      <c r="O16" s="570"/>
      <c r="P16" s="570">
        <f t="shared" si="0"/>
        <v>0</v>
      </c>
    </row>
    <row r="17" spans="1:16" x14ac:dyDescent="0.25">
      <c r="A17" s="193">
        <v>1000009</v>
      </c>
      <c r="B17" s="12" t="s">
        <v>19</v>
      </c>
      <c r="C17" s="190"/>
      <c r="D17" s="199">
        <v>1</v>
      </c>
      <c r="E17" s="188"/>
      <c r="F17" s="570"/>
      <c r="G17" s="570"/>
      <c r="H17" s="570"/>
      <c r="I17" s="570"/>
      <c r="J17" s="570"/>
      <c r="K17" s="570"/>
      <c r="L17" s="570"/>
      <c r="M17" s="570"/>
      <c r="N17" s="570"/>
      <c r="O17" s="570"/>
      <c r="P17" s="570">
        <f t="shared" si="0"/>
        <v>0</v>
      </c>
    </row>
    <row r="18" spans="1:16" x14ac:dyDescent="0.25">
      <c r="A18" s="193">
        <v>1000049</v>
      </c>
      <c r="B18" s="12" t="s">
        <v>21</v>
      </c>
      <c r="C18" s="190"/>
      <c r="D18" s="199">
        <v>1</v>
      </c>
      <c r="E18" s="188"/>
      <c r="F18" s="570"/>
      <c r="G18" s="570"/>
      <c r="H18" s="570"/>
      <c r="I18" s="570"/>
      <c r="J18" s="570"/>
      <c r="K18" s="570"/>
      <c r="L18" s="570"/>
      <c r="M18" s="570"/>
      <c r="N18" s="570"/>
      <c r="O18" s="570"/>
      <c r="P18" s="570">
        <f t="shared" si="0"/>
        <v>0</v>
      </c>
    </row>
    <row r="19" spans="1:16" x14ac:dyDescent="0.25">
      <c r="A19" s="193">
        <v>1000050</v>
      </c>
      <c r="B19" s="12" t="s">
        <v>22</v>
      </c>
      <c r="C19" s="190"/>
      <c r="D19" s="199">
        <v>0</v>
      </c>
      <c r="E19" s="188"/>
      <c r="F19" s="570"/>
      <c r="G19" s="570"/>
      <c r="H19" s="570"/>
      <c r="I19" s="570"/>
      <c r="J19" s="570"/>
      <c r="K19" s="570"/>
      <c r="L19" s="570"/>
      <c r="M19" s="570"/>
      <c r="N19" s="570"/>
      <c r="O19" s="570"/>
      <c r="P19" s="570">
        <f t="shared" si="0"/>
        <v>0</v>
      </c>
    </row>
    <row r="20" spans="1:16" x14ac:dyDescent="0.25">
      <c r="A20" s="193">
        <v>1000045</v>
      </c>
      <c r="B20" s="12" t="s">
        <v>23</v>
      </c>
      <c r="C20" s="190"/>
      <c r="D20" s="199">
        <v>0</v>
      </c>
      <c r="E20" s="188"/>
      <c r="F20" s="570">
        <v>1</v>
      </c>
      <c r="G20" s="570"/>
      <c r="H20" s="570"/>
      <c r="I20" s="570"/>
      <c r="J20" s="570"/>
      <c r="K20" s="570"/>
      <c r="L20" s="570"/>
      <c r="M20" s="570"/>
      <c r="N20" s="570"/>
      <c r="O20" s="570"/>
      <c r="P20" s="571">
        <f t="shared" si="0"/>
        <v>1</v>
      </c>
    </row>
    <row r="21" spans="1:16" x14ac:dyDescent="0.25">
      <c r="A21" s="193">
        <v>1000031</v>
      </c>
      <c r="B21" s="12" t="s">
        <v>25</v>
      </c>
      <c r="C21" s="190"/>
      <c r="D21" s="199">
        <v>2</v>
      </c>
      <c r="E21" s="188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>
        <f t="shared" si="0"/>
        <v>0</v>
      </c>
    </row>
    <row r="22" spans="1:16" x14ac:dyDescent="0.25">
      <c r="A22" s="193">
        <v>1000032</v>
      </c>
      <c r="B22" s="12" t="s">
        <v>26</v>
      </c>
      <c r="C22" s="190"/>
      <c r="D22" s="199">
        <v>1</v>
      </c>
      <c r="E22" s="188"/>
      <c r="F22" s="570"/>
      <c r="G22" s="570"/>
      <c r="H22" s="570"/>
      <c r="I22" s="570"/>
      <c r="J22" s="570"/>
      <c r="K22" s="570"/>
      <c r="L22" s="570"/>
      <c r="M22" s="570"/>
      <c r="N22" s="570"/>
      <c r="O22" s="570"/>
      <c r="P22" s="570">
        <f t="shared" si="0"/>
        <v>0</v>
      </c>
    </row>
    <row r="23" spans="1:16" x14ac:dyDescent="0.25">
      <c r="A23" s="193">
        <v>1000027</v>
      </c>
      <c r="B23" s="12" t="s">
        <v>33</v>
      </c>
      <c r="C23" s="190"/>
      <c r="D23" s="199">
        <v>2</v>
      </c>
      <c r="E23" s="188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>
        <f t="shared" si="0"/>
        <v>0</v>
      </c>
    </row>
    <row r="24" spans="1:16" x14ac:dyDescent="0.25">
      <c r="A24" s="193">
        <v>1000100</v>
      </c>
      <c r="B24" s="12" t="s">
        <v>34</v>
      </c>
      <c r="C24" s="190"/>
      <c r="D24" s="199">
        <v>0</v>
      </c>
      <c r="E24" s="188"/>
      <c r="F24" s="570"/>
      <c r="G24" s="570"/>
      <c r="H24" s="570"/>
      <c r="I24" s="570"/>
      <c r="J24" s="570"/>
      <c r="K24" s="570"/>
      <c r="L24" s="570"/>
      <c r="M24" s="570"/>
      <c r="N24" s="570"/>
      <c r="O24" s="570"/>
      <c r="P24" s="570">
        <f t="shared" si="0"/>
        <v>0</v>
      </c>
    </row>
    <row r="25" spans="1:16" x14ac:dyDescent="0.25">
      <c r="A25" s="193">
        <v>1000101</v>
      </c>
      <c r="B25" s="12" t="s">
        <v>35</v>
      </c>
      <c r="C25" s="190"/>
      <c r="D25" s="199">
        <v>0</v>
      </c>
      <c r="E25" s="188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>
        <f t="shared" si="0"/>
        <v>0</v>
      </c>
    </row>
    <row r="26" spans="1:16" x14ac:dyDescent="0.25">
      <c r="A26" s="193">
        <v>1000073</v>
      </c>
      <c r="B26" s="12" t="s">
        <v>36</v>
      </c>
      <c r="C26" s="190"/>
      <c r="D26" s="199">
        <v>0</v>
      </c>
      <c r="E26" s="188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>
        <f t="shared" si="0"/>
        <v>0</v>
      </c>
    </row>
    <row r="27" spans="1:16" x14ac:dyDescent="0.25">
      <c r="A27" s="193">
        <v>1000082</v>
      </c>
      <c r="B27" s="12" t="s">
        <v>37</v>
      </c>
      <c r="C27" s="190"/>
      <c r="D27" s="199">
        <v>50</v>
      </c>
      <c r="E27" s="188"/>
      <c r="F27" s="570">
        <v>8</v>
      </c>
      <c r="G27" s="570"/>
      <c r="H27" s="570"/>
      <c r="I27" s="570"/>
      <c r="J27" s="570"/>
      <c r="K27" s="570"/>
      <c r="L27" s="570">
        <v>8</v>
      </c>
      <c r="M27" s="570"/>
      <c r="N27" s="570"/>
      <c r="O27" s="570"/>
      <c r="P27" s="571">
        <f t="shared" si="0"/>
        <v>16</v>
      </c>
    </row>
    <row r="28" spans="1:16" x14ac:dyDescent="0.25">
      <c r="A28" s="193">
        <v>1000084</v>
      </c>
      <c r="B28" s="12" t="s">
        <v>38</v>
      </c>
      <c r="C28" s="190"/>
      <c r="D28" s="199">
        <v>10</v>
      </c>
      <c r="E28" s="188"/>
      <c r="F28" s="570">
        <v>4</v>
      </c>
      <c r="G28" s="570"/>
      <c r="H28" s="570"/>
      <c r="I28" s="570"/>
      <c r="J28" s="570"/>
      <c r="K28" s="570"/>
      <c r="L28" s="570">
        <v>4</v>
      </c>
      <c r="M28" s="570"/>
      <c r="N28" s="570"/>
      <c r="O28" s="570"/>
      <c r="P28" s="571">
        <f t="shared" si="0"/>
        <v>8</v>
      </c>
    </row>
    <row r="29" spans="1:16" x14ac:dyDescent="0.25">
      <c r="A29" s="193">
        <v>1000146</v>
      </c>
      <c r="B29" s="12" t="s">
        <v>39</v>
      </c>
      <c r="C29" s="190"/>
      <c r="D29" s="199">
        <v>8</v>
      </c>
      <c r="E29" s="188"/>
      <c r="F29" s="570"/>
      <c r="G29" s="570"/>
      <c r="H29" s="570"/>
      <c r="I29" s="570"/>
      <c r="J29" s="570"/>
      <c r="K29" s="570"/>
      <c r="L29" s="570"/>
      <c r="M29" s="570"/>
      <c r="N29" s="570"/>
      <c r="O29" s="570"/>
      <c r="P29" s="814">
        <f t="shared" si="0"/>
        <v>0</v>
      </c>
    </row>
    <row r="30" spans="1:16" x14ac:dyDescent="0.25">
      <c r="A30" s="193">
        <v>10248</v>
      </c>
      <c r="B30" s="12" t="s">
        <v>183</v>
      </c>
      <c r="C30" s="190"/>
      <c r="D30" s="199">
        <v>0</v>
      </c>
      <c r="E30" s="188"/>
      <c r="F30" s="570">
        <v>6</v>
      </c>
      <c r="G30" s="570"/>
      <c r="H30" s="570"/>
      <c r="I30" s="570"/>
      <c r="J30" s="570"/>
      <c r="K30" s="570"/>
      <c r="L30" s="570">
        <v>6</v>
      </c>
      <c r="M30" s="570"/>
      <c r="N30" s="570"/>
      <c r="O30" s="570"/>
      <c r="P30" s="571">
        <f t="shared" si="0"/>
        <v>12</v>
      </c>
    </row>
    <row r="31" spans="1:16" x14ac:dyDescent="0.25">
      <c r="A31" s="193">
        <v>1000090</v>
      </c>
      <c r="B31" s="12" t="s">
        <v>40</v>
      </c>
      <c r="C31" s="190"/>
      <c r="D31" s="199">
        <v>3</v>
      </c>
      <c r="E31" s="188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>
        <f t="shared" si="0"/>
        <v>0</v>
      </c>
    </row>
    <row r="32" spans="1:16" x14ac:dyDescent="0.25">
      <c r="A32" s="193">
        <v>1000052</v>
      </c>
      <c r="B32" s="12" t="s">
        <v>41</v>
      </c>
      <c r="C32" s="190"/>
      <c r="D32" s="199">
        <v>2</v>
      </c>
      <c r="E32" s="188"/>
      <c r="F32" s="570">
        <v>2</v>
      </c>
      <c r="G32" s="570"/>
      <c r="H32" s="570"/>
      <c r="I32" s="570"/>
      <c r="J32" s="570"/>
      <c r="K32" s="570"/>
      <c r="L32" s="570">
        <v>2</v>
      </c>
      <c r="M32" s="570"/>
      <c r="N32" s="570"/>
      <c r="O32" s="570"/>
      <c r="P32" s="571">
        <f t="shared" si="0"/>
        <v>4</v>
      </c>
    </row>
    <row r="33" spans="1:19" x14ac:dyDescent="0.25">
      <c r="A33" s="193">
        <v>1000089</v>
      </c>
      <c r="B33" s="12" t="s">
        <v>42</v>
      </c>
      <c r="C33" s="190"/>
      <c r="D33" s="199">
        <v>2</v>
      </c>
      <c r="E33" s="188"/>
      <c r="F33" s="570"/>
      <c r="G33" s="570"/>
      <c r="H33" s="570"/>
      <c r="I33" s="570"/>
      <c r="J33" s="570"/>
      <c r="K33" s="570"/>
      <c r="L33" s="570">
        <v>2</v>
      </c>
      <c r="M33" s="570"/>
      <c r="N33" s="570"/>
      <c r="O33" s="570"/>
      <c r="P33" s="571">
        <f t="shared" si="0"/>
        <v>2</v>
      </c>
    </row>
    <row r="34" spans="1:19" x14ac:dyDescent="0.25">
      <c r="A34" s="193">
        <v>1000051</v>
      </c>
      <c r="B34" s="12" t="s">
        <v>43</v>
      </c>
      <c r="C34" s="190"/>
      <c r="D34" s="199">
        <v>1</v>
      </c>
      <c r="E34" s="188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>
        <f t="shared" si="0"/>
        <v>0</v>
      </c>
    </row>
    <row r="35" spans="1:19" x14ac:dyDescent="0.25">
      <c r="A35" s="193">
        <v>1000048</v>
      </c>
      <c r="B35" s="12" t="s">
        <v>45</v>
      </c>
      <c r="C35" s="190"/>
      <c r="D35" s="199">
        <v>0</v>
      </c>
      <c r="E35" s="188"/>
      <c r="F35" s="570"/>
      <c r="G35" s="570"/>
      <c r="H35" s="570"/>
      <c r="I35" s="570"/>
      <c r="J35" s="570"/>
      <c r="K35" s="570"/>
      <c r="L35" s="570"/>
      <c r="M35" s="570"/>
      <c r="N35" s="570"/>
      <c r="O35" s="570"/>
      <c r="P35" s="570">
        <f t="shared" si="0"/>
        <v>0</v>
      </c>
    </row>
    <row r="36" spans="1:19" x14ac:dyDescent="0.25">
      <c r="A36" s="193">
        <v>1000076</v>
      </c>
      <c r="B36" s="12" t="s">
        <v>46</v>
      </c>
      <c r="C36" s="190"/>
      <c r="D36" s="199">
        <v>0</v>
      </c>
      <c r="E36" s="188"/>
      <c r="F36" s="570"/>
      <c r="G36" s="570"/>
      <c r="H36" s="570"/>
      <c r="I36" s="570"/>
      <c r="J36" s="570"/>
      <c r="K36" s="570"/>
      <c r="L36" s="570"/>
      <c r="M36" s="570"/>
      <c r="N36" s="570"/>
      <c r="O36" s="570"/>
      <c r="P36" s="570">
        <f t="shared" si="0"/>
        <v>0</v>
      </c>
    </row>
    <row r="37" spans="1:19" x14ac:dyDescent="0.25">
      <c r="A37" s="193">
        <v>1000085</v>
      </c>
      <c r="B37" s="12" t="s">
        <v>50</v>
      </c>
      <c r="C37" s="190"/>
      <c r="D37" s="199">
        <v>0</v>
      </c>
      <c r="E37" s="188"/>
      <c r="F37" s="570"/>
      <c r="G37" s="570"/>
      <c r="H37" s="570"/>
      <c r="I37" s="570"/>
      <c r="J37" s="570"/>
      <c r="K37" s="570"/>
      <c r="L37" s="570"/>
      <c r="M37" s="570"/>
      <c r="N37" s="570"/>
      <c r="O37" s="570"/>
      <c r="P37" s="570">
        <f t="shared" si="0"/>
        <v>0</v>
      </c>
    </row>
    <row r="38" spans="1:19" x14ac:dyDescent="0.25">
      <c r="A38" s="193">
        <v>1000147</v>
      </c>
      <c r="B38" s="12" t="s">
        <v>52</v>
      </c>
      <c r="C38" s="190"/>
      <c r="D38" s="199">
        <v>0</v>
      </c>
      <c r="E38" s="188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>
        <f t="shared" si="0"/>
        <v>0</v>
      </c>
    </row>
    <row r="39" spans="1:19" x14ac:dyDescent="0.25">
      <c r="A39" s="193">
        <v>1000142</v>
      </c>
      <c r="B39" s="12" t="s">
        <v>54</v>
      </c>
      <c r="C39" s="190"/>
      <c r="D39" s="199">
        <v>0</v>
      </c>
      <c r="E39" s="188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>
        <f t="shared" si="0"/>
        <v>0</v>
      </c>
    </row>
    <row r="40" spans="1:19" x14ac:dyDescent="0.25">
      <c r="A40" s="193">
        <v>1000087</v>
      </c>
      <c r="B40" s="12" t="s">
        <v>69</v>
      </c>
      <c r="C40" s="190"/>
      <c r="D40" s="199">
        <v>0</v>
      </c>
      <c r="E40" s="188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>
        <f t="shared" si="0"/>
        <v>0</v>
      </c>
    </row>
    <row r="41" spans="1:19" x14ac:dyDescent="0.25">
      <c r="A41" s="193">
        <v>1000057</v>
      </c>
      <c r="B41" s="12" t="s">
        <v>70</v>
      </c>
      <c r="C41" s="190"/>
      <c r="D41" s="199">
        <v>0</v>
      </c>
      <c r="E41" s="188"/>
      <c r="F41" s="570"/>
      <c r="G41" s="570"/>
      <c r="H41" s="570"/>
      <c r="I41" s="570"/>
      <c r="J41" s="570"/>
      <c r="K41" s="570"/>
      <c r="L41" s="570"/>
      <c r="M41" s="570"/>
      <c r="N41" s="570"/>
      <c r="O41" s="570"/>
      <c r="P41" s="570">
        <f t="shared" si="0"/>
        <v>0</v>
      </c>
    </row>
    <row r="42" spans="1:19" x14ac:dyDescent="0.25">
      <c r="A42" s="193">
        <v>1000073</v>
      </c>
      <c r="B42" s="12" t="s">
        <v>36</v>
      </c>
      <c r="C42" s="190"/>
      <c r="D42" s="199">
        <v>0</v>
      </c>
      <c r="E42" s="188"/>
      <c r="F42" s="570"/>
      <c r="G42" s="570"/>
      <c r="H42" s="570"/>
      <c r="I42" s="570"/>
      <c r="J42" s="570"/>
      <c r="K42" s="570"/>
      <c r="L42" s="570"/>
      <c r="M42" s="570"/>
      <c r="N42" s="570"/>
      <c r="O42" s="570"/>
      <c r="P42" s="570">
        <f t="shared" si="0"/>
        <v>0</v>
      </c>
    </row>
    <row r="43" spans="1:19" x14ac:dyDescent="0.25">
      <c r="A43" s="193">
        <v>1000004</v>
      </c>
      <c r="B43" s="12" t="s">
        <v>10</v>
      </c>
      <c r="C43" s="190"/>
      <c r="D43" s="199"/>
      <c r="E43" s="188"/>
      <c r="F43" s="570">
        <v>2</v>
      </c>
      <c r="G43" s="570"/>
      <c r="H43" s="570"/>
      <c r="I43" s="570"/>
      <c r="J43" s="570"/>
      <c r="K43" s="570"/>
      <c r="L43" s="570">
        <v>2</v>
      </c>
      <c r="M43" s="570"/>
      <c r="N43" s="570"/>
      <c r="O43" s="570"/>
      <c r="P43" s="571">
        <f t="shared" si="0"/>
        <v>4</v>
      </c>
    </row>
    <row r="44" spans="1:19" x14ac:dyDescent="0.25">
      <c r="A44" s="193">
        <v>1000214</v>
      </c>
      <c r="B44" s="12" t="s">
        <v>49</v>
      </c>
      <c r="C44" s="190"/>
      <c r="D44" s="199"/>
      <c r="E44" s="188"/>
      <c r="F44" s="570"/>
      <c r="G44" s="570"/>
      <c r="H44" s="570"/>
      <c r="I44" s="570"/>
      <c r="J44" s="570"/>
      <c r="K44" s="570"/>
      <c r="L44" s="570"/>
      <c r="M44" s="570"/>
      <c r="N44" s="570"/>
      <c r="O44" s="570"/>
      <c r="P44" s="570">
        <f t="shared" si="0"/>
        <v>0</v>
      </c>
    </row>
    <row r="45" spans="1:19" x14ac:dyDescent="0.25">
      <c r="A45" s="193">
        <v>1000030</v>
      </c>
      <c r="B45" s="12" t="s">
        <v>24</v>
      </c>
      <c r="C45" s="190"/>
      <c r="D45" s="199"/>
      <c r="E45" s="188"/>
      <c r="F45" s="570"/>
      <c r="G45" s="570"/>
      <c r="H45" s="570"/>
      <c r="I45" s="570"/>
      <c r="J45" s="570"/>
      <c r="K45" s="570"/>
      <c r="L45" s="570"/>
      <c r="M45" s="570"/>
      <c r="N45" s="570"/>
      <c r="O45" s="570"/>
      <c r="P45" s="570">
        <f t="shared" si="0"/>
        <v>0</v>
      </c>
    </row>
    <row r="46" spans="1:19" x14ac:dyDescent="0.25">
      <c r="A46" s="193">
        <v>1000033</v>
      </c>
      <c r="B46" s="12" t="s">
        <v>27</v>
      </c>
      <c r="C46" s="190"/>
      <c r="D46" s="199"/>
      <c r="E46" s="188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>
        <f t="shared" si="0"/>
        <v>0</v>
      </c>
      <c r="S46" t="s">
        <v>445</v>
      </c>
    </row>
    <row r="47" spans="1:19" x14ac:dyDescent="0.25">
      <c r="A47" s="193">
        <v>1000029</v>
      </c>
      <c r="B47" s="12" t="s">
        <v>30</v>
      </c>
      <c r="C47" s="190"/>
      <c r="D47" s="199"/>
      <c r="E47" s="188"/>
      <c r="F47" s="570"/>
      <c r="G47" s="570"/>
      <c r="H47" s="570"/>
      <c r="I47" s="570"/>
      <c r="J47" s="570"/>
      <c r="K47" s="570"/>
      <c r="L47" s="570">
        <v>1</v>
      </c>
      <c r="M47" s="570"/>
      <c r="N47" s="570"/>
      <c r="O47" s="570"/>
      <c r="P47" s="571">
        <f t="shared" si="0"/>
        <v>1</v>
      </c>
    </row>
    <row r="48" spans="1:19" x14ac:dyDescent="0.25">
      <c r="A48" s="193">
        <v>1000092</v>
      </c>
      <c r="B48" s="12" t="s">
        <v>51</v>
      </c>
      <c r="C48" s="190"/>
      <c r="D48" s="199"/>
      <c r="E48" s="188"/>
      <c r="F48" s="570"/>
      <c r="G48" s="570"/>
      <c r="H48" s="570"/>
      <c r="I48" s="570"/>
      <c r="J48" s="570"/>
      <c r="K48" s="570"/>
      <c r="L48" s="570"/>
      <c r="M48" s="570"/>
      <c r="N48" s="570"/>
      <c r="O48" s="570"/>
      <c r="P48" s="570">
        <f t="shared" si="0"/>
        <v>0</v>
      </c>
    </row>
    <row r="49" spans="1:16" x14ac:dyDescent="0.25">
      <c r="A49" s="193">
        <v>1000117</v>
      </c>
      <c r="B49" s="12" t="s">
        <v>80</v>
      </c>
      <c r="C49" s="190"/>
      <c r="D49" s="199"/>
      <c r="E49" s="188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>
        <f t="shared" si="0"/>
        <v>0</v>
      </c>
    </row>
    <row r="50" spans="1:16" x14ac:dyDescent="0.25">
      <c r="A50" s="193">
        <v>1000034</v>
      </c>
      <c r="B50" s="12" t="s">
        <v>28</v>
      </c>
      <c r="C50" s="190"/>
      <c r="D50" s="199"/>
      <c r="E50" s="188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>
        <f t="shared" si="0"/>
        <v>0</v>
      </c>
    </row>
    <row r="51" spans="1:16" x14ac:dyDescent="0.25">
      <c r="A51" s="193">
        <v>1000062</v>
      </c>
      <c r="B51" s="12" t="s">
        <v>66</v>
      </c>
      <c r="C51" s="190"/>
      <c r="D51" s="199"/>
      <c r="E51" s="188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>
        <f t="shared" si="0"/>
        <v>0</v>
      </c>
    </row>
    <row r="52" spans="1:16" x14ac:dyDescent="0.25">
      <c r="A52" s="193">
        <v>1000075</v>
      </c>
      <c r="B52" s="12" t="s">
        <v>47</v>
      </c>
      <c r="C52" s="190"/>
      <c r="D52" s="199"/>
      <c r="E52" s="188"/>
      <c r="F52" s="570"/>
      <c r="G52" s="570"/>
      <c r="H52" s="570"/>
      <c r="I52" s="570"/>
      <c r="J52" s="570"/>
      <c r="K52" s="570"/>
      <c r="L52" s="570"/>
      <c r="M52" s="570"/>
      <c r="N52" s="570"/>
      <c r="O52" s="570"/>
      <c r="P52" s="570">
        <f t="shared" si="0"/>
        <v>0</v>
      </c>
    </row>
    <row r="53" spans="1:16" x14ac:dyDescent="0.25">
      <c r="A53" s="193">
        <v>1000472</v>
      </c>
      <c r="B53" s="12" t="s">
        <v>222</v>
      </c>
      <c r="C53" s="190"/>
      <c r="D53" s="199"/>
      <c r="E53" s="188"/>
      <c r="F53" s="570"/>
      <c r="G53" s="570"/>
      <c r="H53" s="570"/>
      <c r="I53" s="570"/>
      <c r="J53" s="570"/>
      <c r="K53" s="570"/>
      <c r="L53" s="570"/>
      <c r="M53" s="570"/>
      <c r="N53" s="570"/>
      <c r="O53" s="570"/>
      <c r="P53" s="570">
        <f t="shared" si="0"/>
        <v>0</v>
      </c>
    </row>
    <row r="54" spans="1:16" x14ac:dyDescent="0.25">
      <c r="A54" s="193">
        <v>1000025</v>
      </c>
      <c r="B54" s="12" t="s">
        <v>32</v>
      </c>
      <c r="C54" s="190"/>
      <c r="D54" s="199"/>
      <c r="E54" s="188"/>
      <c r="F54" s="570"/>
      <c r="G54" s="570"/>
      <c r="H54" s="570"/>
      <c r="I54" s="570"/>
      <c r="J54" s="570"/>
      <c r="K54" s="570"/>
      <c r="L54" s="570">
        <v>5</v>
      </c>
      <c r="M54" s="570"/>
      <c r="N54" s="570"/>
      <c r="O54" s="570"/>
      <c r="P54" s="571">
        <f t="shared" si="0"/>
        <v>5</v>
      </c>
    </row>
    <row r="55" spans="1:16" x14ac:dyDescent="0.25">
      <c r="A55" s="193">
        <v>1000080</v>
      </c>
      <c r="B55" s="12" t="s">
        <v>275</v>
      </c>
      <c r="C55" s="190"/>
      <c r="D55" s="199"/>
      <c r="E55" s="188"/>
      <c r="F55" s="570"/>
      <c r="G55" s="570"/>
      <c r="H55" s="570"/>
      <c r="I55" s="570"/>
      <c r="J55" s="570"/>
      <c r="K55" s="570"/>
      <c r="L55" s="570"/>
      <c r="M55" s="570"/>
      <c r="N55" s="570"/>
      <c r="O55" s="570"/>
      <c r="P55" s="570">
        <f t="shared" si="0"/>
        <v>0</v>
      </c>
    </row>
    <row r="56" spans="1:16" x14ac:dyDescent="0.25">
      <c r="A56" s="193">
        <v>1000436</v>
      </c>
      <c r="B56" s="12" t="s">
        <v>276</v>
      </c>
      <c r="C56" s="190"/>
      <c r="D56" s="199"/>
      <c r="E56" s="188"/>
      <c r="F56" s="570">
        <v>10</v>
      </c>
      <c r="G56" s="570"/>
      <c r="H56" s="570"/>
      <c r="I56" s="570"/>
      <c r="J56" s="570"/>
      <c r="K56" s="570"/>
      <c r="L56" s="570">
        <v>10</v>
      </c>
      <c r="M56" s="570"/>
      <c r="N56" s="570"/>
      <c r="O56" s="570"/>
      <c r="P56" s="571">
        <f t="shared" si="0"/>
        <v>20</v>
      </c>
    </row>
    <row r="57" spans="1:16" x14ac:dyDescent="0.25">
      <c r="A57" s="193">
        <v>1000550</v>
      </c>
      <c r="B57" s="12" t="s">
        <v>277</v>
      </c>
      <c r="C57" s="190"/>
      <c r="D57" s="199"/>
      <c r="E57" s="188"/>
      <c r="F57" s="570"/>
      <c r="G57" s="570"/>
      <c r="H57" s="570"/>
      <c r="I57" s="570"/>
      <c r="J57" s="570"/>
      <c r="K57" s="570"/>
      <c r="L57" s="570"/>
      <c r="M57" s="570"/>
      <c r="N57" s="570"/>
      <c r="O57" s="570"/>
      <c r="P57" s="570">
        <f t="shared" si="0"/>
        <v>0</v>
      </c>
    </row>
    <row r="58" spans="1:16" x14ac:dyDescent="0.25">
      <c r="A58" s="193">
        <v>1000551</v>
      </c>
      <c r="B58" s="12" t="s">
        <v>278</v>
      </c>
      <c r="C58" s="190"/>
      <c r="D58" s="199"/>
      <c r="E58" s="188"/>
      <c r="F58" s="570"/>
      <c r="G58" s="570"/>
      <c r="H58" s="570"/>
      <c r="I58" s="570"/>
      <c r="J58" s="570"/>
      <c r="K58" s="570"/>
      <c r="L58" s="570"/>
      <c r="M58" s="570"/>
      <c r="N58" s="570"/>
      <c r="O58" s="570"/>
      <c r="P58" s="570">
        <f t="shared" si="0"/>
        <v>0</v>
      </c>
    </row>
    <row r="59" spans="1:16" ht="16.5" thickBot="1" x14ac:dyDescent="0.3">
      <c r="A59" s="207">
        <v>1000552</v>
      </c>
      <c r="B59" s="246" t="s">
        <v>279</v>
      </c>
      <c r="D59" s="38"/>
      <c r="E59" s="215"/>
      <c r="F59" s="567"/>
      <c r="G59" s="570"/>
      <c r="H59" s="567"/>
      <c r="I59" s="567"/>
      <c r="J59" s="570"/>
      <c r="K59" s="567"/>
      <c r="L59" s="567"/>
      <c r="M59" s="567"/>
      <c r="N59" s="567"/>
      <c r="O59" s="567"/>
      <c r="P59" s="570">
        <f t="shared" si="0"/>
        <v>0</v>
      </c>
    </row>
    <row r="60" spans="1:16" ht="16.5" thickBot="1" x14ac:dyDescent="0.3">
      <c r="A60" s="207"/>
      <c r="B60" s="246" t="s">
        <v>506</v>
      </c>
      <c r="D60" s="38"/>
      <c r="F60" s="567">
        <v>2</v>
      </c>
      <c r="G60" s="570"/>
      <c r="H60" s="567"/>
      <c r="I60" s="567"/>
      <c r="J60" s="570"/>
      <c r="K60" s="567"/>
      <c r="L60" s="567"/>
      <c r="M60" s="567"/>
      <c r="N60" s="567"/>
      <c r="O60" s="567"/>
      <c r="P60" s="571">
        <f t="shared" si="0"/>
        <v>2</v>
      </c>
    </row>
    <row r="61" spans="1:16" ht="16.5" thickBot="1" x14ac:dyDescent="0.3">
      <c r="A61" s="486"/>
      <c r="B61" s="53"/>
      <c r="D61" s="38"/>
      <c r="F61" s="567"/>
      <c r="G61" s="570"/>
      <c r="H61" s="567"/>
      <c r="I61" s="567"/>
      <c r="J61" s="570"/>
      <c r="K61" s="567"/>
      <c r="L61" s="567"/>
      <c r="M61" s="567"/>
      <c r="N61" s="567"/>
      <c r="O61" s="567"/>
      <c r="P61" s="570">
        <f t="shared" si="0"/>
        <v>0</v>
      </c>
    </row>
  </sheetData>
  <mergeCells count="3">
    <mergeCell ref="A1:B2"/>
    <mergeCell ref="D1:D2"/>
    <mergeCell ref="F1:J2"/>
  </mergeCells>
  <phoneticPr fontId="108" type="noConversion"/>
  <pageMargins left="0.7" right="0.7" top="0.75" bottom="0.75" header="0.3" footer="0.3"/>
  <pageSetup paperSize="9" scale="51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C78D-DE69-442B-A0C1-7F97FF803CB3}">
  <sheetPr>
    <tabColor rgb="FF7030A0"/>
    <pageSetUpPr fitToPage="1"/>
  </sheetPr>
  <dimension ref="A1:P60"/>
  <sheetViews>
    <sheetView zoomScale="85" zoomScaleNormal="85" workbookViewId="0">
      <selection activeCell="R26" sqref="R26"/>
    </sheetView>
  </sheetViews>
  <sheetFormatPr baseColWidth="10" defaultRowHeight="15.75" x14ac:dyDescent="0.25"/>
  <cols>
    <col min="2" max="2" width="34.5" customWidth="1"/>
    <col min="3" max="3" width="1" customWidth="1"/>
    <col min="5" max="5" width="0.875" customWidth="1"/>
    <col min="7" max="7" width="6.875" customWidth="1"/>
    <col min="9" max="9" width="6.625" customWidth="1"/>
    <col min="11" max="11" width="6.25" customWidth="1"/>
    <col min="13" max="13" width="6" customWidth="1"/>
    <col min="15" max="15" width="6.75" customWidth="1"/>
  </cols>
  <sheetData>
    <row r="1" spans="1:16" ht="28.5" x14ac:dyDescent="0.45">
      <c r="A1" s="686" t="s">
        <v>255</v>
      </c>
      <c r="B1" s="687"/>
      <c r="C1" s="18"/>
      <c r="D1" s="779" t="s">
        <v>362</v>
      </c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ht="30.75" customHeight="1" thickBot="1" x14ac:dyDescent="0.5">
      <c r="A2" s="688"/>
      <c r="B2" s="689"/>
      <c r="C2" s="18"/>
      <c r="D2" s="779"/>
      <c r="E2" s="3"/>
      <c r="F2" s="754"/>
      <c r="G2" s="755"/>
      <c r="H2" s="755"/>
      <c r="I2" s="755"/>
      <c r="J2" s="756"/>
      <c r="K2" s="2"/>
      <c r="L2" s="3"/>
      <c r="M2" s="3"/>
      <c r="N2" s="3"/>
      <c r="O2" s="3"/>
      <c r="P2" s="3"/>
    </row>
    <row r="3" spans="1:16" ht="28.5" customHeight="1" thickBot="1" x14ac:dyDescent="0.3">
      <c r="A3" s="5"/>
      <c r="B3" s="5" t="s">
        <v>375</v>
      </c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486">
        <v>10000102</v>
      </c>
      <c r="B5" s="11" t="s">
        <v>2</v>
      </c>
      <c r="C5" s="487"/>
      <c r="D5" s="505">
        <v>0</v>
      </c>
      <c r="E5" s="485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>
        <f t="shared" ref="P5:P59" si="0">SUM(F5:O5)</f>
        <v>0</v>
      </c>
    </row>
    <row r="6" spans="1:16" x14ac:dyDescent="0.25">
      <c r="A6" s="491">
        <v>1000006</v>
      </c>
      <c r="B6" s="12" t="s">
        <v>4</v>
      </c>
      <c r="C6" s="487"/>
      <c r="D6" s="503">
        <v>85</v>
      </c>
      <c r="E6" s="485"/>
      <c r="F6" s="568">
        <v>50</v>
      </c>
      <c r="G6" s="568"/>
      <c r="H6" s="568"/>
      <c r="I6" s="568"/>
      <c r="J6" s="568"/>
      <c r="K6" s="568"/>
      <c r="L6" s="568">
        <v>50</v>
      </c>
      <c r="M6" s="568"/>
      <c r="N6" s="568"/>
      <c r="O6" s="568"/>
      <c r="P6" s="569">
        <f t="shared" si="0"/>
        <v>100</v>
      </c>
    </row>
    <row r="7" spans="1:16" x14ac:dyDescent="0.25">
      <c r="A7" s="491">
        <v>1000007</v>
      </c>
      <c r="B7" s="12" t="s">
        <v>5</v>
      </c>
      <c r="C7" s="487"/>
      <c r="D7" s="503">
        <v>90</v>
      </c>
      <c r="E7" s="485"/>
      <c r="F7" s="568">
        <v>50</v>
      </c>
      <c r="G7" s="568"/>
      <c r="H7" s="568"/>
      <c r="I7" s="568"/>
      <c r="J7" s="568"/>
      <c r="K7" s="568"/>
      <c r="L7" s="568">
        <v>50</v>
      </c>
      <c r="M7" s="568"/>
      <c r="N7" s="568"/>
      <c r="O7" s="568"/>
      <c r="P7" s="569">
        <f t="shared" si="0"/>
        <v>100</v>
      </c>
    </row>
    <row r="8" spans="1:16" x14ac:dyDescent="0.25">
      <c r="A8" s="491">
        <v>1000008</v>
      </c>
      <c r="B8" s="12" t="s">
        <v>7</v>
      </c>
      <c r="C8" s="487"/>
      <c r="D8" s="503">
        <v>75</v>
      </c>
      <c r="E8" s="485"/>
      <c r="F8" s="568"/>
      <c r="G8" s="568"/>
      <c r="H8" s="568"/>
      <c r="I8" s="568"/>
      <c r="J8" s="568"/>
      <c r="K8" s="568"/>
      <c r="L8" s="568"/>
      <c r="M8" s="568"/>
      <c r="N8" s="568"/>
      <c r="O8" s="568"/>
      <c r="P8" s="568">
        <f t="shared" si="0"/>
        <v>0</v>
      </c>
    </row>
    <row r="9" spans="1:16" x14ac:dyDescent="0.25">
      <c r="A9" s="491">
        <v>1000001</v>
      </c>
      <c r="B9" s="12" t="s">
        <v>8</v>
      </c>
      <c r="C9" s="487"/>
      <c r="D9" s="503">
        <v>2</v>
      </c>
      <c r="E9" s="485"/>
      <c r="F9" s="568">
        <v>2</v>
      </c>
      <c r="G9" s="568"/>
      <c r="H9" s="568"/>
      <c r="I9" s="568"/>
      <c r="J9" s="568"/>
      <c r="K9" s="568"/>
      <c r="L9" s="568">
        <v>2</v>
      </c>
      <c r="M9" s="568"/>
      <c r="N9" s="568"/>
      <c r="O9" s="568"/>
      <c r="P9" s="569">
        <f t="shared" si="0"/>
        <v>4</v>
      </c>
    </row>
    <row r="10" spans="1:16" x14ac:dyDescent="0.25">
      <c r="A10" s="491">
        <v>1000002</v>
      </c>
      <c r="B10" s="12" t="s">
        <v>9</v>
      </c>
      <c r="C10" s="487"/>
      <c r="D10" s="503">
        <v>1</v>
      </c>
      <c r="E10" s="485"/>
      <c r="F10" s="568"/>
      <c r="G10" s="568"/>
      <c r="H10" s="568"/>
      <c r="I10" s="568"/>
      <c r="J10" s="568"/>
      <c r="K10" s="568"/>
      <c r="L10" s="568"/>
      <c r="M10" s="568"/>
      <c r="N10" s="568"/>
      <c r="O10" s="568"/>
      <c r="P10" s="568">
        <f t="shared" si="0"/>
        <v>0</v>
      </c>
    </row>
    <row r="11" spans="1:16" x14ac:dyDescent="0.25">
      <c r="A11" s="491">
        <v>1000067</v>
      </c>
      <c r="B11" s="12" t="s">
        <v>11</v>
      </c>
      <c r="C11" s="487"/>
      <c r="D11" s="503">
        <v>0</v>
      </c>
      <c r="E11" s="485"/>
      <c r="F11" s="568">
        <v>1</v>
      </c>
      <c r="G11" s="568"/>
      <c r="H11" s="568"/>
      <c r="I11" s="568"/>
      <c r="J11" s="568"/>
      <c r="K11" s="568"/>
      <c r="L11" s="568"/>
      <c r="M11" s="568"/>
      <c r="N11" s="568"/>
      <c r="O11" s="568"/>
      <c r="P11" s="569">
        <f t="shared" si="0"/>
        <v>1</v>
      </c>
    </row>
    <row r="12" spans="1:16" x14ac:dyDescent="0.25">
      <c r="A12" s="491">
        <v>1000054</v>
      </c>
      <c r="B12" s="12" t="s">
        <v>12</v>
      </c>
      <c r="C12" s="487"/>
      <c r="D12" s="503">
        <v>8</v>
      </c>
      <c r="E12" s="485"/>
      <c r="F12" s="568">
        <v>10</v>
      </c>
      <c r="G12" s="568"/>
      <c r="H12" s="568"/>
      <c r="I12" s="568"/>
      <c r="J12" s="568"/>
      <c r="K12" s="568"/>
      <c r="L12" s="568"/>
      <c r="M12" s="568"/>
      <c r="N12" s="568"/>
      <c r="O12" s="568"/>
      <c r="P12" s="569">
        <f t="shared" si="0"/>
        <v>10</v>
      </c>
    </row>
    <row r="13" spans="1:16" x14ac:dyDescent="0.25">
      <c r="A13" s="491">
        <v>1000070</v>
      </c>
      <c r="B13" s="12" t="s">
        <v>13</v>
      </c>
      <c r="C13" s="487"/>
      <c r="D13" s="503">
        <v>0</v>
      </c>
      <c r="E13" s="485"/>
      <c r="F13" s="568">
        <v>1</v>
      </c>
      <c r="G13" s="568"/>
      <c r="H13" s="568"/>
      <c r="I13" s="568"/>
      <c r="J13" s="568"/>
      <c r="K13" s="568"/>
      <c r="L13" s="568">
        <v>1</v>
      </c>
      <c r="M13" s="568"/>
      <c r="N13" s="568"/>
      <c r="O13" s="568"/>
      <c r="P13" s="569">
        <f t="shared" si="0"/>
        <v>2</v>
      </c>
    </row>
    <row r="14" spans="1:16" x14ac:dyDescent="0.25">
      <c r="A14" s="491">
        <v>1000017</v>
      </c>
      <c r="B14" s="12" t="s">
        <v>14</v>
      </c>
      <c r="C14" s="487"/>
      <c r="D14" s="503">
        <v>40</v>
      </c>
      <c r="E14" s="485"/>
      <c r="F14" s="568">
        <v>10</v>
      </c>
      <c r="G14" s="568"/>
      <c r="H14" s="568"/>
      <c r="I14" s="568"/>
      <c r="J14" s="568"/>
      <c r="K14" s="568"/>
      <c r="L14" s="568">
        <v>10</v>
      </c>
      <c r="M14" s="568"/>
      <c r="N14" s="568"/>
      <c r="O14" s="568"/>
      <c r="P14" s="569">
        <f t="shared" si="0"/>
        <v>20</v>
      </c>
    </row>
    <row r="15" spans="1:16" x14ac:dyDescent="0.25">
      <c r="A15" s="491">
        <v>1000016</v>
      </c>
      <c r="B15" s="12" t="s">
        <v>15</v>
      </c>
      <c r="C15" s="487"/>
      <c r="D15" s="503">
        <v>5</v>
      </c>
      <c r="E15" s="485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8">
        <f t="shared" si="0"/>
        <v>0</v>
      </c>
    </row>
    <row r="16" spans="1:16" x14ac:dyDescent="0.25">
      <c r="A16" s="491">
        <v>1000041</v>
      </c>
      <c r="B16" s="12" t="s">
        <v>16</v>
      </c>
      <c r="C16" s="487"/>
      <c r="D16" s="503">
        <v>5</v>
      </c>
      <c r="E16" s="485"/>
      <c r="F16" s="568"/>
      <c r="G16" s="568"/>
      <c r="H16" s="568"/>
      <c r="I16" s="568"/>
      <c r="J16" s="568"/>
      <c r="K16" s="568"/>
      <c r="L16" s="568"/>
      <c r="M16" s="568"/>
      <c r="N16" s="568"/>
      <c r="O16" s="568"/>
      <c r="P16" s="568">
        <f t="shared" si="0"/>
        <v>0</v>
      </c>
    </row>
    <row r="17" spans="1:16" x14ac:dyDescent="0.25">
      <c r="A17" s="491">
        <v>1000009</v>
      </c>
      <c r="B17" s="12" t="s">
        <v>19</v>
      </c>
      <c r="C17" s="487"/>
      <c r="D17" s="503">
        <v>1</v>
      </c>
      <c r="E17" s="485"/>
      <c r="F17" s="568"/>
      <c r="G17" s="568"/>
      <c r="H17" s="568"/>
      <c r="I17" s="568"/>
      <c r="J17" s="568"/>
      <c r="K17" s="568"/>
      <c r="L17" s="568"/>
      <c r="M17" s="568"/>
      <c r="N17" s="568"/>
      <c r="O17" s="568"/>
      <c r="P17" s="568">
        <f t="shared" si="0"/>
        <v>0</v>
      </c>
    </row>
    <row r="18" spans="1:16" x14ac:dyDescent="0.25">
      <c r="A18" s="491">
        <v>1000049</v>
      </c>
      <c r="B18" s="12" t="s">
        <v>21</v>
      </c>
      <c r="C18" s="487"/>
      <c r="D18" s="503">
        <v>1</v>
      </c>
      <c r="E18" s="485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8">
        <f t="shared" si="0"/>
        <v>0</v>
      </c>
    </row>
    <row r="19" spans="1:16" x14ac:dyDescent="0.25">
      <c r="A19" s="491">
        <v>1000050</v>
      </c>
      <c r="B19" s="12" t="s">
        <v>22</v>
      </c>
      <c r="C19" s="487"/>
      <c r="D19" s="503">
        <v>0</v>
      </c>
      <c r="E19" s="485"/>
      <c r="F19" s="568"/>
      <c r="G19" s="568"/>
      <c r="H19" s="568"/>
      <c r="I19" s="568"/>
      <c r="J19" s="568"/>
      <c r="K19" s="568"/>
      <c r="L19" s="568">
        <v>2</v>
      </c>
      <c r="M19" s="568"/>
      <c r="N19" s="568"/>
      <c r="O19" s="568"/>
      <c r="P19" s="569">
        <f t="shared" si="0"/>
        <v>2</v>
      </c>
    </row>
    <row r="20" spans="1:16" x14ac:dyDescent="0.25">
      <c r="A20" s="491">
        <v>1000045</v>
      </c>
      <c r="B20" s="12" t="s">
        <v>23</v>
      </c>
      <c r="C20" s="487"/>
      <c r="D20" s="503">
        <v>0</v>
      </c>
      <c r="E20" s="485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>
        <f t="shared" si="0"/>
        <v>0</v>
      </c>
    </row>
    <row r="21" spans="1:16" x14ac:dyDescent="0.25">
      <c r="A21" s="491">
        <v>1000031</v>
      </c>
      <c r="B21" s="12" t="s">
        <v>25</v>
      </c>
      <c r="C21" s="487"/>
      <c r="D21" s="503">
        <v>2</v>
      </c>
      <c r="E21" s="485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>
        <f t="shared" si="0"/>
        <v>0</v>
      </c>
    </row>
    <row r="22" spans="1:16" x14ac:dyDescent="0.25">
      <c r="A22" s="491">
        <v>1000032</v>
      </c>
      <c r="B22" s="12" t="s">
        <v>26</v>
      </c>
      <c r="C22" s="487"/>
      <c r="D22" s="503">
        <v>1</v>
      </c>
      <c r="E22" s="485"/>
      <c r="F22" s="568"/>
      <c r="G22" s="568"/>
      <c r="H22" s="568"/>
      <c r="I22" s="568"/>
      <c r="J22" s="568"/>
      <c r="K22" s="568"/>
      <c r="L22" s="568"/>
      <c r="M22" s="568"/>
      <c r="N22" s="568"/>
      <c r="O22" s="568"/>
      <c r="P22" s="568">
        <f t="shared" si="0"/>
        <v>0</v>
      </c>
    </row>
    <row r="23" spans="1:16" x14ac:dyDescent="0.25">
      <c r="A23" s="491">
        <v>1000027</v>
      </c>
      <c r="B23" s="12" t="s">
        <v>33</v>
      </c>
      <c r="C23" s="487"/>
      <c r="D23" s="503">
        <v>2</v>
      </c>
      <c r="E23" s="485"/>
      <c r="F23" s="568"/>
      <c r="G23" s="568"/>
      <c r="H23" s="568"/>
      <c r="I23" s="568"/>
      <c r="J23" s="568"/>
      <c r="K23" s="568"/>
      <c r="L23" s="568"/>
      <c r="M23" s="568"/>
      <c r="N23" s="568"/>
      <c r="O23" s="568"/>
      <c r="P23" s="568">
        <f t="shared" si="0"/>
        <v>0</v>
      </c>
    </row>
    <row r="24" spans="1:16" x14ac:dyDescent="0.25">
      <c r="A24" s="491">
        <v>1000100</v>
      </c>
      <c r="B24" s="12" t="s">
        <v>34</v>
      </c>
      <c r="C24" s="487"/>
      <c r="D24" s="503">
        <v>0</v>
      </c>
      <c r="E24" s="485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68">
        <f t="shared" si="0"/>
        <v>0</v>
      </c>
    </row>
    <row r="25" spans="1:16" x14ac:dyDescent="0.25">
      <c r="A25" s="491">
        <v>1000101</v>
      </c>
      <c r="B25" s="12" t="s">
        <v>35</v>
      </c>
      <c r="C25" s="487"/>
      <c r="D25" s="503">
        <v>0</v>
      </c>
      <c r="E25" s="485"/>
      <c r="F25" s="568"/>
      <c r="G25" s="568"/>
      <c r="H25" s="568"/>
      <c r="I25" s="568"/>
      <c r="J25" s="568"/>
      <c r="K25" s="568"/>
      <c r="L25" s="568"/>
      <c r="M25" s="568"/>
      <c r="N25" s="568"/>
      <c r="O25" s="568"/>
      <c r="P25" s="568">
        <f t="shared" si="0"/>
        <v>0</v>
      </c>
    </row>
    <row r="26" spans="1:16" x14ac:dyDescent="0.25">
      <c r="A26" s="491">
        <v>1000073</v>
      </c>
      <c r="B26" s="12" t="s">
        <v>36</v>
      </c>
      <c r="C26" s="487"/>
      <c r="D26" s="503">
        <v>0</v>
      </c>
      <c r="E26" s="485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>
        <f t="shared" si="0"/>
        <v>0</v>
      </c>
    </row>
    <row r="27" spans="1:16" x14ac:dyDescent="0.25">
      <c r="A27" s="491">
        <v>1000082</v>
      </c>
      <c r="B27" s="12" t="s">
        <v>37</v>
      </c>
      <c r="C27" s="487"/>
      <c r="D27" s="503">
        <v>50</v>
      </c>
      <c r="E27" s="485"/>
      <c r="F27" s="568">
        <v>8</v>
      </c>
      <c r="G27" s="568"/>
      <c r="H27" s="568"/>
      <c r="I27" s="568"/>
      <c r="J27" s="568"/>
      <c r="K27" s="568"/>
      <c r="L27" s="568">
        <v>8</v>
      </c>
      <c r="M27" s="568"/>
      <c r="N27" s="568"/>
      <c r="O27" s="568"/>
      <c r="P27" s="569">
        <f t="shared" si="0"/>
        <v>16</v>
      </c>
    </row>
    <row r="28" spans="1:16" x14ac:dyDescent="0.25">
      <c r="A28" s="491">
        <v>1000084</v>
      </c>
      <c r="B28" s="12" t="s">
        <v>38</v>
      </c>
      <c r="C28" s="487"/>
      <c r="D28" s="503">
        <v>10</v>
      </c>
      <c r="E28" s="485"/>
      <c r="F28" s="568">
        <v>4</v>
      </c>
      <c r="G28" s="568"/>
      <c r="H28" s="568"/>
      <c r="I28" s="568"/>
      <c r="J28" s="568"/>
      <c r="K28" s="568"/>
      <c r="L28" s="568">
        <v>4</v>
      </c>
      <c r="M28" s="568"/>
      <c r="N28" s="568"/>
      <c r="O28" s="568"/>
      <c r="P28" s="569">
        <f t="shared" si="0"/>
        <v>8</v>
      </c>
    </row>
    <row r="29" spans="1:16" x14ac:dyDescent="0.25">
      <c r="A29" s="491">
        <v>1000146</v>
      </c>
      <c r="B29" s="12" t="s">
        <v>39</v>
      </c>
      <c r="C29" s="487"/>
      <c r="D29" s="503">
        <v>8</v>
      </c>
      <c r="E29" s="485"/>
      <c r="F29" s="568">
        <v>10</v>
      </c>
      <c r="G29" s="568"/>
      <c r="H29" s="568"/>
      <c r="I29" s="568"/>
      <c r="J29" s="568"/>
      <c r="K29" s="568"/>
      <c r="L29" s="568"/>
      <c r="M29" s="568"/>
      <c r="N29" s="568"/>
      <c r="O29" s="568"/>
      <c r="P29" s="569">
        <f t="shared" si="0"/>
        <v>10</v>
      </c>
    </row>
    <row r="30" spans="1:16" x14ac:dyDescent="0.25">
      <c r="A30" s="491">
        <v>10248</v>
      </c>
      <c r="B30" s="12" t="s">
        <v>183</v>
      </c>
      <c r="C30" s="487"/>
      <c r="D30" s="503">
        <v>0</v>
      </c>
      <c r="E30" s="485"/>
      <c r="F30" s="568">
        <v>6</v>
      </c>
      <c r="G30" s="568"/>
      <c r="H30" s="568"/>
      <c r="I30" s="568"/>
      <c r="J30" s="568"/>
      <c r="K30" s="568"/>
      <c r="L30" s="568">
        <v>6</v>
      </c>
      <c r="M30" s="568"/>
      <c r="N30" s="568"/>
      <c r="O30" s="568"/>
      <c r="P30" s="569">
        <f t="shared" si="0"/>
        <v>12</v>
      </c>
    </row>
    <row r="31" spans="1:16" x14ac:dyDescent="0.25">
      <c r="A31" s="491">
        <v>1000090</v>
      </c>
      <c r="B31" s="12" t="s">
        <v>40</v>
      </c>
      <c r="C31" s="487"/>
      <c r="D31" s="503">
        <v>3</v>
      </c>
      <c r="E31" s="485"/>
      <c r="F31" s="568"/>
      <c r="G31" s="568"/>
      <c r="H31" s="568"/>
      <c r="I31" s="568"/>
      <c r="J31" s="568"/>
      <c r="K31" s="568"/>
      <c r="L31" s="568"/>
      <c r="M31" s="568"/>
      <c r="N31" s="568"/>
      <c r="O31" s="568"/>
      <c r="P31" s="568">
        <f t="shared" si="0"/>
        <v>0</v>
      </c>
    </row>
    <row r="32" spans="1:16" x14ac:dyDescent="0.25">
      <c r="A32" s="491">
        <v>1000052</v>
      </c>
      <c r="B32" s="12" t="s">
        <v>41</v>
      </c>
      <c r="C32" s="487"/>
      <c r="D32" s="503">
        <v>2</v>
      </c>
      <c r="E32" s="485"/>
      <c r="F32" s="568">
        <v>2</v>
      </c>
      <c r="G32" s="568"/>
      <c r="H32" s="568"/>
      <c r="I32" s="568"/>
      <c r="J32" s="568"/>
      <c r="K32" s="568"/>
      <c r="L32" s="568">
        <v>2</v>
      </c>
      <c r="M32" s="568"/>
      <c r="N32" s="568"/>
      <c r="O32" s="568"/>
      <c r="P32" s="569">
        <f t="shared" si="0"/>
        <v>4</v>
      </c>
    </row>
    <row r="33" spans="1:16" x14ac:dyDescent="0.25">
      <c r="A33" s="491">
        <v>1000089</v>
      </c>
      <c r="B33" s="12" t="s">
        <v>42</v>
      </c>
      <c r="C33" s="487"/>
      <c r="D33" s="503">
        <v>2</v>
      </c>
      <c r="E33" s="485"/>
      <c r="F33" s="568">
        <v>2</v>
      </c>
      <c r="G33" s="568"/>
      <c r="H33" s="568"/>
      <c r="I33" s="568"/>
      <c r="J33" s="568"/>
      <c r="K33" s="568"/>
      <c r="L33" s="568">
        <v>2</v>
      </c>
      <c r="M33" s="568"/>
      <c r="N33" s="568"/>
      <c r="O33" s="568"/>
      <c r="P33" s="569">
        <f t="shared" si="0"/>
        <v>4</v>
      </c>
    </row>
    <row r="34" spans="1:16" x14ac:dyDescent="0.25">
      <c r="A34" s="491">
        <v>1000051</v>
      </c>
      <c r="B34" s="12" t="s">
        <v>43</v>
      </c>
      <c r="C34" s="487"/>
      <c r="D34" s="503">
        <v>1</v>
      </c>
      <c r="E34" s="485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812">
        <f t="shared" si="0"/>
        <v>0</v>
      </c>
    </row>
    <row r="35" spans="1:16" x14ac:dyDescent="0.25">
      <c r="A35" s="491">
        <v>1000048</v>
      </c>
      <c r="B35" s="12" t="s">
        <v>45</v>
      </c>
      <c r="C35" s="487"/>
      <c r="D35" s="503">
        <v>0</v>
      </c>
      <c r="E35" s="485"/>
      <c r="F35" s="568"/>
      <c r="G35" s="568"/>
      <c r="H35" s="568"/>
      <c r="I35" s="568"/>
      <c r="J35" s="568"/>
      <c r="K35" s="568"/>
      <c r="L35" s="568">
        <v>1</v>
      </c>
      <c r="M35" s="568"/>
      <c r="N35" s="568"/>
      <c r="O35" s="568"/>
      <c r="P35" s="569">
        <f t="shared" si="0"/>
        <v>1</v>
      </c>
    </row>
    <row r="36" spans="1:16" x14ac:dyDescent="0.25">
      <c r="A36" s="491">
        <v>1000076</v>
      </c>
      <c r="B36" s="12" t="s">
        <v>46</v>
      </c>
      <c r="C36" s="487"/>
      <c r="D36" s="503">
        <v>0</v>
      </c>
      <c r="E36" s="485"/>
      <c r="F36" s="568"/>
      <c r="G36" s="568"/>
      <c r="H36" s="568"/>
      <c r="I36" s="568"/>
      <c r="J36" s="568"/>
      <c r="K36" s="568"/>
      <c r="L36" s="568"/>
      <c r="M36" s="568"/>
      <c r="N36" s="568"/>
      <c r="O36" s="568"/>
      <c r="P36" s="568">
        <f t="shared" si="0"/>
        <v>0</v>
      </c>
    </row>
    <row r="37" spans="1:16" x14ac:dyDescent="0.25">
      <c r="A37" s="491">
        <v>1000085</v>
      </c>
      <c r="B37" s="12" t="s">
        <v>50</v>
      </c>
      <c r="C37" s="487"/>
      <c r="D37" s="503">
        <v>0</v>
      </c>
      <c r="E37" s="485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>
        <f t="shared" si="0"/>
        <v>0</v>
      </c>
    </row>
    <row r="38" spans="1:16" x14ac:dyDescent="0.25">
      <c r="A38" s="491">
        <v>1000147</v>
      </c>
      <c r="B38" s="12" t="s">
        <v>52</v>
      </c>
      <c r="C38" s="487"/>
      <c r="D38" s="503">
        <v>0</v>
      </c>
      <c r="E38" s="485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>
        <f t="shared" si="0"/>
        <v>0</v>
      </c>
    </row>
    <row r="39" spans="1:16" x14ac:dyDescent="0.25">
      <c r="A39" s="491">
        <v>1000142</v>
      </c>
      <c r="B39" s="12" t="s">
        <v>54</v>
      </c>
      <c r="C39" s="487"/>
      <c r="D39" s="503">
        <v>0</v>
      </c>
      <c r="E39" s="485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>
        <f t="shared" si="0"/>
        <v>0</v>
      </c>
    </row>
    <row r="40" spans="1:16" x14ac:dyDescent="0.25">
      <c r="A40" s="491">
        <v>1000087</v>
      </c>
      <c r="B40" s="12" t="s">
        <v>69</v>
      </c>
      <c r="C40" s="487"/>
      <c r="D40" s="503">
        <v>0</v>
      </c>
      <c r="E40" s="485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>
        <f t="shared" si="0"/>
        <v>0</v>
      </c>
    </row>
    <row r="41" spans="1:16" x14ac:dyDescent="0.25">
      <c r="A41" s="491">
        <v>1000057</v>
      </c>
      <c r="B41" s="12" t="s">
        <v>70</v>
      </c>
      <c r="C41" s="487"/>
      <c r="D41" s="503">
        <v>0</v>
      </c>
      <c r="E41" s="485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>
        <f t="shared" si="0"/>
        <v>0</v>
      </c>
    </row>
    <row r="42" spans="1:16" x14ac:dyDescent="0.25">
      <c r="A42" s="491">
        <v>1000073</v>
      </c>
      <c r="B42" s="12" t="s">
        <v>36</v>
      </c>
      <c r="C42" s="487"/>
      <c r="D42" s="503">
        <v>0</v>
      </c>
      <c r="E42" s="485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>
        <f t="shared" si="0"/>
        <v>0</v>
      </c>
    </row>
    <row r="43" spans="1:16" x14ac:dyDescent="0.25">
      <c r="A43" s="491">
        <v>1000004</v>
      </c>
      <c r="B43" s="12" t="s">
        <v>10</v>
      </c>
      <c r="C43" s="487"/>
      <c r="D43" s="503"/>
      <c r="E43" s="485"/>
      <c r="F43" s="568">
        <v>2</v>
      </c>
      <c r="G43" s="568"/>
      <c r="H43" s="568"/>
      <c r="I43" s="568"/>
      <c r="J43" s="568"/>
      <c r="K43" s="568"/>
      <c r="L43" s="568">
        <v>2</v>
      </c>
      <c r="M43" s="568"/>
      <c r="N43" s="568"/>
      <c r="O43" s="568"/>
      <c r="P43" s="569">
        <f t="shared" si="0"/>
        <v>4</v>
      </c>
    </row>
    <row r="44" spans="1:16" x14ac:dyDescent="0.25">
      <c r="A44" s="491">
        <v>1000214</v>
      </c>
      <c r="B44" s="12" t="s">
        <v>49</v>
      </c>
      <c r="C44" s="487"/>
      <c r="D44" s="503"/>
      <c r="E44" s="485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8">
        <f t="shared" si="0"/>
        <v>0</v>
      </c>
    </row>
    <row r="45" spans="1:16" x14ac:dyDescent="0.25">
      <c r="A45" s="491">
        <v>1000030</v>
      </c>
      <c r="B45" s="12" t="s">
        <v>24</v>
      </c>
      <c r="C45" s="487"/>
      <c r="D45" s="503"/>
      <c r="E45" s="485"/>
      <c r="F45" s="568"/>
      <c r="G45" s="568"/>
      <c r="H45" s="568"/>
      <c r="I45" s="568"/>
      <c r="J45" s="568"/>
      <c r="K45" s="568"/>
      <c r="L45" s="568"/>
      <c r="M45" s="568"/>
      <c r="N45" s="568"/>
      <c r="O45" s="568"/>
      <c r="P45" s="568">
        <f t="shared" si="0"/>
        <v>0</v>
      </c>
    </row>
    <row r="46" spans="1:16" x14ac:dyDescent="0.25">
      <c r="A46" s="491">
        <v>1000033</v>
      </c>
      <c r="B46" s="12" t="s">
        <v>27</v>
      </c>
      <c r="C46" s="487"/>
      <c r="D46" s="503"/>
      <c r="E46" s="485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>
        <f t="shared" si="0"/>
        <v>0</v>
      </c>
    </row>
    <row r="47" spans="1:16" x14ac:dyDescent="0.25">
      <c r="A47" s="491">
        <v>1000029</v>
      </c>
      <c r="B47" s="12" t="s">
        <v>30</v>
      </c>
      <c r="C47" s="487"/>
      <c r="D47" s="503"/>
      <c r="E47" s="485"/>
      <c r="F47" s="568"/>
      <c r="G47" s="568"/>
      <c r="H47" s="568"/>
      <c r="I47" s="568"/>
      <c r="J47" s="568"/>
      <c r="K47" s="568"/>
      <c r="L47" s="568">
        <v>1</v>
      </c>
      <c r="M47" s="568"/>
      <c r="N47" s="568"/>
      <c r="O47" s="568"/>
      <c r="P47" s="569">
        <f t="shared" si="0"/>
        <v>1</v>
      </c>
    </row>
    <row r="48" spans="1:16" x14ac:dyDescent="0.25">
      <c r="A48" s="491">
        <v>1000092</v>
      </c>
      <c r="B48" s="12" t="s">
        <v>51</v>
      </c>
      <c r="C48" s="487"/>
      <c r="D48" s="503"/>
      <c r="E48" s="485"/>
      <c r="F48" s="568"/>
      <c r="G48" s="568"/>
      <c r="H48" s="568"/>
      <c r="I48" s="568"/>
      <c r="J48" s="568"/>
      <c r="K48" s="568"/>
      <c r="L48" s="568"/>
      <c r="M48" s="568"/>
      <c r="N48" s="568"/>
      <c r="O48" s="568"/>
      <c r="P48" s="568">
        <f t="shared" si="0"/>
        <v>0</v>
      </c>
    </row>
    <row r="49" spans="1:16" x14ac:dyDescent="0.25">
      <c r="A49" s="491">
        <v>1000117</v>
      </c>
      <c r="B49" s="12" t="s">
        <v>80</v>
      </c>
      <c r="C49" s="487"/>
      <c r="D49" s="503"/>
      <c r="E49" s="485"/>
      <c r="F49" s="568"/>
      <c r="G49" s="568"/>
      <c r="H49" s="568"/>
      <c r="I49" s="568"/>
      <c r="J49" s="568"/>
      <c r="K49" s="568"/>
      <c r="L49" s="568"/>
      <c r="M49" s="568"/>
      <c r="N49" s="568"/>
      <c r="O49" s="568"/>
      <c r="P49" s="568">
        <f t="shared" si="0"/>
        <v>0</v>
      </c>
    </row>
    <row r="50" spans="1:16" x14ac:dyDescent="0.25">
      <c r="A50" s="491">
        <v>1000034</v>
      </c>
      <c r="B50" s="12" t="s">
        <v>28</v>
      </c>
      <c r="C50" s="487"/>
      <c r="D50" s="503"/>
      <c r="E50" s="485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>
        <f t="shared" si="0"/>
        <v>0</v>
      </c>
    </row>
    <row r="51" spans="1:16" x14ac:dyDescent="0.25">
      <c r="A51" s="491">
        <v>1000062</v>
      </c>
      <c r="B51" s="12" t="s">
        <v>66</v>
      </c>
      <c r="C51" s="487"/>
      <c r="D51" s="503"/>
      <c r="E51" s="485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>
        <f t="shared" si="0"/>
        <v>0</v>
      </c>
    </row>
    <row r="52" spans="1:16" x14ac:dyDescent="0.25">
      <c r="A52" s="491">
        <v>1000075</v>
      </c>
      <c r="B52" s="12" t="s">
        <v>47</v>
      </c>
      <c r="C52" s="487"/>
      <c r="D52" s="503"/>
      <c r="E52" s="485"/>
      <c r="F52" s="568"/>
      <c r="G52" s="568"/>
      <c r="H52" s="568"/>
      <c r="I52" s="568"/>
      <c r="J52" s="568"/>
      <c r="K52" s="568"/>
      <c r="L52" s="568">
        <v>1</v>
      </c>
      <c r="M52" s="568"/>
      <c r="N52" s="568"/>
      <c r="O52" s="568"/>
      <c r="P52" s="569">
        <f t="shared" si="0"/>
        <v>1</v>
      </c>
    </row>
    <row r="53" spans="1:16" x14ac:dyDescent="0.25">
      <c r="A53" s="491">
        <v>1000472</v>
      </c>
      <c r="B53" s="12" t="s">
        <v>222</v>
      </c>
      <c r="C53" s="487"/>
      <c r="D53" s="503"/>
      <c r="E53" s="485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>
        <f t="shared" si="0"/>
        <v>0</v>
      </c>
    </row>
    <row r="54" spans="1:16" x14ac:dyDescent="0.25">
      <c r="A54" s="491">
        <v>1000025</v>
      </c>
      <c r="B54" s="12" t="s">
        <v>32</v>
      </c>
      <c r="C54" s="487"/>
      <c r="D54" s="503"/>
      <c r="E54" s="485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>
        <f t="shared" si="0"/>
        <v>0</v>
      </c>
    </row>
    <row r="55" spans="1:16" x14ac:dyDescent="0.25">
      <c r="A55" s="491">
        <v>1000080</v>
      </c>
      <c r="B55" s="12" t="s">
        <v>275</v>
      </c>
      <c r="C55" s="487"/>
      <c r="D55" s="503"/>
      <c r="E55" s="485"/>
      <c r="F55" s="568"/>
      <c r="G55" s="568"/>
      <c r="H55" s="568"/>
      <c r="I55" s="568"/>
      <c r="J55" s="568"/>
      <c r="K55" s="568"/>
      <c r="L55" s="568"/>
      <c r="M55" s="568"/>
      <c r="N55" s="568"/>
      <c r="O55" s="568"/>
      <c r="P55" s="568">
        <f t="shared" si="0"/>
        <v>0</v>
      </c>
    </row>
    <row r="56" spans="1:16" x14ac:dyDescent="0.25">
      <c r="A56" s="491">
        <v>1000436</v>
      </c>
      <c r="B56" s="12" t="s">
        <v>276</v>
      </c>
      <c r="C56" s="487"/>
      <c r="D56" s="503"/>
      <c r="E56" s="485"/>
      <c r="F56" s="568"/>
      <c r="G56" s="568"/>
      <c r="H56" s="568"/>
      <c r="I56" s="568"/>
      <c r="J56" s="568"/>
      <c r="K56" s="568"/>
      <c r="L56" s="568"/>
      <c r="M56" s="568"/>
      <c r="N56" s="568"/>
      <c r="O56" s="568"/>
      <c r="P56" s="568">
        <f t="shared" si="0"/>
        <v>0</v>
      </c>
    </row>
    <row r="57" spans="1:16" x14ac:dyDescent="0.25">
      <c r="A57" s="491">
        <v>1000550</v>
      </c>
      <c r="B57" s="12" t="s">
        <v>277</v>
      </c>
      <c r="C57" s="487"/>
      <c r="D57" s="503"/>
      <c r="E57" s="485"/>
      <c r="F57" s="568"/>
      <c r="G57" s="568"/>
      <c r="H57" s="568"/>
      <c r="I57" s="568"/>
      <c r="J57" s="568"/>
      <c r="K57" s="568"/>
      <c r="L57" s="568"/>
      <c r="M57" s="568"/>
      <c r="N57" s="568"/>
      <c r="O57" s="568"/>
      <c r="P57" s="568">
        <f t="shared" si="0"/>
        <v>0</v>
      </c>
    </row>
    <row r="58" spans="1:16" x14ac:dyDescent="0.25">
      <c r="A58" s="506">
        <v>1000551</v>
      </c>
      <c r="B58" s="12" t="s">
        <v>278</v>
      </c>
      <c r="D58" s="491"/>
      <c r="E58" s="496"/>
      <c r="F58" s="568"/>
      <c r="G58" s="568"/>
      <c r="H58" s="568"/>
      <c r="I58" s="568"/>
      <c r="J58" s="568"/>
      <c r="K58" s="568"/>
      <c r="L58" s="568"/>
      <c r="M58" s="568"/>
      <c r="N58" s="568"/>
      <c r="O58" s="568"/>
      <c r="P58" s="568">
        <f t="shared" si="0"/>
        <v>0</v>
      </c>
    </row>
    <row r="59" spans="1:16" ht="16.5" thickBot="1" x14ac:dyDescent="0.3">
      <c r="A59" s="207">
        <v>1000552</v>
      </c>
      <c r="B59" s="246" t="s">
        <v>279</v>
      </c>
      <c r="D59" s="495"/>
      <c r="E59" s="496"/>
      <c r="F59" s="568"/>
      <c r="G59" s="568"/>
      <c r="H59" s="568"/>
      <c r="I59" s="568"/>
      <c r="J59" s="568"/>
      <c r="K59" s="568"/>
      <c r="L59" s="568"/>
      <c r="M59" s="568"/>
      <c r="N59" s="568"/>
      <c r="O59" s="568"/>
      <c r="P59" s="568">
        <f t="shared" si="0"/>
        <v>0</v>
      </c>
    </row>
    <row r="60" spans="1:16" ht="16.5" thickBot="1" x14ac:dyDescent="0.3">
      <c r="A60" s="486">
        <v>10000015</v>
      </c>
      <c r="B60" s="53" t="s">
        <v>1</v>
      </c>
      <c r="D60" s="495"/>
      <c r="F60" s="568"/>
      <c r="G60" s="568"/>
      <c r="H60" s="568"/>
      <c r="I60" s="568"/>
      <c r="J60" s="568"/>
      <c r="K60" s="568"/>
      <c r="L60" s="568">
        <v>10</v>
      </c>
      <c r="M60" s="568"/>
      <c r="N60" s="568"/>
      <c r="O60" s="568"/>
      <c r="P60" s="569">
        <f t="shared" ref="P60" si="1">SUM(F60:O60)</f>
        <v>10</v>
      </c>
    </row>
  </sheetData>
  <mergeCells count="3">
    <mergeCell ref="A1:B2"/>
    <mergeCell ref="D1:D2"/>
    <mergeCell ref="F1:J2"/>
  </mergeCells>
  <phoneticPr fontId="108" type="noConversion"/>
  <pageMargins left="0.7" right="0.7" top="0.75" bottom="0.75" header="0.3" footer="0.3"/>
  <pageSetup paperSize="9" scale="51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AF01-942A-4E6C-ABB8-DAE2EDDB49C7}">
  <sheetPr>
    <tabColor rgb="FF7030A0"/>
    <pageSetUpPr fitToPage="1"/>
  </sheetPr>
  <dimension ref="A1:T51"/>
  <sheetViews>
    <sheetView topLeftCell="A14" zoomScale="85" zoomScaleNormal="85" workbookViewId="0">
      <selection activeCell="R10" sqref="R10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75" style="27" customWidth="1"/>
    <col min="8" max="8" width="9.125" style="27" bestFit="1" customWidth="1"/>
    <col min="9" max="9" width="6.125" style="27" customWidth="1"/>
    <col min="10" max="10" width="7.5" style="27" customWidth="1"/>
    <col min="11" max="11" width="7" style="27" customWidth="1"/>
    <col min="12" max="12" width="9.125" style="27" bestFit="1" customWidth="1"/>
    <col min="13" max="13" width="6.625" style="27" customWidth="1"/>
    <col min="14" max="14" width="9.125" style="27" bestFit="1" customWidth="1"/>
    <col min="15" max="15" width="7" style="27" customWidth="1"/>
    <col min="16" max="16384" width="10.875" style="27"/>
  </cols>
  <sheetData>
    <row r="1" spans="1:16" ht="17.25" customHeight="1" x14ac:dyDescent="0.45">
      <c r="A1" s="686" t="s">
        <v>456</v>
      </c>
      <c r="B1" s="687"/>
      <c r="C1" s="18"/>
      <c r="D1" s="18"/>
      <c r="E1" s="576"/>
      <c r="F1" s="751" t="s">
        <v>474</v>
      </c>
      <c r="G1" s="752"/>
      <c r="H1" s="752"/>
      <c r="I1" s="752"/>
      <c r="J1" s="753"/>
      <c r="K1" s="2"/>
      <c r="L1" s="747" t="s">
        <v>170</v>
      </c>
      <c r="M1" s="749" t="s">
        <v>172</v>
      </c>
      <c r="N1" s="576"/>
      <c r="O1" s="576"/>
      <c r="P1" s="576"/>
    </row>
    <row r="2" spans="1:16" s="3" customFormat="1" ht="17.25" customHeight="1" thickBot="1" x14ac:dyDescent="0.5">
      <c r="A2" s="688"/>
      <c r="B2" s="689"/>
      <c r="C2" s="18"/>
      <c r="D2" s="439" t="s">
        <v>362</v>
      </c>
      <c r="F2" s="754"/>
      <c r="G2" s="755"/>
      <c r="H2" s="755"/>
      <c r="I2" s="755"/>
      <c r="J2" s="756"/>
      <c r="K2" s="2"/>
      <c r="L2" s="748"/>
      <c r="M2" s="750"/>
    </row>
    <row r="3" spans="1:16" s="3" customFormat="1" ht="21" customHeight="1" thickBot="1" x14ac:dyDescent="0.3">
      <c r="A3" s="5"/>
      <c r="B3" s="5" t="s">
        <v>457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576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577">
        <v>1000006</v>
      </c>
      <c r="B5" s="11" t="s">
        <v>4</v>
      </c>
      <c r="C5" s="578"/>
      <c r="D5" s="579">
        <v>50</v>
      </c>
      <c r="E5" s="576"/>
      <c r="F5" s="580"/>
      <c r="G5" s="580"/>
      <c r="H5" s="580">
        <v>100</v>
      </c>
      <c r="I5" s="580"/>
      <c r="J5" s="580"/>
      <c r="K5" s="580"/>
      <c r="L5" s="580"/>
      <c r="M5" s="580"/>
      <c r="N5" s="580"/>
      <c r="O5" s="580"/>
      <c r="P5" s="615">
        <f t="shared" ref="P5:P50" si="0">SUM(F5:O5)</f>
        <v>100</v>
      </c>
    </row>
    <row r="6" spans="1:16" ht="15.75" thickBot="1" x14ac:dyDescent="0.3">
      <c r="A6" s="581">
        <v>1000007</v>
      </c>
      <c r="B6" s="12" t="s">
        <v>5</v>
      </c>
      <c r="C6" s="578"/>
      <c r="D6" s="582">
        <v>20</v>
      </c>
      <c r="E6" s="576"/>
      <c r="F6" s="580"/>
      <c r="G6" s="580"/>
      <c r="H6" s="580">
        <v>100</v>
      </c>
      <c r="I6" s="580"/>
      <c r="J6" s="580"/>
      <c r="K6" s="580"/>
      <c r="L6" s="580"/>
      <c r="M6" s="580"/>
      <c r="N6" s="580"/>
      <c r="O6" s="580"/>
      <c r="P6" s="617">
        <f t="shared" si="0"/>
        <v>100</v>
      </c>
    </row>
    <row r="7" spans="1:16" ht="15.75" thickBot="1" x14ac:dyDescent="0.3">
      <c r="A7" s="581">
        <v>1000001</v>
      </c>
      <c r="B7" s="12" t="s">
        <v>8</v>
      </c>
      <c r="C7" s="578"/>
      <c r="D7" s="582">
        <v>1</v>
      </c>
      <c r="E7" s="576"/>
      <c r="F7" s="580"/>
      <c r="G7" s="580"/>
      <c r="H7" s="580"/>
      <c r="I7" s="580"/>
      <c r="J7" s="580"/>
      <c r="K7" s="580"/>
      <c r="L7" s="580"/>
      <c r="M7" s="580"/>
      <c r="N7" s="580">
        <v>3</v>
      </c>
      <c r="O7" s="580"/>
      <c r="P7" s="617">
        <f t="shared" si="0"/>
        <v>3</v>
      </c>
    </row>
    <row r="8" spans="1:16" ht="15.75" thickBot="1" x14ac:dyDescent="0.3">
      <c r="A8" s="581">
        <v>1000002</v>
      </c>
      <c r="B8" s="12" t="s">
        <v>9</v>
      </c>
      <c r="C8" s="578"/>
      <c r="D8" s="582">
        <v>1</v>
      </c>
      <c r="E8" s="576"/>
      <c r="F8" s="580"/>
      <c r="G8" s="580"/>
      <c r="H8" s="580"/>
      <c r="I8" s="580"/>
      <c r="J8" s="580"/>
      <c r="K8" s="580"/>
      <c r="L8" s="580"/>
      <c r="M8" s="580"/>
      <c r="N8" s="580"/>
      <c r="O8" s="580"/>
      <c r="P8" s="619">
        <f t="shared" si="0"/>
        <v>0</v>
      </c>
    </row>
    <row r="9" spans="1:16" ht="15.75" thickBot="1" x14ac:dyDescent="0.3">
      <c r="A9" s="581">
        <v>1000004</v>
      </c>
      <c r="B9" s="12" t="s">
        <v>10</v>
      </c>
      <c r="C9" s="578"/>
      <c r="D9" s="582">
        <v>1</v>
      </c>
      <c r="E9" s="576"/>
      <c r="F9" s="580"/>
      <c r="G9" s="580"/>
      <c r="H9" s="580"/>
      <c r="I9" s="580"/>
      <c r="J9" s="580"/>
      <c r="K9" s="580"/>
      <c r="L9" s="580"/>
      <c r="M9" s="580"/>
      <c r="N9" s="580"/>
      <c r="O9" s="580"/>
      <c r="P9" s="619">
        <f t="shared" si="0"/>
        <v>0</v>
      </c>
    </row>
    <row r="10" spans="1:16" ht="15.75" thickBot="1" x14ac:dyDescent="0.3">
      <c r="A10" s="581">
        <v>1000054</v>
      </c>
      <c r="B10" s="12" t="s">
        <v>12</v>
      </c>
      <c r="C10" s="578"/>
      <c r="D10" s="582">
        <v>15</v>
      </c>
      <c r="E10" s="576"/>
      <c r="F10" s="580"/>
      <c r="G10" s="580"/>
      <c r="H10" s="580">
        <v>5</v>
      </c>
      <c r="I10" s="580"/>
      <c r="J10" s="580"/>
      <c r="K10" s="580"/>
      <c r="L10" s="580"/>
      <c r="M10" s="580"/>
      <c r="N10" s="580">
        <v>5</v>
      </c>
      <c r="O10" s="580"/>
      <c r="P10" s="617">
        <f t="shared" si="0"/>
        <v>10</v>
      </c>
    </row>
    <row r="11" spans="1:16" ht="15.75" thickBot="1" x14ac:dyDescent="0.3">
      <c r="A11" s="581">
        <v>1000070</v>
      </c>
      <c r="B11" s="12" t="s">
        <v>13</v>
      </c>
      <c r="C11" s="578"/>
      <c r="D11" s="582">
        <v>0</v>
      </c>
      <c r="E11" s="576"/>
      <c r="F11" s="580"/>
      <c r="G11" s="580"/>
      <c r="H11" s="580"/>
      <c r="I11" s="580"/>
      <c r="J11" s="580"/>
      <c r="K11" s="580"/>
      <c r="L11" s="580"/>
      <c r="M11" s="580"/>
      <c r="N11" s="580"/>
      <c r="O11" s="580"/>
      <c r="P11" s="817">
        <f t="shared" si="0"/>
        <v>0</v>
      </c>
    </row>
    <row r="12" spans="1:16" ht="15.75" thickBot="1" x14ac:dyDescent="0.3">
      <c r="A12" s="581">
        <v>1000017</v>
      </c>
      <c r="B12" s="12" t="s">
        <v>14</v>
      </c>
      <c r="C12" s="578"/>
      <c r="D12" s="582">
        <v>5</v>
      </c>
      <c r="E12" s="576"/>
      <c r="F12" s="580"/>
      <c r="G12" s="580"/>
      <c r="H12" s="580">
        <v>5</v>
      </c>
      <c r="I12" s="580"/>
      <c r="J12" s="580"/>
      <c r="K12" s="580"/>
      <c r="L12" s="580"/>
      <c r="M12" s="580"/>
      <c r="N12" s="580"/>
      <c r="O12" s="580"/>
      <c r="P12" s="618">
        <f t="shared" si="0"/>
        <v>5</v>
      </c>
    </row>
    <row r="13" spans="1:16" ht="15.75" thickBot="1" x14ac:dyDescent="0.3">
      <c r="A13" s="581">
        <v>1000016</v>
      </c>
      <c r="B13" s="12" t="s">
        <v>15</v>
      </c>
      <c r="C13" s="578"/>
      <c r="D13" s="582">
        <v>2</v>
      </c>
      <c r="E13" s="576"/>
      <c r="F13" s="580"/>
      <c r="G13" s="580"/>
      <c r="H13" s="580"/>
      <c r="I13" s="580"/>
      <c r="J13" s="580"/>
      <c r="K13" s="580"/>
      <c r="L13" s="580"/>
      <c r="M13" s="580"/>
      <c r="N13" s="580"/>
      <c r="O13" s="580"/>
      <c r="P13" s="620">
        <f t="shared" si="0"/>
        <v>0</v>
      </c>
    </row>
    <row r="14" spans="1:16" ht="15.75" thickBot="1" x14ac:dyDescent="0.3">
      <c r="A14" s="581">
        <v>1000041</v>
      </c>
      <c r="B14" s="12" t="s">
        <v>16</v>
      </c>
      <c r="C14" s="578"/>
      <c r="D14" s="582">
        <v>1</v>
      </c>
      <c r="E14" s="576"/>
      <c r="F14" s="580"/>
      <c r="G14" s="580"/>
      <c r="H14" s="580"/>
      <c r="I14" s="580"/>
      <c r="J14" s="580"/>
      <c r="K14" s="580"/>
      <c r="L14" s="580"/>
      <c r="M14" s="580"/>
      <c r="N14" s="580"/>
      <c r="O14" s="580"/>
      <c r="P14" s="620">
        <f t="shared" si="0"/>
        <v>0</v>
      </c>
    </row>
    <row r="15" spans="1:16" ht="15.75" thickBot="1" x14ac:dyDescent="0.3">
      <c r="A15" s="581">
        <v>1000049</v>
      </c>
      <c r="B15" s="12" t="s">
        <v>21</v>
      </c>
      <c r="C15" s="578"/>
      <c r="D15" s="582">
        <v>1</v>
      </c>
      <c r="E15" s="576"/>
      <c r="F15" s="580"/>
      <c r="G15" s="580"/>
      <c r="H15" s="580"/>
      <c r="I15" s="580"/>
      <c r="J15" s="580"/>
      <c r="K15" s="580"/>
      <c r="L15" s="580"/>
      <c r="M15" s="580"/>
      <c r="N15" s="580"/>
      <c r="O15" s="580"/>
      <c r="P15" s="620">
        <f t="shared" si="0"/>
        <v>0</v>
      </c>
    </row>
    <row r="16" spans="1:16" ht="15.75" thickBot="1" x14ac:dyDescent="0.3">
      <c r="A16" s="581">
        <v>1000050</v>
      </c>
      <c r="B16" s="12" t="s">
        <v>22</v>
      </c>
      <c r="C16" s="578"/>
      <c r="D16" s="582">
        <v>1</v>
      </c>
      <c r="E16" s="576"/>
      <c r="F16" s="580">
        <v>4</v>
      </c>
      <c r="G16" s="580"/>
      <c r="H16" s="580"/>
      <c r="I16" s="580"/>
      <c r="J16" s="580"/>
      <c r="K16" s="580"/>
      <c r="L16" s="580"/>
      <c r="M16" s="580"/>
      <c r="N16" s="580"/>
      <c r="O16" s="580"/>
      <c r="P16" s="617">
        <f t="shared" si="0"/>
        <v>4</v>
      </c>
    </row>
    <row r="17" spans="1:20" ht="15.75" thickBot="1" x14ac:dyDescent="0.3">
      <c r="A17" s="581">
        <v>1000030</v>
      </c>
      <c r="B17" s="12" t="s">
        <v>24</v>
      </c>
      <c r="C17" s="578"/>
      <c r="D17" s="582">
        <v>1</v>
      </c>
      <c r="E17" s="576"/>
      <c r="F17" s="580"/>
      <c r="G17" s="580"/>
      <c r="H17" s="580"/>
      <c r="I17" s="580"/>
      <c r="J17" s="580"/>
      <c r="K17" s="580"/>
      <c r="L17" s="580"/>
      <c r="M17" s="580"/>
      <c r="N17" s="580"/>
      <c r="O17" s="580"/>
      <c r="P17" s="620">
        <f t="shared" si="0"/>
        <v>0</v>
      </c>
    </row>
    <row r="18" spans="1:20" ht="15.75" thickBot="1" x14ac:dyDescent="0.3">
      <c r="A18" s="581">
        <v>1000025</v>
      </c>
      <c r="B18" s="12" t="s">
        <v>32</v>
      </c>
      <c r="C18" s="578"/>
      <c r="D18" s="582">
        <v>1</v>
      </c>
      <c r="E18" s="576"/>
      <c r="F18" s="580"/>
      <c r="G18" s="580"/>
      <c r="H18" s="580"/>
      <c r="I18" s="580"/>
      <c r="J18" s="580"/>
      <c r="K18" s="580"/>
      <c r="L18" s="580"/>
      <c r="M18" s="580"/>
      <c r="N18" s="580">
        <v>5</v>
      </c>
      <c r="O18" s="580"/>
      <c r="P18" s="616">
        <f t="shared" si="0"/>
        <v>5</v>
      </c>
    </row>
    <row r="19" spans="1:20" ht="15.75" thickBot="1" x14ac:dyDescent="0.3">
      <c r="A19" s="581">
        <v>1000027</v>
      </c>
      <c r="B19" s="12" t="s">
        <v>33</v>
      </c>
      <c r="C19" s="578"/>
      <c r="D19" s="582">
        <v>1</v>
      </c>
      <c r="E19" s="576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620">
        <f t="shared" si="0"/>
        <v>0</v>
      </c>
    </row>
    <row r="20" spans="1:20" ht="15.75" thickBot="1" x14ac:dyDescent="0.3">
      <c r="A20" s="581">
        <v>1000146</v>
      </c>
      <c r="B20" s="12" t="s">
        <v>39</v>
      </c>
      <c r="C20" s="578"/>
      <c r="D20" s="582">
        <v>10</v>
      </c>
      <c r="E20" s="576"/>
      <c r="F20" s="580"/>
      <c r="G20" s="580"/>
      <c r="H20" s="580"/>
      <c r="I20" s="580"/>
      <c r="J20" s="580"/>
      <c r="K20" s="580"/>
      <c r="L20" s="580"/>
      <c r="M20" s="580"/>
      <c r="N20" s="580"/>
      <c r="O20" s="580"/>
      <c r="P20" s="620">
        <f t="shared" si="0"/>
        <v>0</v>
      </c>
    </row>
    <row r="21" spans="1:20" ht="15.75" thickBot="1" x14ac:dyDescent="0.3">
      <c r="A21" s="581">
        <v>10248</v>
      </c>
      <c r="B21" s="12" t="s">
        <v>183</v>
      </c>
      <c r="C21" s="578"/>
      <c r="D21" s="582">
        <v>0</v>
      </c>
      <c r="E21" s="576"/>
      <c r="F21" s="580"/>
      <c r="G21" s="580"/>
      <c r="H21" s="580"/>
      <c r="I21" s="580"/>
      <c r="J21" s="580"/>
      <c r="K21" s="580"/>
      <c r="L21" s="580"/>
      <c r="M21" s="580"/>
      <c r="N21" s="580"/>
      <c r="O21" s="580"/>
      <c r="P21" s="619">
        <f t="shared" si="0"/>
        <v>0</v>
      </c>
    </row>
    <row r="22" spans="1:20" ht="15.75" thickBot="1" x14ac:dyDescent="0.3">
      <c r="A22" s="581">
        <v>1000090</v>
      </c>
      <c r="B22" s="12" t="s">
        <v>40</v>
      </c>
      <c r="C22" s="578"/>
      <c r="D22" s="582">
        <v>1</v>
      </c>
      <c r="E22" s="576"/>
      <c r="F22" s="580"/>
      <c r="G22" s="580"/>
      <c r="H22" s="580"/>
      <c r="I22" s="580"/>
      <c r="J22" s="580"/>
      <c r="K22" s="580"/>
      <c r="L22" s="580"/>
      <c r="M22" s="580"/>
      <c r="N22" s="580"/>
      <c r="O22" s="580"/>
      <c r="P22" s="621">
        <f t="shared" si="0"/>
        <v>0</v>
      </c>
    </row>
    <row r="23" spans="1:20" ht="15.75" thickBot="1" x14ac:dyDescent="0.3">
      <c r="A23" s="581">
        <v>1000052</v>
      </c>
      <c r="B23" s="12" t="s">
        <v>41</v>
      </c>
      <c r="C23" s="578"/>
      <c r="D23" s="582">
        <v>1</v>
      </c>
      <c r="E23" s="576"/>
      <c r="F23" s="580"/>
      <c r="G23" s="580"/>
      <c r="H23" s="580"/>
      <c r="I23" s="580"/>
      <c r="J23" s="580"/>
      <c r="K23" s="580"/>
      <c r="L23" s="580"/>
      <c r="M23" s="580"/>
      <c r="N23" s="580"/>
      <c r="O23" s="580"/>
      <c r="P23" s="621">
        <f t="shared" si="0"/>
        <v>0</v>
      </c>
    </row>
    <row r="24" spans="1:20" ht="15.75" thickBot="1" x14ac:dyDescent="0.3">
      <c r="A24" s="581">
        <v>1000089</v>
      </c>
      <c r="B24" s="12" t="s">
        <v>42</v>
      </c>
      <c r="C24" s="578"/>
      <c r="D24" s="582">
        <v>1</v>
      </c>
      <c r="E24" s="576"/>
      <c r="F24" s="580"/>
      <c r="G24" s="580"/>
      <c r="H24" s="580"/>
      <c r="I24" s="580"/>
      <c r="J24" s="580"/>
      <c r="K24" s="580"/>
      <c r="L24" s="580"/>
      <c r="M24" s="580"/>
      <c r="N24" s="580">
        <v>2</v>
      </c>
      <c r="O24" s="580"/>
      <c r="P24" s="618">
        <f t="shared" si="0"/>
        <v>2</v>
      </c>
    </row>
    <row r="25" spans="1:20" ht="15.75" thickBot="1" x14ac:dyDescent="0.3">
      <c r="A25" s="581">
        <v>1000142</v>
      </c>
      <c r="B25" s="12" t="s">
        <v>54</v>
      </c>
      <c r="C25" s="578"/>
      <c r="D25" s="582">
        <v>1</v>
      </c>
      <c r="E25" s="576"/>
      <c r="F25" s="580"/>
      <c r="G25" s="580"/>
      <c r="H25" s="580"/>
      <c r="I25" s="580"/>
      <c r="J25" s="580"/>
      <c r="K25" s="580"/>
      <c r="L25" s="580"/>
      <c r="M25" s="580"/>
      <c r="N25" s="580"/>
      <c r="O25" s="580"/>
      <c r="P25" s="621">
        <f t="shared" si="0"/>
        <v>0</v>
      </c>
      <c r="T25" s="552"/>
    </row>
    <row r="26" spans="1:20" ht="15.75" thickBot="1" x14ac:dyDescent="0.3">
      <c r="A26" s="581">
        <v>1000028</v>
      </c>
      <c r="B26" s="12" t="s">
        <v>68</v>
      </c>
      <c r="C26" s="578"/>
      <c r="D26" s="582">
        <v>1</v>
      </c>
      <c r="E26" s="576"/>
      <c r="F26" s="580"/>
      <c r="G26" s="580"/>
      <c r="H26" s="580"/>
      <c r="I26" s="580"/>
      <c r="J26" s="580"/>
      <c r="K26" s="580"/>
      <c r="L26" s="580"/>
      <c r="M26" s="580"/>
      <c r="N26" s="580"/>
      <c r="O26" s="580"/>
      <c r="P26" s="620">
        <f t="shared" si="0"/>
        <v>0</v>
      </c>
    </row>
    <row r="27" spans="1:20" ht="15.75" thickBot="1" x14ac:dyDescent="0.3">
      <c r="A27" s="581">
        <v>1000031</v>
      </c>
      <c r="B27" s="12" t="s">
        <v>25</v>
      </c>
      <c r="C27" s="578"/>
      <c r="D27" s="582"/>
      <c r="E27" s="576"/>
      <c r="F27" s="580"/>
      <c r="G27" s="580"/>
      <c r="H27" s="580"/>
      <c r="I27" s="580"/>
      <c r="J27" s="580"/>
      <c r="K27" s="580"/>
      <c r="L27" s="580"/>
      <c r="M27" s="580"/>
      <c r="N27" s="580"/>
      <c r="O27" s="580"/>
      <c r="P27" s="620">
        <f t="shared" si="0"/>
        <v>0</v>
      </c>
    </row>
    <row r="28" spans="1:20" ht="15.75" thickBot="1" x14ac:dyDescent="0.3">
      <c r="A28" s="581">
        <v>1000147</v>
      </c>
      <c r="B28" s="12" t="s">
        <v>52</v>
      </c>
      <c r="C28" s="578"/>
      <c r="D28" s="582"/>
      <c r="E28" s="576"/>
      <c r="F28" s="580"/>
      <c r="G28" s="580"/>
      <c r="H28" s="580"/>
      <c r="I28" s="580"/>
      <c r="J28" s="580"/>
      <c r="K28" s="580"/>
      <c r="L28" s="580"/>
      <c r="M28" s="580"/>
      <c r="N28" s="580"/>
      <c r="O28" s="580"/>
      <c r="P28" s="619">
        <f t="shared" si="0"/>
        <v>0</v>
      </c>
    </row>
    <row r="29" spans="1:20" s="15" customFormat="1" ht="15.95" customHeight="1" thickBot="1" x14ac:dyDescent="0.3">
      <c r="A29" s="581">
        <v>1000101</v>
      </c>
      <c r="B29" s="12" t="s">
        <v>35</v>
      </c>
      <c r="C29" s="578"/>
      <c r="D29" s="582"/>
      <c r="E29" s="576"/>
      <c r="F29" s="580"/>
      <c r="G29" s="580"/>
      <c r="H29" s="580"/>
      <c r="I29" s="580"/>
      <c r="J29" s="580"/>
      <c r="K29" s="580"/>
      <c r="L29" s="580"/>
      <c r="M29" s="580"/>
      <c r="N29" s="580"/>
      <c r="O29" s="580"/>
      <c r="P29" s="621">
        <f t="shared" si="0"/>
        <v>0</v>
      </c>
    </row>
    <row r="30" spans="1:20" ht="15.75" thickBot="1" x14ac:dyDescent="0.3">
      <c r="A30" s="581">
        <v>1000004</v>
      </c>
      <c r="B30" s="12" t="s">
        <v>10</v>
      </c>
      <c r="C30" s="578"/>
      <c r="D30" s="582"/>
      <c r="E30" s="576"/>
      <c r="F30" s="580"/>
      <c r="G30" s="580"/>
      <c r="H30" s="580"/>
      <c r="I30" s="580"/>
      <c r="J30" s="580"/>
      <c r="K30" s="580"/>
      <c r="L30" s="580"/>
      <c r="M30" s="580"/>
      <c r="N30" s="580"/>
      <c r="O30" s="580"/>
      <c r="P30" s="621">
        <f t="shared" si="0"/>
        <v>0</v>
      </c>
    </row>
    <row r="31" spans="1:20" ht="15.75" thickBot="1" x14ac:dyDescent="0.3">
      <c r="A31" s="581">
        <v>1000033</v>
      </c>
      <c r="B31" s="12" t="s">
        <v>27</v>
      </c>
      <c r="C31" s="578"/>
      <c r="D31" s="582"/>
      <c r="E31" s="576"/>
      <c r="F31" s="580"/>
      <c r="G31" s="580"/>
      <c r="H31" s="580"/>
      <c r="I31" s="580"/>
      <c r="J31" s="580"/>
      <c r="K31" s="580"/>
      <c r="L31" s="580"/>
      <c r="M31" s="580"/>
      <c r="N31" s="580">
        <v>1</v>
      </c>
      <c r="O31" s="580"/>
      <c r="P31" s="618">
        <f t="shared" si="0"/>
        <v>1</v>
      </c>
    </row>
    <row r="32" spans="1:20" ht="15.75" thickBot="1" x14ac:dyDescent="0.3">
      <c r="A32" s="581">
        <v>1000439</v>
      </c>
      <c r="B32" s="12" t="s">
        <v>193</v>
      </c>
      <c r="C32" s="578"/>
      <c r="D32" s="582"/>
      <c r="E32" s="576"/>
      <c r="F32" s="580"/>
      <c r="G32" s="580"/>
      <c r="H32" s="580"/>
      <c r="I32" s="580"/>
      <c r="J32" s="580"/>
      <c r="K32" s="580"/>
      <c r="L32" s="580"/>
      <c r="M32" s="580"/>
      <c r="N32" s="580"/>
      <c r="O32" s="580"/>
      <c r="P32" s="621">
        <f t="shared" si="0"/>
        <v>0</v>
      </c>
    </row>
    <row r="33" spans="1:17" ht="15.75" thickBot="1" x14ac:dyDescent="0.3">
      <c r="A33" s="581">
        <v>10000102</v>
      </c>
      <c r="B33" s="12" t="s">
        <v>2</v>
      </c>
      <c r="C33" s="578"/>
      <c r="D33" s="582"/>
      <c r="E33" s="576"/>
      <c r="F33" s="580"/>
      <c r="G33" s="580"/>
      <c r="H33" s="580"/>
      <c r="I33" s="580"/>
      <c r="J33" s="580"/>
      <c r="K33" s="580"/>
      <c r="L33" s="580"/>
      <c r="M33" s="580"/>
      <c r="N33" s="815"/>
      <c r="O33" s="580"/>
      <c r="P33" s="621">
        <f t="shared" si="0"/>
        <v>0</v>
      </c>
    </row>
    <row r="34" spans="1:17" ht="15.75" thickBot="1" x14ac:dyDescent="0.3">
      <c r="A34" s="581">
        <v>1000214</v>
      </c>
      <c r="B34" s="12" t="s">
        <v>49</v>
      </c>
      <c r="C34" s="578"/>
      <c r="D34" s="582"/>
      <c r="E34" s="576"/>
      <c r="F34" s="580"/>
      <c r="G34" s="580"/>
      <c r="H34" s="580"/>
      <c r="I34" s="580"/>
      <c r="J34" s="580"/>
      <c r="K34" s="580"/>
      <c r="L34" s="580"/>
      <c r="M34" s="580"/>
      <c r="N34" s="580"/>
      <c r="O34" s="580"/>
      <c r="P34" s="621">
        <f t="shared" si="0"/>
        <v>0</v>
      </c>
    </row>
    <row r="35" spans="1:17" ht="15.75" thickBot="1" x14ac:dyDescent="0.3">
      <c r="A35" s="581">
        <v>1000472</v>
      </c>
      <c r="B35" s="12" t="s">
        <v>222</v>
      </c>
      <c r="C35" s="578"/>
      <c r="D35" s="582"/>
      <c r="E35" s="576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620">
        <f t="shared" si="0"/>
        <v>0</v>
      </c>
    </row>
    <row r="36" spans="1:17" ht="15.75" thickBot="1" x14ac:dyDescent="0.3">
      <c r="A36" s="581">
        <v>1000383</v>
      </c>
      <c r="B36" s="12" t="s">
        <v>264</v>
      </c>
      <c r="C36" s="578"/>
      <c r="D36" s="582"/>
      <c r="E36" s="576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621">
        <f t="shared" si="0"/>
        <v>0</v>
      </c>
    </row>
    <row r="37" spans="1:17" ht="15.75" thickBot="1" x14ac:dyDescent="0.3">
      <c r="A37" s="581">
        <v>1000084</v>
      </c>
      <c r="B37" s="12" t="s">
        <v>38</v>
      </c>
      <c r="C37" s="578"/>
      <c r="D37" s="582"/>
      <c r="E37" s="576"/>
      <c r="F37" s="580"/>
      <c r="G37" s="580"/>
      <c r="H37" s="580"/>
      <c r="I37" s="580"/>
      <c r="J37" s="580"/>
      <c r="K37" s="580"/>
      <c r="L37" s="580"/>
      <c r="M37" s="580"/>
      <c r="N37" s="580"/>
      <c r="O37" s="580"/>
      <c r="P37" s="621">
        <f t="shared" si="0"/>
        <v>0</v>
      </c>
    </row>
    <row r="38" spans="1:17" ht="15.75" thickBot="1" x14ac:dyDescent="0.3">
      <c r="A38" s="581">
        <v>1000048</v>
      </c>
      <c r="B38" s="12" t="s">
        <v>45</v>
      </c>
      <c r="C38" s="578"/>
      <c r="D38" s="582"/>
      <c r="E38" s="576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621">
        <f t="shared" si="0"/>
        <v>0</v>
      </c>
    </row>
    <row r="39" spans="1:17" ht="15.75" thickBot="1" x14ac:dyDescent="0.3">
      <c r="A39" s="581">
        <v>1000075</v>
      </c>
      <c r="B39" s="12" t="s">
        <v>47</v>
      </c>
      <c r="C39" s="578"/>
      <c r="D39" s="582"/>
      <c r="E39" s="576"/>
      <c r="F39" s="580"/>
      <c r="G39" s="580"/>
      <c r="H39" s="580"/>
      <c r="I39" s="580"/>
      <c r="J39" s="580"/>
      <c r="K39" s="580"/>
      <c r="L39" s="580"/>
      <c r="M39" s="580"/>
      <c r="N39" s="580"/>
      <c r="O39" s="580"/>
      <c r="P39" s="621">
        <f t="shared" si="0"/>
        <v>0</v>
      </c>
    </row>
    <row r="40" spans="1:17" ht="15.75" thickBot="1" x14ac:dyDescent="0.3">
      <c r="A40" s="581">
        <v>1000073</v>
      </c>
      <c r="B40" s="12" t="s">
        <v>36</v>
      </c>
      <c r="C40" s="578"/>
      <c r="D40" s="582"/>
      <c r="E40" s="576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620">
        <f t="shared" si="0"/>
        <v>0</v>
      </c>
    </row>
    <row r="41" spans="1:17" ht="15.75" thickBot="1" x14ac:dyDescent="0.3">
      <c r="A41" s="581">
        <v>1000080</v>
      </c>
      <c r="B41" s="12" t="s">
        <v>275</v>
      </c>
      <c r="C41" s="578"/>
      <c r="D41" s="582"/>
      <c r="E41" s="576"/>
      <c r="F41" s="580"/>
      <c r="G41" s="580"/>
      <c r="H41" s="580"/>
      <c r="I41" s="580"/>
      <c r="J41" s="580"/>
      <c r="K41" s="580"/>
      <c r="L41" s="580"/>
      <c r="M41" s="580"/>
      <c r="N41" s="580"/>
      <c r="O41" s="580"/>
      <c r="P41" s="620">
        <f t="shared" si="0"/>
        <v>0</v>
      </c>
    </row>
    <row r="42" spans="1:17" ht="15.75" thickBot="1" x14ac:dyDescent="0.3">
      <c r="A42" s="581">
        <v>1000436</v>
      </c>
      <c r="B42" s="12" t="s">
        <v>276</v>
      </c>
      <c r="C42" s="578"/>
      <c r="D42" s="582"/>
      <c r="E42" s="576"/>
      <c r="F42" s="580"/>
      <c r="G42" s="580"/>
      <c r="H42" s="580">
        <v>20</v>
      </c>
      <c r="I42" s="580"/>
      <c r="J42" s="580"/>
      <c r="K42" s="580"/>
      <c r="L42" s="580"/>
      <c r="M42" s="580"/>
      <c r="N42" s="580">
        <v>30</v>
      </c>
      <c r="O42" s="580"/>
      <c r="P42" s="617">
        <f t="shared" si="0"/>
        <v>50</v>
      </c>
    </row>
    <row r="43" spans="1:17" ht="15.75" thickBot="1" x14ac:dyDescent="0.3">
      <c r="A43" s="581">
        <v>1000550</v>
      </c>
      <c r="B43" s="12" t="s">
        <v>277</v>
      </c>
      <c r="C43" s="578"/>
      <c r="D43" s="582"/>
      <c r="E43" s="576"/>
      <c r="F43" s="580"/>
      <c r="G43" s="580"/>
      <c r="H43" s="580"/>
      <c r="I43" s="580"/>
      <c r="J43" s="580"/>
      <c r="K43" s="580"/>
      <c r="L43" s="580"/>
      <c r="M43" s="580"/>
      <c r="N43" s="580">
        <v>24</v>
      </c>
      <c r="O43" s="580"/>
      <c r="P43" s="617">
        <f t="shared" si="0"/>
        <v>24</v>
      </c>
    </row>
    <row r="44" spans="1:17" ht="15.75" thickBot="1" x14ac:dyDescent="0.3">
      <c r="A44" s="581">
        <v>1000551</v>
      </c>
      <c r="B44" s="12" t="s">
        <v>278</v>
      </c>
      <c r="C44" s="578"/>
      <c r="D44" s="582"/>
      <c r="E44" s="576"/>
      <c r="F44" s="580"/>
      <c r="G44" s="580"/>
      <c r="H44" s="580"/>
      <c r="I44" s="580"/>
      <c r="J44" s="580"/>
      <c r="K44" s="580"/>
      <c r="L44" s="580"/>
      <c r="M44" s="580"/>
      <c r="N44" s="580"/>
      <c r="O44" s="580"/>
      <c r="P44" s="636">
        <f t="shared" si="0"/>
        <v>0</v>
      </c>
    </row>
    <row r="45" spans="1:17" ht="15.75" thickBot="1" x14ac:dyDescent="0.3">
      <c r="A45" s="243"/>
      <c r="B45" s="251" t="s">
        <v>80</v>
      </c>
      <c r="C45" s="583"/>
      <c r="D45" s="584"/>
      <c r="E45" s="583"/>
      <c r="F45" s="580"/>
      <c r="G45" s="580"/>
      <c r="H45" s="580">
        <v>1</v>
      </c>
      <c r="I45" s="580"/>
      <c r="J45" s="580"/>
      <c r="K45" s="580"/>
      <c r="L45" s="580"/>
      <c r="M45" s="580"/>
      <c r="N45" s="580"/>
      <c r="O45" s="634"/>
      <c r="P45" s="816">
        <f t="shared" si="0"/>
        <v>1</v>
      </c>
      <c r="Q45" s="552"/>
    </row>
    <row r="46" spans="1:17" ht="15.75" thickBot="1" x14ac:dyDescent="0.3">
      <c r="A46" s="506">
        <v>1000100</v>
      </c>
      <c r="B46" s="12" t="s">
        <v>34</v>
      </c>
      <c r="D46" s="584"/>
      <c r="F46" s="580"/>
      <c r="G46" s="580"/>
      <c r="H46" s="580"/>
      <c r="I46" s="580"/>
      <c r="J46" s="580"/>
      <c r="K46" s="580"/>
      <c r="L46" s="580"/>
      <c r="M46" s="580"/>
      <c r="N46" s="580"/>
      <c r="O46" s="634"/>
      <c r="P46" s="637">
        <f t="shared" si="0"/>
        <v>0</v>
      </c>
      <c r="Q46" s="552"/>
    </row>
    <row r="47" spans="1:17" ht="15.75" thickBot="1" x14ac:dyDescent="0.3">
      <c r="A47" s="506">
        <v>1000029</v>
      </c>
      <c r="B47" s="12" t="s">
        <v>30</v>
      </c>
      <c r="D47" s="584"/>
      <c r="F47" s="580"/>
      <c r="G47" s="580"/>
      <c r="H47" s="580"/>
      <c r="I47" s="580"/>
      <c r="J47" s="580"/>
      <c r="K47" s="580"/>
      <c r="L47" s="580"/>
      <c r="M47" s="580"/>
      <c r="N47" s="580"/>
      <c r="O47" s="634"/>
      <c r="P47" s="638">
        <f t="shared" si="0"/>
        <v>0</v>
      </c>
    </row>
    <row r="48" spans="1:17" ht="15.75" thickBot="1" x14ac:dyDescent="0.3">
      <c r="A48" s="506">
        <v>1000034</v>
      </c>
      <c r="B48" s="12" t="s">
        <v>28</v>
      </c>
      <c r="D48" s="584"/>
      <c r="F48" s="580"/>
      <c r="G48" s="580"/>
      <c r="H48" s="580"/>
      <c r="I48" s="580"/>
      <c r="J48" s="580"/>
      <c r="K48" s="580"/>
      <c r="L48" s="580"/>
      <c r="M48" s="580"/>
      <c r="N48" s="580"/>
      <c r="O48" s="634"/>
      <c r="P48" s="638">
        <f t="shared" si="0"/>
        <v>0</v>
      </c>
      <c r="Q48" s="635"/>
    </row>
    <row r="49" spans="1:17" ht="15.75" thickBot="1" x14ac:dyDescent="0.3">
      <c r="A49" s="506">
        <v>1000051</v>
      </c>
      <c r="B49" s="12" t="s">
        <v>43</v>
      </c>
      <c r="D49" s="584"/>
      <c r="F49" s="580"/>
      <c r="G49" s="580"/>
      <c r="H49" s="580"/>
      <c r="I49" s="580"/>
      <c r="J49" s="580"/>
      <c r="K49" s="580"/>
      <c r="L49" s="580"/>
      <c r="M49" s="580"/>
      <c r="N49" s="580"/>
      <c r="O49" s="634"/>
      <c r="P49" s="638">
        <f t="shared" si="0"/>
        <v>0</v>
      </c>
    </row>
    <row r="50" spans="1:17" ht="15.75" thickBot="1" x14ac:dyDescent="0.3">
      <c r="A50" s="491">
        <v>1000008</v>
      </c>
      <c r="B50" s="12" t="s">
        <v>7</v>
      </c>
      <c r="D50" s="584"/>
      <c r="F50" s="580"/>
      <c r="G50" s="580"/>
      <c r="H50" s="580"/>
      <c r="I50" s="580"/>
      <c r="J50" s="580"/>
      <c r="K50" s="580"/>
      <c r="L50" s="580"/>
      <c r="M50" s="580"/>
      <c r="N50" s="580"/>
      <c r="O50" s="634"/>
      <c r="P50" s="638">
        <f t="shared" si="0"/>
        <v>0</v>
      </c>
      <c r="Q50" s="552"/>
    </row>
    <row r="51" spans="1:17" x14ac:dyDescent="0.25">
      <c r="P51" s="622"/>
    </row>
  </sheetData>
  <mergeCells count="4">
    <mergeCell ref="L1:L2"/>
    <mergeCell ref="M1:M2"/>
    <mergeCell ref="A1:B2"/>
    <mergeCell ref="F1:J2"/>
  </mergeCells>
  <phoneticPr fontId="108" type="noConversion"/>
  <pageMargins left="0.25" right="0.25" top="0.75" bottom="0.75" header="0.3" footer="0.3"/>
  <pageSetup paperSize="9" scale="71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B128-C391-45C9-80F0-8B4FD6A4F1C4}">
  <sheetPr>
    <tabColor rgb="FF7030A0"/>
    <pageSetUpPr fitToPage="1"/>
  </sheetPr>
  <dimension ref="A1:P51"/>
  <sheetViews>
    <sheetView topLeftCell="A2" zoomScaleNormal="100" workbookViewId="0">
      <selection activeCell="Q41" sqref="Q4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1.625" style="27" customWidth="1"/>
    <col min="6" max="6" width="9.125" style="27" bestFit="1" customWidth="1"/>
    <col min="7" max="7" width="6.25" style="27" customWidth="1"/>
    <col min="8" max="8" width="7.75" style="27" customWidth="1"/>
    <col min="9" max="9" width="6.25" style="27" customWidth="1"/>
    <col min="10" max="10" width="7.875" style="27" customWidth="1"/>
    <col min="11" max="11" width="6.125" style="27" customWidth="1"/>
    <col min="12" max="12" width="8.625" style="27" customWidth="1"/>
    <col min="13" max="13" width="6.5" style="27" customWidth="1"/>
    <col min="14" max="14" width="9.125" style="27" bestFit="1" customWidth="1"/>
    <col min="15" max="15" width="6" style="27" customWidth="1"/>
    <col min="16" max="16384" width="10.875" style="27"/>
  </cols>
  <sheetData>
    <row r="1" spans="1:16" ht="10.5" customHeight="1" x14ac:dyDescent="0.45">
      <c r="A1" s="686" t="s">
        <v>436</v>
      </c>
      <c r="B1" s="687"/>
      <c r="C1" s="485"/>
      <c r="D1" s="485"/>
      <c r="E1" s="485"/>
      <c r="F1" s="751" t="s">
        <v>474</v>
      </c>
      <c r="G1" s="752"/>
      <c r="H1" s="752"/>
      <c r="I1" s="752"/>
      <c r="J1" s="753"/>
      <c r="K1" s="2"/>
      <c r="L1"/>
      <c r="M1"/>
      <c r="N1" s="485"/>
      <c r="O1" s="485"/>
      <c r="P1" s="485"/>
    </row>
    <row r="2" spans="1:16" s="3" customFormat="1" ht="18.75" customHeight="1" thickBot="1" x14ac:dyDescent="0.5">
      <c r="A2" s="688"/>
      <c r="B2" s="689"/>
      <c r="C2" s="4"/>
      <c r="D2" s="434" t="s">
        <v>362</v>
      </c>
      <c r="F2" s="754"/>
      <c r="G2" s="755"/>
      <c r="H2" s="755"/>
      <c r="I2" s="755"/>
      <c r="J2" s="756"/>
      <c r="K2" s="2"/>
      <c r="L2"/>
      <c r="M2"/>
    </row>
    <row r="3" spans="1:16" s="3" customFormat="1" ht="22.5" customHeight="1" thickBot="1" x14ac:dyDescent="0.3">
      <c r="A3" s="5"/>
      <c r="B3" s="5" t="s">
        <v>368</v>
      </c>
      <c r="C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5.75" thickBot="1" x14ac:dyDescent="0.3">
      <c r="A5" s="507">
        <v>10000015</v>
      </c>
      <c r="B5" s="11" t="s">
        <v>1</v>
      </c>
      <c r="C5" s="485"/>
      <c r="D5" s="508">
        <v>1</v>
      </c>
      <c r="E5" s="485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6">
        <f t="shared" ref="P5:P50" si="0">SUM(F5:O5)</f>
        <v>0</v>
      </c>
    </row>
    <row r="6" spans="1:16" ht="15.75" thickBot="1" x14ac:dyDescent="0.3">
      <c r="A6" s="504">
        <v>10000102</v>
      </c>
      <c r="B6" s="12" t="s">
        <v>2</v>
      </c>
      <c r="C6" s="485"/>
      <c r="D6" s="509">
        <v>0</v>
      </c>
      <c r="E6" s="485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6">
        <f t="shared" si="0"/>
        <v>0</v>
      </c>
    </row>
    <row r="7" spans="1:16" ht="15.75" thickBot="1" x14ac:dyDescent="0.3">
      <c r="A7" s="504">
        <v>1000006</v>
      </c>
      <c r="B7" s="12" t="s">
        <v>4</v>
      </c>
      <c r="C7" s="485"/>
      <c r="D7" s="509">
        <v>60</v>
      </c>
      <c r="E7" s="485"/>
      <c r="F7" s="489">
        <v>50</v>
      </c>
      <c r="G7" s="489"/>
      <c r="H7" s="489">
        <v>50</v>
      </c>
      <c r="I7" s="489"/>
      <c r="J7" s="489">
        <v>50</v>
      </c>
      <c r="K7" s="489"/>
      <c r="L7" s="489">
        <v>50</v>
      </c>
      <c r="M7" s="489"/>
      <c r="N7" s="489"/>
      <c r="O7" s="489"/>
      <c r="P7" s="490">
        <f t="shared" si="0"/>
        <v>200</v>
      </c>
    </row>
    <row r="8" spans="1:16" ht="15.75" thickBot="1" x14ac:dyDescent="0.3">
      <c r="A8" s="504">
        <v>1000007</v>
      </c>
      <c r="B8" s="12" t="s">
        <v>5</v>
      </c>
      <c r="C8" s="485"/>
      <c r="D8" s="509">
        <v>30</v>
      </c>
      <c r="E8" s="485"/>
      <c r="F8" s="489"/>
      <c r="G8" s="489"/>
      <c r="H8" s="489"/>
      <c r="I8" s="489"/>
      <c r="J8" s="489"/>
      <c r="K8" s="489"/>
      <c r="L8" s="489"/>
      <c r="M8" s="489"/>
      <c r="N8" s="489"/>
      <c r="O8" s="489"/>
      <c r="P8" s="818">
        <f t="shared" si="0"/>
        <v>0</v>
      </c>
    </row>
    <row r="9" spans="1:16" ht="15.75" thickBot="1" x14ac:dyDescent="0.3">
      <c r="A9" s="506">
        <v>1000001</v>
      </c>
      <c r="B9" s="12" t="s">
        <v>8</v>
      </c>
      <c r="C9" s="485"/>
      <c r="D9" s="509">
        <v>3</v>
      </c>
      <c r="E9" s="485"/>
      <c r="F9" s="489"/>
      <c r="G9" s="489"/>
      <c r="H9" s="489"/>
      <c r="I9" s="489"/>
      <c r="J9" s="489">
        <v>2</v>
      </c>
      <c r="K9" s="489"/>
      <c r="L9" s="489">
        <v>2</v>
      </c>
      <c r="M9" s="489"/>
      <c r="N9" s="489">
        <v>2</v>
      </c>
      <c r="O9" s="489"/>
      <c r="P9" s="490">
        <f t="shared" si="0"/>
        <v>6</v>
      </c>
    </row>
    <row r="10" spans="1:16" ht="15.75" thickBot="1" x14ac:dyDescent="0.3">
      <c r="A10" s="506">
        <v>1000002</v>
      </c>
      <c r="B10" s="12" t="s">
        <v>9</v>
      </c>
      <c r="C10" s="485"/>
      <c r="D10" s="509">
        <v>1</v>
      </c>
      <c r="E10" s="485"/>
      <c r="F10" s="489"/>
      <c r="G10" s="489"/>
      <c r="H10" s="489"/>
      <c r="I10" s="489"/>
      <c r="J10" s="489"/>
      <c r="K10" s="489"/>
      <c r="L10" s="489"/>
      <c r="M10" s="489"/>
      <c r="N10" s="489"/>
      <c r="O10" s="489"/>
      <c r="P10" s="818">
        <f t="shared" si="0"/>
        <v>0</v>
      </c>
    </row>
    <row r="11" spans="1:16" ht="15.75" thickBot="1" x14ac:dyDescent="0.3">
      <c r="A11" s="506">
        <v>1000004</v>
      </c>
      <c r="B11" s="12" t="s">
        <v>10</v>
      </c>
      <c r="C11" s="485"/>
      <c r="D11" s="509">
        <v>1</v>
      </c>
      <c r="E11" s="485"/>
      <c r="F11" s="489">
        <v>2</v>
      </c>
      <c r="G11" s="489"/>
      <c r="H11" s="489">
        <v>2</v>
      </c>
      <c r="I11" s="489"/>
      <c r="J11" s="489">
        <v>2</v>
      </c>
      <c r="K11" s="489"/>
      <c r="L11" s="489"/>
      <c r="M11" s="489"/>
      <c r="N11" s="489">
        <v>2</v>
      </c>
      <c r="O11" s="489"/>
      <c r="P11" s="490">
        <f t="shared" si="0"/>
        <v>8</v>
      </c>
    </row>
    <row r="12" spans="1:16" ht="15.75" thickBot="1" x14ac:dyDescent="0.3">
      <c r="A12" s="506">
        <v>1000067</v>
      </c>
      <c r="B12" s="12" t="s">
        <v>11</v>
      </c>
      <c r="C12" s="485"/>
      <c r="D12" s="509">
        <v>0</v>
      </c>
      <c r="E12" s="485"/>
      <c r="F12" s="489"/>
      <c r="G12" s="489"/>
      <c r="H12" s="489"/>
      <c r="I12" s="489"/>
      <c r="J12" s="489"/>
      <c r="K12" s="489"/>
      <c r="L12" s="489"/>
      <c r="M12" s="489"/>
      <c r="N12" s="489">
        <v>1</v>
      </c>
      <c r="O12" s="489"/>
      <c r="P12" s="490">
        <f t="shared" si="0"/>
        <v>1</v>
      </c>
    </row>
    <row r="13" spans="1:16" ht="15.75" thickBot="1" x14ac:dyDescent="0.3">
      <c r="A13" s="506">
        <v>1000054</v>
      </c>
      <c r="B13" s="12" t="s">
        <v>12</v>
      </c>
      <c r="C13" s="485"/>
      <c r="D13" s="509">
        <v>5</v>
      </c>
      <c r="E13" s="485"/>
      <c r="F13" s="489"/>
      <c r="G13" s="489"/>
      <c r="H13" s="489"/>
      <c r="I13" s="489"/>
      <c r="J13" s="489">
        <v>5</v>
      </c>
      <c r="K13" s="489"/>
      <c r="L13" s="489">
        <v>5</v>
      </c>
      <c r="M13" s="489"/>
      <c r="N13" s="489"/>
      <c r="O13" s="489"/>
      <c r="P13" s="490">
        <f t="shared" si="0"/>
        <v>10</v>
      </c>
    </row>
    <row r="14" spans="1:16" ht="15.75" thickBot="1" x14ac:dyDescent="0.3">
      <c r="A14" s="506">
        <v>1000017</v>
      </c>
      <c r="B14" s="12" t="s">
        <v>14</v>
      </c>
      <c r="C14" s="485"/>
      <c r="D14" s="509">
        <v>10</v>
      </c>
      <c r="E14" s="485"/>
      <c r="F14" s="489"/>
      <c r="G14" s="489"/>
      <c r="H14" s="489"/>
      <c r="I14" s="489"/>
      <c r="J14" s="489"/>
      <c r="K14" s="489"/>
      <c r="L14" s="489">
        <v>5</v>
      </c>
      <c r="M14" s="489"/>
      <c r="N14" s="489">
        <v>5</v>
      </c>
      <c r="O14" s="489"/>
      <c r="P14" s="490">
        <f t="shared" si="0"/>
        <v>10</v>
      </c>
    </row>
    <row r="15" spans="1:16" ht="15.75" thickBot="1" x14ac:dyDescent="0.3">
      <c r="A15" s="506">
        <v>1000016</v>
      </c>
      <c r="B15" s="12" t="s">
        <v>15</v>
      </c>
      <c r="C15" s="485"/>
      <c r="D15" s="509">
        <v>3</v>
      </c>
      <c r="E15" s="485"/>
      <c r="F15" s="489"/>
      <c r="G15" s="489"/>
      <c r="H15" s="489"/>
      <c r="I15" s="489"/>
      <c r="J15" s="489">
        <v>5</v>
      </c>
      <c r="K15" s="489"/>
      <c r="L15" s="489"/>
      <c r="M15" s="489"/>
      <c r="N15" s="489"/>
      <c r="O15" s="489"/>
      <c r="P15" s="490">
        <f t="shared" si="0"/>
        <v>5</v>
      </c>
    </row>
    <row r="16" spans="1:16" ht="15.75" thickBot="1" x14ac:dyDescent="0.3">
      <c r="A16" s="506">
        <v>1000041</v>
      </c>
      <c r="B16" s="13" t="s">
        <v>16</v>
      </c>
      <c r="C16" s="485"/>
      <c r="D16" s="509">
        <v>1</v>
      </c>
      <c r="E16" s="485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6">
        <f t="shared" si="0"/>
        <v>0</v>
      </c>
    </row>
    <row r="17" spans="1:16" ht="15.75" thickBot="1" x14ac:dyDescent="0.3">
      <c r="A17" s="506">
        <v>1000049</v>
      </c>
      <c r="B17" s="12" t="s">
        <v>21</v>
      </c>
      <c r="C17" s="485"/>
      <c r="D17" s="509">
        <v>0</v>
      </c>
      <c r="E17" s="485"/>
      <c r="F17" s="489"/>
      <c r="G17" s="489"/>
      <c r="H17" s="489"/>
      <c r="I17" s="489"/>
      <c r="J17" s="489"/>
      <c r="K17" s="489"/>
      <c r="L17" s="489"/>
      <c r="M17" s="489"/>
      <c r="N17" s="489"/>
      <c r="O17" s="489"/>
      <c r="P17" s="486">
        <f t="shared" si="0"/>
        <v>0</v>
      </c>
    </row>
    <row r="18" spans="1:16" ht="15.75" thickBot="1" x14ac:dyDescent="0.3">
      <c r="A18" s="506">
        <v>1000050</v>
      </c>
      <c r="B18" s="14" t="s">
        <v>22</v>
      </c>
      <c r="C18" s="485"/>
      <c r="D18" s="509">
        <v>0</v>
      </c>
      <c r="E18" s="485"/>
      <c r="F18" s="489"/>
      <c r="G18" s="489"/>
      <c r="H18" s="489"/>
      <c r="I18" s="489"/>
      <c r="J18" s="489"/>
      <c r="K18" s="489"/>
      <c r="L18" s="489">
        <v>1</v>
      </c>
      <c r="M18" s="489"/>
      <c r="N18" s="489">
        <v>1</v>
      </c>
      <c r="O18" s="489"/>
      <c r="P18" s="490">
        <f t="shared" si="0"/>
        <v>2</v>
      </c>
    </row>
    <row r="19" spans="1:16" ht="15.75" thickBot="1" x14ac:dyDescent="0.3">
      <c r="A19" s="506">
        <v>1000045</v>
      </c>
      <c r="B19" s="12" t="s">
        <v>23</v>
      </c>
      <c r="C19" s="485"/>
      <c r="D19" s="491"/>
      <c r="E19" s="485"/>
      <c r="F19" s="489"/>
      <c r="G19" s="489"/>
      <c r="H19" s="489"/>
      <c r="I19" s="489"/>
      <c r="J19" s="489">
        <v>2</v>
      </c>
      <c r="K19" s="489"/>
      <c r="L19" s="489"/>
      <c r="M19" s="489"/>
      <c r="N19" s="489"/>
      <c r="O19" s="489"/>
      <c r="P19" s="490">
        <f t="shared" si="0"/>
        <v>2</v>
      </c>
    </row>
    <row r="20" spans="1:16" ht="15.75" thickBot="1" x14ac:dyDescent="0.3">
      <c r="A20" s="506">
        <v>1000031</v>
      </c>
      <c r="B20" s="12" t="s">
        <v>25</v>
      </c>
      <c r="C20" s="485"/>
      <c r="D20" s="491"/>
      <c r="E20" s="485"/>
      <c r="F20" s="489"/>
      <c r="G20" s="489"/>
      <c r="H20" s="489"/>
      <c r="I20" s="489"/>
      <c r="J20" s="489"/>
      <c r="K20" s="489"/>
      <c r="L20" s="489"/>
      <c r="M20" s="489"/>
      <c r="N20" s="489"/>
      <c r="O20" s="489"/>
      <c r="P20" s="486">
        <f t="shared" si="0"/>
        <v>0</v>
      </c>
    </row>
    <row r="21" spans="1:16" ht="15.75" thickBot="1" x14ac:dyDescent="0.3">
      <c r="A21" s="506">
        <v>1000025</v>
      </c>
      <c r="B21" s="12" t="s">
        <v>32</v>
      </c>
      <c r="C21" s="485"/>
      <c r="D21" s="491"/>
      <c r="E21" s="485"/>
      <c r="F21" s="489"/>
      <c r="G21" s="489"/>
      <c r="H21" s="489"/>
      <c r="I21" s="489"/>
      <c r="J21" s="489">
        <v>5</v>
      </c>
      <c r="K21" s="489"/>
      <c r="L21" s="489"/>
      <c r="M21" s="489"/>
      <c r="N21" s="489"/>
      <c r="O21" s="489"/>
      <c r="P21" s="490">
        <f t="shared" si="0"/>
        <v>5</v>
      </c>
    </row>
    <row r="22" spans="1:16" ht="15.75" thickBot="1" x14ac:dyDescent="0.3">
      <c r="A22" s="506">
        <v>1000027</v>
      </c>
      <c r="B22" s="12" t="s">
        <v>33</v>
      </c>
      <c r="C22" s="485"/>
      <c r="D22" s="509"/>
      <c r="E22" s="485"/>
      <c r="F22" s="489">
        <v>3</v>
      </c>
      <c r="G22" s="489"/>
      <c r="H22" s="489">
        <v>3</v>
      </c>
      <c r="I22" s="489"/>
      <c r="J22" s="489">
        <v>3</v>
      </c>
      <c r="K22" s="489"/>
      <c r="L22" s="489">
        <v>3</v>
      </c>
      <c r="M22" s="489"/>
      <c r="N22" s="489">
        <v>3</v>
      </c>
      <c r="O22" s="489"/>
      <c r="P22" s="490">
        <f t="shared" si="0"/>
        <v>15</v>
      </c>
    </row>
    <row r="23" spans="1:16" ht="15.75" thickBot="1" x14ac:dyDescent="0.3">
      <c r="A23" s="506">
        <v>1000100</v>
      </c>
      <c r="B23" s="12" t="s">
        <v>34</v>
      </c>
      <c r="C23" s="485"/>
      <c r="D23" s="509"/>
      <c r="E23" s="485"/>
      <c r="F23" s="489"/>
      <c r="G23" s="489"/>
      <c r="H23" s="489"/>
      <c r="I23" s="489"/>
      <c r="J23" s="489"/>
      <c r="K23" s="489"/>
      <c r="L23" s="489"/>
      <c r="M23" s="489"/>
      <c r="N23" s="489"/>
      <c r="O23" s="489"/>
      <c r="P23" s="486">
        <f t="shared" si="0"/>
        <v>0</v>
      </c>
    </row>
    <row r="24" spans="1:16" ht="15.75" thickBot="1" x14ac:dyDescent="0.3">
      <c r="A24" s="506">
        <v>1000073</v>
      </c>
      <c r="B24" s="12" t="s">
        <v>36</v>
      </c>
      <c r="C24" s="485"/>
      <c r="D24" s="509"/>
      <c r="E24" s="485"/>
      <c r="F24" s="489"/>
      <c r="G24" s="489"/>
      <c r="H24" s="489"/>
      <c r="I24" s="489"/>
      <c r="J24" s="489"/>
      <c r="K24" s="489"/>
      <c r="L24" s="489"/>
      <c r="M24" s="489"/>
      <c r="N24" s="489"/>
      <c r="O24" s="489"/>
      <c r="P24" s="486">
        <f t="shared" si="0"/>
        <v>0</v>
      </c>
    </row>
    <row r="25" spans="1:16" ht="15.75" thickBot="1" x14ac:dyDescent="0.3">
      <c r="A25" s="506">
        <v>1000486</v>
      </c>
      <c r="B25" s="12" t="s">
        <v>263</v>
      </c>
      <c r="C25" s="485"/>
      <c r="D25" s="509"/>
      <c r="E25" s="485"/>
      <c r="F25" s="489">
        <v>4</v>
      </c>
      <c r="G25" s="489"/>
      <c r="H25" s="489">
        <v>4</v>
      </c>
      <c r="I25" s="489"/>
      <c r="J25" s="489">
        <v>6</v>
      </c>
      <c r="K25" s="489"/>
      <c r="L25" s="489"/>
      <c r="M25" s="489"/>
      <c r="N25" s="489"/>
      <c r="O25" s="489"/>
      <c r="P25" s="490">
        <f t="shared" si="0"/>
        <v>14</v>
      </c>
    </row>
    <row r="26" spans="1:16" ht="15.75" thickBot="1" x14ac:dyDescent="0.3">
      <c r="A26" s="506">
        <v>10248</v>
      </c>
      <c r="B26" s="12" t="s">
        <v>183</v>
      </c>
      <c r="C26" s="485"/>
      <c r="D26" s="509"/>
      <c r="E26" s="485"/>
      <c r="F26" s="489">
        <v>3</v>
      </c>
      <c r="G26" s="489"/>
      <c r="H26" s="489">
        <v>3</v>
      </c>
      <c r="I26" s="489"/>
      <c r="J26" s="489"/>
      <c r="K26" s="489"/>
      <c r="L26" s="489"/>
      <c r="M26" s="489"/>
      <c r="N26" s="489">
        <v>3</v>
      </c>
      <c r="O26" s="489"/>
      <c r="P26" s="490">
        <f t="shared" si="0"/>
        <v>9</v>
      </c>
    </row>
    <row r="27" spans="1:16" ht="15.75" thickBot="1" x14ac:dyDescent="0.3">
      <c r="A27" s="506">
        <v>1000090</v>
      </c>
      <c r="B27" s="12" t="s">
        <v>40</v>
      </c>
      <c r="C27" s="485"/>
      <c r="D27" s="509"/>
      <c r="E27" s="485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6">
        <f t="shared" si="0"/>
        <v>0</v>
      </c>
    </row>
    <row r="28" spans="1:16" ht="15.75" thickBot="1" x14ac:dyDescent="0.3">
      <c r="A28" s="506">
        <v>1000052</v>
      </c>
      <c r="B28" s="12" t="s">
        <v>41</v>
      </c>
      <c r="C28" s="485"/>
      <c r="D28" s="509"/>
      <c r="E28" s="485"/>
      <c r="F28" s="489">
        <v>2</v>
      </c>
      <c r="G28" s="489"/>
      <c r="H28" s="489">
        <v>2</v>
      </c>
      <c r="I28" s="489"/>
      <c r="J28" s="489">
        <v>2</v>
      </c>
      <c r="K28" s="489"/>
      <c r="L28" s="489"/>
      <c r="M28" s="489"/>
      <c r="N28" s="489"/>
      <c r="O28" s="489"/>
      <c r="P28" s="490">
        <f t="shared" si="0"/>
        <v>6</v>
      </c>
    </row>
    <row r="29" spans="1:16" ht="15.75" thickBot="1" x14ac:dyDescent="0.3">
      <c r="A29" s="506">
        <v>1000089</v>
      </c>
      <c r="B29" s="12" t="s">
        <v>42</v>
      </c>
      <c r="C29" s="485"/>
      <c r="D29" s="509"/>
      <c r="E29" s="485"/>
      <c r="F29" s="489">
        <v>2</v>
      </c>
      <c r="G29" s="489"/>
      <c r="H29" s="489">
        <v>2</v>
      </c>
      <c r="I29" s="489"/>
      <c r="J29" s="489"/>
      <c r="K29" s="489"/>
      <c r="L29" s="489"/>
      <c r="M29" s="489"/>
      <c r="N29" s="489"/>
      <c r="O29" s="489"/>
      <c r="P29" s="490">
        <f t="shared" si="0"/>
        <v>4</v>
      </c>
    </row>
    <row r="30" spans="1:16" ht="15.75" thickBot="1" x14ac:dyDescent="0.3">
      <c r="A30" s="506">
        <v>1000051</v>
      </c>
      <c r="B30" s="12" t="s">
        <v>43</v>
      </c>
      <c r="C30" s="485"/>
      <c r="D30" s="509"/>
      <c r="E30" s="485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6">
        <f t="shared" si="0"/>
        <v>0</v>
      </c>
    </row>
    <row r="31" spans="1:16" ht="15.75" thickBot="1" x14ac:dyDescent="0.3">
      <c r="A31" s="506">
        <v>1000048</v>
      </c>
      <c r="B31" s="12" t="s">
        <v>45</v>
      </c>
      <c r="C31" s="485"/>
      <c r="D31" s="509"/>
      <c r="E31" s="485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6">
        <f t="shared" si="0"/>
        <v>0</v>
      </c>
    </row>
    <row r="32" spans="1:16" ht="15.75" thickBot="1" x14ac:dyDescent="0.3">
      <c r="A32" s="506">
        <v>1000076</v>
      </c>
      <c r="B32" s="12" t="s">
        <v>46</v>
      </c>
      <c r="C32" s="485"/>
      <c r="D32" s="509"/>
      <c r="E32" s="485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6">
        <f t="shared" si="0"/>
        <v>0</v>
      </c>
    </row>
    <row r="33" spans="1:16" ht="15.75" thickBot="1" x14ac:dyDescent="0.3">
      <c r="A33" s="506">
        <v>1000070</v>
      </c>
      <c r="B33" s="12" t="s">
        <v>13</v>
      </c>
      <c r="C33" s="485"/>
      <c r="D33" s="509"/>
      <c r="E33" s="485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6">
        <f t="shared" si="0"/>
        <v>0</v>
      </c>
    </row>
    <row r="34" spans="1:16" ht="15.75" thickBot="1" x14ac:dyDescent="0.3">
      <c r="A34" s="506">
        <v>1000034</v>
      </c>
      <c r="B34" s="12" t="s">
        <v>28</v>
      </c>
      <c r="C34" s="485"/>
      <c r="D34" s="509"/>
      <c r="E34" s="48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6">
        <f t="shared" si="0"/>
        <v>0</v>
      </c>
    </row>
    <row r="35" spans="1:16" ht="15.75" thickBot="1" x14ac:dyDescent="0.3">
      <c r="A35" s="506">
        <v>1000033</v>
      </c>
      <c r="B35" s="12" t="s">
        <v>27</v>
      </c>
      <c r="C35" s="485"/>
      <c r="D35" s="509"/>
      <c r="E35" s="48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6">
        <f t="shared" si="0"/>
        <v>0</v>
      </c>
    </row>
    <row r="36" spans="1:16" ht="15.75" thickBot="1" x14ac:dyDescent="0.3">
      <c r="A36" s="506">
        <v>1000214</v>
      </c>
      <c r="B36" s="12" t="s">
        <v>49</v>
      </c>
      <c r="C36" s="485"/>
      <c r="D36" s="509"/>
      <c r="E36" s="485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6">
        <f t="shared" si="0"/>
        <v>0</v>
      </c>
    </row>
    <row r="37" spans="1:16" ht="15.75" thickBot="1" x14ac:dyDescent="0.3">
      <c r="A37" s="506">
        <v>1000029</v>
      </c>
      <c r="B37" s="12" t="s">
        <v>30</v>
      </c>
      <c r="C37" s="485"/>
      <c r="D37" s="509"/>
      <c r="E37" s="485"/>
      <c r="F37" s="489"/>
      <c r="G37" s="489"/>
      <c r="H37" s="489"/>
      <c r="I37" s="489"/>
      <c r="J37" s="489"/>
      <c r="K37" s="489"/>
      <c r="L37" s="489"/>
      <c r="M37" s="489"/>
      <c r="N37" s="489">
        <v>1</v>
      </c>
      <c r="O37" s="489"/>
      <c r="P37" s="490">
        <f t="shared" si="0"/>
        <v>1</v>
      </c>
    </row>
    <row r="38" spans="1:16" ht="15.75" thickBot="1" x14ac:dyDescent="0.3">
      <c r="A38" s="506">
        <v>1000147</v>
      </c>
      <c r="B38" s="12" t="s">
        <v>52</v>
      </c>
      <c r="C38" s="485"/>
      <c r="D38" s="509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5.75" thickBot="1" x14ac:dyDescent="0.3">
      <c r="A39" s="506">
        <v>1000142</v>
      </c>
      <c r="B39" s="12" t="s">
        <v>54</v>
      </c>
      <c r="C39" s="485"/>
      <c r="D39" s="509"/>
      <c r="E39" s="485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6">
        <f t="shared" si="0"/>
        <v>0</v>
      </c>
    </row>
    <row r="40" spans="1:16" ht="15.75" thickBot="1" x14ac:dyDescent="0.3">
      <c r="A40" s="506">
        <v>1000030</v>
      </c>
      <c r="B40" s="12" t="s">
        <v>24</v>
      </c>
      <c r="C40" s="485"/>
      <c r="D40" s="509"/>
      <c r="E40" s="48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6">
        <f t="shared" si="0"/>
        <v>0</v>
      </c>
    </row>
    <row r="41" spans="1:16" ht="15.75" thickBot="1" x14ac:dyDescent="0.3">
      <c r="A41" s="506">
        <v>1000472</v>
      </c>
      <c r="B41" s="12" t="s">
        <v>222</v>
      </c>
      <c r="C41" s="485"/>
      <c r="D41" s="509"/>
      <c r="E41" s="485"/>
      <c r="F41" s="489"/>
      <c r="G41" s="489"/>
      <c r="H41" s="489"/>
      <c r="I41" s="489"/>
      <c r="J41" s="489"/>
      <c r="K41" s="489"/>
      <c r="L41" s="489">
        <v>1</v>
      </c>
      <c r="M41" s="489"/>
      <c r="N41" s="489"/>
      <c r="O41" s="489"/>
      <c r="P41" s="490">
        <f t="shared" si="0"/>
        <v>1</v>
      </c>
    </row>
    <row r="42" spans="1:16" ht="15.75" thickBot="1" x14ac:dyDescent="0.3">
      <c r="A42" s="506">
        <v>1000008</v>
      </c>
      <c r="B42" s="12" t="s">
        <v>7</v>
      </c>
      <c r="C42" s="485"/>
      <c r="D42" s="509"/>
      <c r="E42" s="485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5.75" thickBot="1" x14ac:dyDescent="0.3">
      <c r="A43" s="506">
        <v>1000383</v>
      </c>
      <c r="B43" s="12" t="s">
        <v>264</v>
      </c>
      <c r="C43" s="485"/>
      <c r="D43" s="509"/>
      <c r="E43" s="485"/>
      <c r="F43" s="489">
        <v>16</v>
      </c>
      <c r="G43" s="489"/>
      <c r="H43" s="489">
        <v>16</v>
      </c>
      <c r="I43" s="489"/>
      <c r="J43" s="489">
        <v>24</v>
      </c>
      <c r="K43" s="489"/>
      <c r="L43" s="489"/>
      <c r="M43" s="489"/>
      <c r="N43" s="489">
        <v>24</v>
      </c>
      <c r="O43" s="489"/>
      <c r="P43" s="490">
        <f t="shared" si="0"/>
        <v>80</v>
      </c>
    </row>
    <row r="44" spans="1:16" ht="15.75" thickBot="1" x14ac:dyDescent="0.3">
      <c r="A44" s="506">
        <v>1000035</v>
      </c>
      <c r="B44" s="12" t="s">
        <v>29</v>
      </c>
      <c r="C44" s="485"/>
      <c r="D44" s="509"/>
      <c r="E44" s="485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P44" s="486">
        <f t="shared" si="0"/>
        <v>0</v>
      </c>
    </row>
    <row r="45" spans="1:16" ht="15.75" thickBot="1" x14ac:dyDescent="0.3">
      <c r="A45" s="506">
        <v>1000515</v>
      </c>
      <c r="B45" s="12" t="s">
        <v>238</v>
      </c>
      <c r="C45" s="485"/>
      <c r="D45" s="509"/>
      <c r="E45" s="485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6">
        <f t="shared" si="0"/>
        <v>0</v>
      </c>
    </row>
    <row r="46" spans="1:16" ht="15.75" thickBot="1" x14ac:dyDescent="0.3">
      <c r="A46" s="506">
        <v>1000080</v>
      </c>
      <c r="B46" s="12" t="s">
        <v>275</v>
      </c>
      <c r="C46" s="485"/>
      <c r="D46" s="509"/>
      <c r="E46" s="485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6">
        <f t="shared" si="0"/>
        <v>0</v>
      </c>
    </row>
    <row r="47" spans="1:16" ht="15.75" thickBot="1" x14ac:dyDescent="0.3">
      <c r="A47" s="506">
        <v>1000436</v>
      </c>
      <c r="B47" s="12" t="s">
        <v>276</v>
      </c>
      <c r="C47" s="485"/>
      <c r="D47" s="509"/>
      <c r="E47" s="485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6">
        <f t="shared" si="0"/>
        <v>0</v>
      </c>
    </row>
    <row r="48" spans="1:16" ht="15.75" thickBot="1" x14ac:dyDescent="0.3">
      <c r="A48" s="506">
        <v>1000550</v>
      </c>
      <c r="B48" s="12" t="s">
        <v>277</v>
      </c>
      <c r="C48" s="485"/>
      <c r="D48" s="509"/>
      <c r="E48" s="485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6">
        <f t="shared" si="0"/>
        <v>0</v>
      </c>
    </row>
    <row r="49" spans="1:16" ht="15.75" thickBot="1" x14ac:dyDescent="0.3">
      <c r="A49" s="506">
        <v>1000551</v>
      </c>
      <c r="B49" s="12" t="s">
        <v>278</v>
      </c>
      <c r="C49" s="485"/>
      <c r="D49" s="509"/>
      <c r="E49" s="485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6">
        <f t="shared" si="0"/>
        <v>0</v>
      </c>
    </row>
    <row r="50" spans="1:16" ht="16.5" thickBot="1" x14ac:dyDescent="0.3">
      <c r="A50" s="207">
        <v>1000552</v>
      </c>
      <c r="B50" s="246" t="s">
        <v>279</v>
      </c>
      <c r="C50"/>
      <c r="D50" s="495"/>
      <c r="E50" s="496"/>
      <c r="F50" s="489"/>
      <c r="G50" s="489"/>
      <c r="H50" s="489"/>
      <c r="I50" s="489"/>
      <c r="J50" s="489"/>
      <c r="K50" s="489"/>
      <c r="L50" s="489"/>
      <c r="M50" s="489"/>
      <c r="N50" s="489"/>
      <c r="O50" s="489"/>
      <c r="P50" s="486">
        <f t="shared" si="0"/>
        <v>0</v>
      </c>
    </row>
    <row r="51" spans="1:16" x14ac:dyDescent="0.25">
      <c r="A51" s="654" t="s">
        <v>487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6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C080-568F-4F87-9231-2BBAC0BA2460}">
  <sheetPr>
    <tabColor rgb="FF7030A0"/>
    <pageSetUpPr fitToPage="1"/>
  </sheetPr>
  <dimension ref="A1:P55"/>
  <sheetViews>
    <sheetView topLeftCell="A17" zoomScale="70" zoomScaleNormal="70" workbookViewId="0">
      <selection activeCell="R43" sqref="R42:R43"/>
    </sheetView>
  </sheetViews>
  <sheetFormatPr baseColWidth="10" defaultColWidth="10.875" defaultRowHeight="15" x14ac:dyDescent="0.25"/>
  <cols>
    <col min="1" max="1" width="9.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6.875" style="27" customWidth="1"/>
    <col min="10" max="10" width="9.125" style="27" bestFit="1" customWidth="1"/>
    <col min="11" max="11" width="7.375" style="27" customWidth="1"/>
    <col min="12" max="12" width="9.125" style="27" bestFit="1" customWidth="1"/>
    <col min="13" max="13" width="6.875" style="27" customWidth="1"/>
    <col min="14" max="14" width="9.125" style="27" bestFit="1" customWidth="1"/>
    <col min="15" max="15" width="7.25" style="27" customWidth="1"/>
    <col min="16" max="16384" width="10.875" style="27"/>
  </cols>
  <sheetData>
    <row r="1" spans="1:16" ht="15" customHeight="1" x14ac:dyDescent="0.45">
      <c r="A1" s="686" t="s">
        <v>143</v>
      </c>
      <c r="B1" s="687"/>
      <c r="C1" s="18"/>
      <c r="D1" s="18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33" t="s">
        <v>362</v>
      </c>
      <c r="F2" s="754"/>
      <c r="G2" s="755"/>
      <c r="H2" s="755"/>
      <c r="I2" s="755"/>
      <c r="J2" s="756"/>
      <c r="K2" s="2"/>
    </row>
    <row r="3" spans="1:16" s="3" customFormat="1" ht="20.25" customHeight="1" thickBot="1" x14ac:dyDescent="0.3">
      <c r="A3" s="5"/>
      <c r="B3" s="5" t="s">
        <v>368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486">
        <v>1000006</v>
      </c>
      <c r="B5" s="11" t="s">
        <v>4</v>
      </c>
      <c r="C5" s="487"/>
      <c r="D5" s="505">
        <v>40</v>
      </c>
      <c r="E5" s="485"/>
      <c r="F5" s="489"/>
      <c r="G5" s="489"/>
      <c r="H5" s="489">
        <v>50</v>
      </c>
      <c r="I5" s="489"/>
      <c r="J5" s="489"/>
      <c r="K5" s="489"/>
      <c r="L5" s="489">
        <v>50</v>
      </c>
      <c r="M5" s="489"/>
      <c r="N5" s="489"/>
      <c r="O5" s="489"/>
      <c r="P5" s="490">
        <f t="shared" ref="P5:P55" si="0">SUM(F5:O5)</f>
        <v>100</v>
      </c>
    </row>
    <row r="6" spans="1:16" ht="15.75" thickBot="1" x14ac:dyDescent="0.3">
      <c r="A6" s="491">
        <v>1000007</v>
      </c>
      <c r="B6" s="12" t="s">
        <v>5</v>
      </c>
      <c r="C6" s="487"/>
      <c r="D6" s="503">
        <v>20</v>
      </c>
      <c r="E6" s="485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6">
        <f t="shared" si="0"/>
        <v>0</v>
      </c>
    </row>
    <row r="7" spans="1:16" ht="15.75" thickBot="1" x14ac:dyDescent="0.3">
      <c r="A7" s="491">
        <v>1000001</v>
      </c>
      <c r="B7" s="12" t="s">
        <v>8</v>
      </c>
      <c r="C7" s="487"/>
      <c r="D7" s="503">
        <v>1</v>
      </c>
      <c r="E7" s="485"/>
      <c r="F7" s="489"/>
      <c r="G7" s="489"/>
      <c r="H7" s="489">
        <v>2</v>
      </c>
      <c r="I7" s="489"/>
      <c r="J7" s="489"/>
      <c r="K7" s="489"/>
      <c r="L7" s="489">
        <v>2</v>
      </c>
      <c r="M7" s="489"/>
      <c r="N7" s="489"/>
      <c r="O7" s="489"/>
      <c r="P7" s="490">
        <f t="shared" si="0"/>
        <v>4</v>
      </c>
    </row>
    <row r="8" spans="1:16" ht="15.75" thickBot="1" x14ac:dyDescent="0.3">
      <c r="A8" s="491">
        <v>1000002</v>
      </c>
      <c r="B8" s="12" t="s">
        <v>9</v>
      </c>
      <c r="C8" s="487"/>
      <c r="D8" s="503">
        <v>1</v>
      </c>
      <c r="E8" s="485"/>
      <c r="F8" s="489"/>
      <c r="G8" s="489"/>
      <c r="H8" s="489"/>
      <c r="I8" s="489"/>
      <c r="J8" s="489"/>
      <c r="K8" s="489"/>
      <c r="L8" s="489"/>
      <c r="M8" s="489"/>
      <c r="N8" s="489"/>
      <c r="O8" s="489"/>
      <c r="P8" s="486">
        <f t="shared" si="0"/>
        <v>0</v>
      </c>
    </row>
    <row r="9" spans="1:16" ht="15.75" thickBot="1" x14ac:dyDescent="0.3">
      <c r="A9" s="491">
        <v>1000067</v>
      </c>
      <c r="B9" s="12" t="s">
        <v>11</v>
      </c>
      <c r="C9" s="487"/>
      <c r="D9" s="503">
        <v>0</v>
      </c>
      <c r="E9" s="485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6">
        <f t="shared" si="0"/>
        <v>0</v>
      </c>
    </row>
    <row r="10" spans="1:16" ht="15.75" thickBot="1" x14ac:dyDescent="0.3">
      <c r="A10" s="491">
        <v>1000054</v>
      </c>
      <c r="B10" s="12" t="s">
        <v>12</v>
      </c>
      <c r="C10" s="487"/>
      <c r="D10" s="503">
        <v>4</v>
      </c>
      <c r="E10" s="485"/>
      <c r="F10" s="489"/>
      <c r="G10" s="489"/>
      <c r="H10" s="489"/>
      <c r="I10" s="489"/>
      <c r="J10" s="489"/>
      <c r="K10" s="489"/>
      <c r="L10" s="489">
        <v>5</v>
      </c>
      <c r="M10" s="489"/>
      <c r="N10" s="489"/>
      <c r="O10" s="489"/>
      <c r="P10" s="490">
        <f t="shared" si="0"/>
        <v>5</v>
      </c>
    </row>
    <row r="11" spans="1:16" ht="15.75" thickBot="1" x14ac:dyDescent="0.3">
      <c r="A11" s="491">
        <v>1000017</v>
      </c>
      <c r="B11" s="12" t="s">
        <v>14</v>
      </c>
      <c r="C11" s="487"/>
      <c r="D11" s="503">
        <v>5</v>
      </c>
      <c r="E11" s="485"/>
      <c r="F11" s="489"/>
      <c r="G11" s="489"/>
      <c r="H11" s="489">
        <v>5</v>
      </c>
      <c r="I11" s="489"/>
      <c r="J11" s="489"/>
      <c r="K11" s="489"/>
      <c r="L11" s="489">
        <v>5</v>
      </c>
      <c r="M11" s="489"/>
      <c r="N11" s="489"/>
      <c r="O11" s="489"/>
      <c r="P11" s="490">
        <f t="shared" si="0"/>
        <v>10</v>
      </c>
    </row>
    <row r="12" spans="1:16" ht="15.75" thickBot="1" x14ac:dyDescent="0.3">
      <c r="A12" s="491">
        <v>1000016</v>
      </c>
      <c r="B12" s="12" t="s">
        <v>15</v>
      </c>
      <c r="C12" s="487"/>
      <c r="D12" s="503">
        <v>1</v>
      </c>
      <c r="E12" s="485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86">
        <f t="shared" si="0"/>
        <v>0</v>
      </c>
    </row>
    <row r="13" spans="1:16" ht="15.75" thickBot="1" x14ac:dyDescent="0.3">
      <c r="A13" s="491">
        <v>1000041</v>
      </c>
      <c r="B13" s="12" t="s">
        <v>16</v>
      </c>
      <c r="C13" s="487"/>
      <c r="D13" s="503">
        <v>1</v>
      </c>
      <c r="E13" s="485"/>
      <c r="F13" s="489"/>
      <c r="G13" s="489"/>
      <c r="H13" s="489"/>
      <c r="I13" s="489"/>
      <c r="J13" s="489"/>
      <c r="K13" s="489"/>
      <c r="L13" s="489"/>
      <c r="M13" s="489"/>
      <c r="N13" s="489"/>
      <c r="O13" s="489"/>
      <c r="P13" s="486">
        <f t="shared" si="0"/>
        <v>0</v>
      </c>
    </row>
    <row r="14" spans="1:16" ht="15.75" thickBot="1" x14ac:dyDescent="0.3">
      <c r="A14" s="491">
        <v>1000011</v>
      </c>
      <c r="B14" s="12" t="s">
        <v>18</v>
      </c>
      <c r="C14" s="487"/>
      <c r="D14" s="503">
        <v>1</v>
      </c>
      <c r="E14" s="485"/>
      <c r="F14" s="489"/>
      <c r="G14" s="489"/>
      <c r="H14" s="489"/>
      <c r="I14" s="489"/>
      <c r="J14" s="489"/>
      <c r="K14" s="489"/>
      <c r="L14" s="489"/>
      <c r="M14" s="489"/>
      <c r="N14" s="489"/>
      <c r="O14" s="489"/>
      <c r="P14" s="486">
        <f t="shared" si="0"/>
        <v>0</v>
      </c>
    </row>
    <row r="15" spans="1:16" ht="15.75" thickBot="1" x14ac:dyDescent="0.3">
      <c r="A15" s="491">
        <v>1000049</v>
      </c>
      <c r="B15" s="12" t="s">
        <v>21</v>
      </c>
      <c r="C15" s="487"/>
      <c r="D15" s="503">
        <v>1</v>
      </c>
      <c r="E15" s="485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6">
        <f t="shared" si="0"/>
        <v>0</v>
      </c>
    </row>
    <row r="16" spans="1:16" ht="15.75" thickBot="1" x14ac:dyDescent="0.3">
      <c r="A16" s="491">
        <v>1000050</v>
      </c>
      <c r="B16" s="12" t="s">
        <v>22</v>
      </c>
      <c r="C16" s="487"/>
      <c r="D16" s="503">
        <v>1</v>
      </c>
      <c r="E16" s="485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6">
        <f t="shared" si="0"/>
        <v>0</v>
      </c>
    </row>
    <row r="17" spans="1:16" ht="15.75" thickBot="1" x14ac:dyDescent="0.3">
      <c r="A17" s="491">
        <v>1000045</v>
      </c>
      <c r="B17" s="12" t="s">
        <v>23</v>
      </c>
      <c r="C17" s="487"/>
      <c r="D17" s="503">
        <v>0</v>
      </c>
      <c r="E17" s="485"/>
      <c r="F17" s="489"/>
      <c r="G17" s="489"/>
      <c r="H17" s="489"/>
      <c r="I17" s="489"/>
      <c r="J17" s="489"/>
      <c r="K17" s="489"/>
      <c r="L17" s="489"/>
      <c r="M17" s="489"/>
      <c r="N17" s="489"/>
      <c r="O17" s="489"/>
      <c r="P17" s="486">
        <f t="shared" si="0"/>
        <v>0</v>
      </c>
    </row>
    <row r="18" spans="1:16" ht="15.75" thickBot="1" x14ac:dyDescent="0.3">
      <c r="A18" s="491">
        <v>1000031</v>
      </c>
      <c r="B18" s="12" t="s">
        <v>25</v>
      </c>
      <c r="C18" s="487"/>
      <c r="D18" s="503">
        <v>1</v>
      </c>
      <c r="E18" s="485"/>
      <c r="F18" s="489"/>
      <c r="G18" s="489"/>
      <c r="H18" s="489"/>
      <c r="I18" s="489"/>
      <c r="J18" s="489"/>
      <c r="K18" s="489"/>
      <c r="L18" s="489"/>
      <c r="M18" s="489"/>
      <c r="N18" s="489"/>
      <c r="O18" s="489"/>
      <c r="P18" s="486">
        <f t="shared" si="0"/>
        <v>0</v>
      </c>
    </row>
    <row r="19" spans="1:16" ht="15.75" thickBot="1" x14ac:dyDescent="0.3">
      <c r="A19" s="491">
        <v>1000100</v>
      </c>
      <c r="B19" s="12" t="s">
        <v>34</v>
      </c>
      <c r="C19" s="487"/>
      <c r="D19" s="503">
        <v>0</v>
      </c>
      <c r="E19" s="485"/>
      <c r="F19" s="489"/>
      <c r="G19" s="489"/>
      <c r="H19" s="489"/>
      <c r="I19" s="489"/>
      <c r="J19" s="489"/>
      <c r="K19" s="489"/>
      <c r="L19" s="489"/>
      <c r="M19" s="489"/>
      <c r="N19" s="489"/>
      <c r="O19" s="489"/>
      <c r="P19" s="486">
        <f t="shared" si="0"/>
        <v>0</v>
      </c>
    </row>
    <row r="20" spans="1:16" ht="15.75" thickBot="1" x14ac:dyDescent="0.3">
      <c r="A20" s="491">
        <v>1000073</v>
      </c>
      <c r="B20" s="12" t="s">
        <v>36</v>
      </c>
      <c r="C20" s="487"/>
      <c r="D20" s="503">
        <v>0</v>
      </c>
      <c r="E20" s="485"/>
      <c r="F20" s="489"/>
      <c r="G20" s="489"/>
      <c r="H20" s="489"/>
      <c r="I20" s="489"/>
      <c r="J20" s="489"/>
      <c r="K20" s="489"/>
      <c r="L20" s="489"/>
      <c r="M20" s="489"/>
      <c r="N20" s="489"/>
      <c r="O20" s="489"/>
      <c r="P20" s="486">
        <f t="shared" si="0"/>
        <v>0</v>
      </c>
    </row>
    <row r="21" spans="1:16" ht="15.75" thickBot="1" x14ac:dyDescent="0.3">
      <c r="A21" s="491">
        <v>1000146</v>
      </c>
      <c r="B21" s="12" t="s">
        <v>39</v>
      </c>
      <c r="C21" s="487"/>
      <c r="D21" s="503">
        <v>3</v>
      </c>
      <c r="E21" s="485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6">
        <f t="shared" si="0"/>
        <v>0</v>
      </c>
    </row>
    <row r="22" spans="1:16" ht="15.75" thickBot="1" x14ac:dyDescent="0.3">
      <c r="A22" s="491">
        <v>10248</v>
      </c>
      <c r="B22" s="12" t="s">
        <v>183</v>
      </c>
      <c r="C22" s="487"/>
      <c r="D22" s="503">
        <v>0</v>
      </c>
      <c r="E22" s="485"/>
      <c r="F22" s="489"/>
      <c r="G22" s="489"/>
      <c r="H22" s="489">
        <v>6</v>
      </c>
      <c r="I22" s="489"/>
      <c r="J22" s="489"/>
      <c r="K22" s="489"/>
      <c r="L22" s="489">
        <v>6</v>
      </c>
      <c r="M22" s="489"/>
      <c r="N22" s="489"/>
      <c r="O22" s="489"/>
      <c r="P22" s="490">
        <f t="shared" si="0"/>
        <v>12</v>
      </c>
    </row>
    <row r="23" spans="1:16" ht="15.75" thickBot="1" x14ac:dyDescent="0.3">
      <c r="A23" s="491">
        <v>1000052</v>
      </c>
      <c r="B23" s="12" t="s">
        <v>41</v>
      </c>
      <c r="C23" s="487"/>
      <c r="D23" s="503">
        <v>1</v>
      </c>
      <c r="E23" s="485"/>
      <c r="F23" s="489"/>
      <c r="G23" s="489"/>
      <c r="H23" s="489"/>
      <c r="I23" s="489"/>
      <c r="J23" s="489"/>
      <c r="K23" s="489"/>
      <c r="L23" s="489"/>
      <c r="M23" s="489"/>
      <c r="N23" s="489"/>
      <c r="O23" s="489"/>
      <c r="P23" s="486">
        <f t="shared" si="0"/>
        <v>0</v>
      </c>
    </row>
    <row r="24" spans="1:16" ht="15.75" thickBot="1" x14ac:dyDescent="0.3">
      <c r="A24" s="491">
        <v>1000089</v>
      </c>
      <c r="B24" s="12" t="s">
        <v>42</v>
      </c>
      <c r="C24" s="487"/>
      <c r="D24" s="503">
        <v>1</v>
      </c>
      <c r="E24" s="485"/>
      <c r="F24" s="489"/>
      <c r="G24" s="489"/>
      <c r="H24" s="489"/>
      <c r="I24" s="489"/>
      <c r="J24" s="489"/>
      <c r="K24" s="489"/>
      <c r="L24" s="489"/>
      <c r="M24" s="489"/>
      <c r="N24" s="489"/>
      <c r="O24" s="489"/>
      <c r="P24" s="486">
        <f t="shared" si="0"/>
        <v>0</v>
      </c>
    </row>
    <row r="25" spans="1:16" ht="15.75" thickBot="1" x14ac:dyDescent="0.3">
      <c r="A25" s="491">
        <v>1000051</v>
      </c>
      <c r="B25" s="12" t="s">
        <v>43</v>
      </c>
      <c r="C25" s="487"/>
      <c r="D25" s="503">
        <v>1</v>
      </c>
      <c r="E25" s="485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6">
        <f t="shared" si="0"/>
        <v>0</v>
      </c>
    </row>
    <row r="26" spans="1:16" ht="15.75" thickBot="1" x14ac:dyDescent="0.3">
      <c r="A26" s="491">
        <v>1000048</v>
      </c>
      <c r="B26" s="12" t="s">
        <v>45</v>
      </c>
      <c r="C26" s="487"/>
      <c r="D26" s="503">
        <v>0</v>
      </c>
      <c r="E26" s="485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6">
        <f t="shared" si="0"/>
        <v>0</v>
      </c>
    </row>
    <row r="27" spans="1:16" ht="15.75" thickBot="1" x14ac:dyDescent="0.3">
      <c r="A27" s="491">
        <v>1000076</v>
      </c>
      <c r="B27" s="12" t="s">
        <v>46</v>
      </c>
      <c r="C27" s="487"/>
      <c r="D27" s="503">
        <v>0</v>
      </c>
      <c r="E27" s="485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6">
        <f t="shared" si="0"/>
        <v>0</v>
      </c>
    </row>
    <row r="28" spans="1:16" ht="15.75" thickBot="1" x14ac:dyDescent="0.3">
      <c r="A28" s="491">
        <v>1000214</v>
      </c>
      <c r="B28" s="12" t="s">
        <v>49</v>
      </c>
      <c r="C28" s="487"/>
      <c r="D28" s="503">
        <v>0</v>
      </c>
      <c r="E28" s="485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6">
        <f t="shared" si="0"/>
        <v>0</v>
      </c>
    </row>
    <row r="29" spans="1:16" ht="15.75" thickBot="1" x14ac:dyDescent="0.3">
      <c r="A29" s="491">
        <v>1000092</v>
      </c>
      <c r="B29" s="12" t="s">
        <v>51</v>
      </c>
      <c r="C29" s="487"/>
      <c r="D29" s="503">
        <v>0</v>
      </c>
      <c r="E29" s="485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6">
        <f t="shared" si="0"/>
        <v>0</v>
      </c>
    </row>
    <row r="30" spans="1:16" ht="15.75" thickBot="1" x14ac:dyDescent="0.3">
      <c r="A30" s="491">
        <v>1000027</v>
      </c>
      <c r="B30" s="12" t="s">
        <v>33</v>
      </c>
      <c r="C30" s="487"/>
      <c r="D30" s="503"/>
      <c r="E30" s="485"/>
      <c r="F30" s="489"/>
      <c r="G30" s="489"/>
      <c r="H30" s="489"/>
      <c r="I30" s="489"/>
      <c r="J30" s="489"/>
      <c r="K30" s="489"/>
      <c r="L30" s="489">
        <v>3</v>
      </c>
      <c r="M30" s="489"/>
      <c r="N30" s="489"/>
      <c r="O30" s="489"/>
      <c r="P30" s="490">
        <f t="shared" si="0"/>
        <v>3</v>
      </c>
    </row>
    <row r="31" spans="1:16" ht="15.75" thickBot="1" x14ac:dyDescent="0.3">
      <c r="A31" s="491">
        <v>1000004</v>
      </c>
      <c r="B31" s="12" t="s">
        <v>10</v>
      </c>
      <c r="C31" s="487"/>
      <c r="D31" s="503"/>
      <c r="E31" s="485"/>
      <c r="F31" s="489"/>
      <c r="G31" s="489"/>
      <c r="H31" s="489">
        <v>2</v>
      </c>
      <c r="I31" s="489"/>
      <c r="J31" s="489"/>
      <c r="K31" s="489"/>
      <c r="L31" s="489">
        <v>2</v>
      </c>
      <c r="M31" s="489"/>
      <c r="N31" s="489"/>
      <c r="O31" s="489"/>
      <c r="P31" s="490">
        <f t="shared" si="0"/>
        <v>4</v>
      </c>
    </row>
    <row r="32" spans="1:16" s="15" customFormat="1" ht="15.95" customHeight="1" thickBot="1" x14ac:dyDescent="0.3">
      <c r="A32" s="491">
        <v>1000070</v>
      </c>
      <c r="B32" s="12" t="s">
        <v>13</v>
      </c>
      <c r="C32" s="487"/>
      <c r="D32" s="503"/>
      <c r="E32" s="485"/>
      <c r="F32" s="489"/>
      <c r="G32" s="489"/>
      <c r="H32" s="489">
        <v>1</v>
      </c>
      <c r="I32" s="489"/>
      <c r="J32" s="489"/>
      <c r="K32" s="489"/>
      <c r="L32" s="489">
        <v>1</v>
      </c>
      <c r="M32" s="489"/>
      <c r="N32" s="489"/>
      <c r="O32" s="489"/>
      <c r="P32" s="490">
        <f t="shared" si="0"/>
        <v>2</v>
      </c>
    </row>
    <row r="33" spans="1:16" ht="15.75" thickBot="1" x14ac:dyDescent="0.3">
      <c r="A33" s="491">
        <v>1000033</v>
      </c>
      <c r="B33" s="12" t="s">
        <v>27</v>
      </c>
      <c r="C33" s="487"/>
      <c r="D33" s="503"/>
      <c r="E33" s="485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6">
        <f t="shared" si="0"/>
        <v>0</v>
      </c>
    </row>
    <row r="34" spans="1:16" ht="15.75" thickBot="1" x14ac:dyDescent="0.3">
      <c r="A34" s="491">
        <v>1000030</v>
      </c>
      <c r="B34" s="12" t="s">
        <v>24</v>
      </c>
      <c r="C34" s="487"/>
      <c r="D34" s="503"/>
      <c r="E34" s="48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6">
        <f t="shared" si="0"/>
        <v>0</v>
      </c>
    </row>
    <row r="35" spans="1:16" ht="15.75" thickBot="1" x14ac:dyDescent="0.3">
      <c r="A35" s="491">
        <v>1000142</v>
      </c>
      <c r="B35" s="12" t="s">
        <v>54</v>
      </c>
      <c r="C35" s="487"/>
      <c r="D35" s="503"/>
      <c r="E35" s="48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6">
        <f t="shared" si="0"/>
        <v>0</v>
      </c>
    </row>
    <row r="36" spans="1:16" ht="15.75" thickBot="1" x14ac:dyDescent="0.3">
      <c r="A36" s="491">
        <v>1000074</v>
      </c>
      <c r="B36" s="12" t="s">
        <v>48</v>
      </c>
      <c r="C36" s="487"/>
      <c r="D36" s="503"/>
      <c r="E36" s="485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6">
        <f t="shared" si="0"/>
        <v>0</v>
      </c>
    </row>
    <row r="37" spans="1:16" ht="15.75" thickBot="1" x14ac:dyDescent="0.3">
      <c r="A37" s="491">
        <v>10211</v>
      </c>
      <c r="B37" s="12" t="s">
        <v>3</v>
      </c>
      <c r="C37" s="487"/>
      <c r="D37" s="503"/>
      <c r="E37" s="485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6">
        <f t="shared" si="0"/>
        <v>0</v>
      </c>
    </row>
    <row r="38" spans="1:16" ht="15.75" thickBot="1" x14ac:dyDescent="0.3">
      <c r="A38" s="491">
        <v>10000015</v>
      </c>
      <c r="B38" s="12" t="s">
        <v>1</v>
      </c>
      <c r="C38" s="487"/>
      <c r="D38" s="503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5.75" thickBot="1" x14ac:dyDescent="0.3">
      <c r="A39" s="491">
        <v>10000102</v>
      </c>
      <c r="B39" s="12" t="s">
        <v>2</v>
      </c>
      <c r="C39" s="487"/>
      <c r="D39" s="503"/>
      <c r="E39" s="485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6">
        <f t="shared" si="0"/>
        <v>0</v>
      </c>
    </row>
    <row r="40" spans="1:16" ht="15.75" thickBot="1" x14ac:dyDescent="0.3">
      <c r="A40" s="491">
        <v>1000029</v>
      </c>
      <c r="B40" s="12" t="s">
        <v>30</v>
      </c>
      <c r="C40" s="487"/>
      <c r="D40" s="503"/>
      <c r="E40" s="48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6">
        <f t="shared" si="0"/>
        <v>0</v>
      </c>
    </row>
    <row r="41" spans="1:16" ht="15.75" thickBot="1" x14ac:dyDescent="0.3">
      <c r="A41" s="491">
        <v>1000027</v>
      </c>
      <c r="B41" s="12" t="s">
        <v>33</v>
      </c>
      <c r="C41" s="487"/>
      <c r="D41" s="503"/>
      <c r="E41" s="485"/>
      <c r="F41" s="489"/>
      <c r="G41" s="489"/>
      <c r="H41" s="489">
        <v>3</v>
      </c>
      <c r="I41" s="489"/>
      <c r="J41" s="489"/>
      <c r="K41" s="489"/>
      <c r="L41" s="489"/>
      <c r="M41" s="489"/>
      <c r="N41" s="489"/>
      <c r="O41" s="489"/>
      <c r="P41" s="490">
        <f t="shared" si="0"/>
        <v>3</v>
      </c>
    </row>
    <row r="42" spans="1:16" ht="15.75" thickBot="1" x14ac:dyDescent="0.3">
      <c r="A42" s="491">
        <v>1000085</v>
      </c>
      <c r="B42" s="12" t="s">
        <v>50</v>
      </c>
      <c r="C42" s="487"/>
      <c r="D42" s="503"/>
      <c r="E42" s="485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5.75" thickBot="1" x14ac:dyDescent="0.3">
      <c r="A43" s="491">
        <v>1000084</v>
      </c>
      <c r="B43" s="12" t="s">
        <v>194</v>
      </c>
      <c r="C43" s="487"/>
      <c r="D43" s="503"/>
      <c r="E43" s="485"/>
      <c r="F43" s="489"/>
      <c r="G43" s="489"/>
      <c r="H43" s="489">
        <v>4</v>
      </c>
      <c r="I43" s="489"/>
      <c r="J43" s="489"/>
      <c r="K43" s="489"/>
      <c r="L43" s="489">
        <v>4</v>
      </c>
      <c r="M43" s="489"/>
      <c r="N43" s="489"/>
      <c r="O43" s="489"/>
      <c r="P43" s="490">
        <f t="shared" si="0"/>
        <v>8</v>
      </c>
    </row>
    <row r="44" spans="1:16" ht="15.75" thickBot="1" x14ac:dyDescent="0.3">
      <c r="A44" s="491">
        <v>1000101</v>
      </c>
      <c r="B44" s="12" t="s">
        <v>35</v>
      </c>
      <c r="C44" s="487"/>
      <c r="D44" s="503"/>
      <c r="E44" s="485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P44" s="486">
        <f t="shared" si="0"/>
        <v>0</v>
      </c>
    </row>
    <row r="45" spans="1:16" ht="15.75" thickBot="1" x14ac:dyDescent="0.3">
      <c r="A45" s="491">
        <v>1000090</v>
      </c>
      <c r="B45" s="12" t="s">
        <v>40</v>
      </c>
      <c r="C45" s="487"/>
      <c r="D45" s="503"/>
      <c r="E45" s="485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6">
        <f t="shared" si="0"/>
        <v>0</v>
      </c>
    </row>
    <row r="46" spans="1:16" ht="15.75" thickBot="1" x14ac:dyDescent="0.3">
      <c r="A46" s="491">
        <v>1000383</v>
      </c>
      <c r="B46" s="12" t="s">
        <v>264</v>
      </c>
      <c r="C46" s="487"/>
      <c r="D46" s="503"/>
      <c r="E46" s="485"/>
      <c r="F46" s="489"/>
      <c r="G46" s="489"/>
      <c r="H46" s="489">
        <v>24</v>
      </c>
      <c r="I46" s="489"/>
      <c r="J46" s="489"/>
      <c r="K46" s="489"/>
      <c r="L46" s="489">
        <v>24</v>
      </c>
      <c r="M46" s="489"/>
      <c r="N46" s="489"/>
      <c r="O46" s="489"/>
      <c r="P46" s="490">
        <f t="shared" si="0"/>
        <v>48</v>
      </c>
    </row>
    <row r="47" spans="1:16" ht="15.75" thickBot="1" x14ac:dyDescent="0.3">
      <c r="A47" s="491">
        <v>1000436</v>
      </c>
      <c r="B47" s="12" t="s">
        <v>276</v>
      </c>
      <c r="C47" s="487"/>
      <c r="D47" s="503"/>
      <c r="E47" s="485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6">
        <f t="shared" si="0"/>
        <v>0</v>
      </c>
    </row>
    <row r="48" spans="1:16" ht="15.75" thickBot="1" x14ac:dyDescent="0.3">
      <c r="A48" s="491">
        <v>1000550</v>
      </c>
      <c r="B48" s="12" t="s">
        <v>277</v>
      </c>
      <c r="C48" s="487"/>
      <c r="D48" s="503"/>
      <c r="E48" s="485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6">
        <f t="shared" si="0"/>
        <v>0</v>
      </c>
    </row>
    <row r="49" spans="1:16" ht="15.75" thickBot="1" x14ac:dyDescent="0.3">
      <c r="A49" s="491">
        <v>1000551</v>
      </c>
      <c r="B49" s="12" t="s">
        <v>278</v>
      </c>
      <c r="C49" s="487"/>
      <c r="D49" s="503"/>
      <c r="E49" s="485"/>
      <c r="F49" s="489"/>
      <c r="G49" s="489"/>
      <c r="H49" s="489"/>
      <c r="I49" s="489"/>
      <c r="J49" s="489"/>
      <c r="K49" s="489"/>
      <c r="L49" s="489"/>
      <c r="M49" s="489"/>
      <c r="N49" s="489"/>
      <c r="O49" s="489"/>
      <c r="P49" s="486">
        <f t="shared" si="0"/>
        <v>0</v>
      </c>
    </row>
    <row r="50" spans="1:16" ht="15.75" thickBot="1" x14ac:dyDescent="0.3">
      <c r="A50" s="491">
        <v>1000552</v>
      </c>
      <c r="B50" s="12" t="s">
        <v>279</v>
      </c>
      <c r="C50" s="487"/>
      <c r="D50" s="503"/>
      <c r="E50" s="485"/>
      <c r="F50" s="489"/>
      <c r="G50" s="489"/>
      <c r="H50" s="489"/>
      <c r="I50" s="489"/>
      <c r="J50" s="489"/>
      <c r="K50" s="489"/>
      <c r="L50" s="489"/>
      <c r="M50" s="489"/>
      <c r="N50" s="489"/>
      <c r="O50" s="489"/>
      <c r="P50" s="486">
        <f t="shared" si="0"/>
        <v>0</v>
      </c>
    </row>
    <row r="51" spans="1:16" ht="15.75" thickBot="1" x14ac:dyDescent="0.3">
      <c r="A51" s="243">
        <v>1000080</v>
      </c>
      <c r="B51" s="251" t="s">
        <v>275</v>
      </c>
      <c r="C51" s="496"/>
      <c r="D51" s="495"/>
      <c r="E51" s="496"/>
      <c r="F51" s="489"/>
      <c r="G51" s="489"/>
      <c r="H51" s="489"/>
      <c r="I51" s="489"/>
      <c r="J51" s="489"/>
      <c r="K51" s="489"/>
      <c r="L51" s="489"/>
      <c r="M51" s="489"/>
      <c r="N51" s="489"/>
      <c r="O51" s="489"/>
      <c r="P51" s="486">
        <f t="shared" si="0"/>
        <v>0</v>
      </c>
    </row>
    <row r="52" spans="1:16" ht="15.75" thickBot="1" x14ac:dyDescent="0.3">
      <c r="A52" s="491">
        <v>1000034</v>
      </c>
      <c r="B52" s="12" t="s">
        <v>28</v>
      </c>
      <c r="D52" s="38"/>
      <c r="F52" s="489"/>
      <c r="G52" s="489"/>
      <c r="H52" s="489"/>
      <c r="I52" s="489"/>
      <c r="J52" s="489"/>
      <c r="K52" s="489"/>
      <c r="L52" s="489"/>
      <c r="M52" s="489"/>
      <c r="N52" s="489"/>
      <c r="O52" s="489"/>
      <c r="P52" s="486">
        <f t="shared" si="0"/>
        <v>0</v>
      </c>
    </row>
    <row r="53" spans="1:16" ht="15.75" thickBot="1" x14ac:dyDescent="0.3">
      <c r="A53" s="506">
        <v>1000025</v>
      </c>
      <c r="B53" s="12" t="s">
        <v>32</v>
      </c>
      <c r="D53" s="38"/>
      <c r="F53" s="489"/>
      <c r="G53" s="489"/>
      <c r="H53" s="489"/>
      <c r="I53" s="489"/>
      <c r="J53" s="489"/>
      <c r="K53" s="489"/>
      <c r="L53" s="489"/>
      <c r="M53" s="489"/>
      <c r="N53" s="489"/>
      <c r="O53" s="489"/>
      <c r="P53" s="486">
        <f t="shared" si="0"/>
        <v>0</v>
      </c>
    </row>
    <row r="54" spans="1:16" ht="15.75" thickBot="1" x14ac:dyDescent="0.3">
      <c r="A54" s="35">
        <v>1000035</v>
      </c>
      <c r="B54" s="55" t="s">
        <v>29</v>
      </c>
      <c r="D54" s="38"/>
      <c r="F54" s="489"/>
      <c r="G54" s="489"/>
      <c r="H54" s="489"/>
      <c r="I54" s="489"/>
      <c r="J54" s="489"/>
      <c r="K54" s="489"/>
      <c r="L54" s="489"/>
      <c r="M54" s="489"/>
      <c r="N54" s="489"/>
      <c r="O54" s="489"/>
      <c r="P54" s="486">
        <f t="shared" si="0"/>
        <v>0</v>
      </c>
    </row>
    <row r="55" spans="1:16" ht="15.75" thickBot="1" x14ac:dyDescent="0.3">
      <c r="A55" s="269">
        <v>1000036</v>
      </c>
      <c r="B55" s="267" t="s">
        <v>75</v>
      </c>
      <c r="D55" s="38"/>
      <c r="F55" s="489"/>
      <c r="G55" s="489"/>
      <c r="H55" s="489"/>
      <c r="I55" s="489"/>
      <c r="J55" s="489"/>
      <c r="K55" s="489"/>
      <c r="L55" s="489"/>
      <c r="M55" s="489"/>
      <c r="N55" s="489"/>
      <c r="O55" s="489"/>
      <c r="P55" s="486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4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274B-400D-4A5C-BA10-1385FC73B0CB}">
  <sheetPr>
    <tabColor rgb="FF7030A0"/>
    <pageSetUpPr fitToPage="1"/>
  </sheetPr>
  <dimension ref="A1:Q46"/>
  <sheetViews>
    <sheetView topLeftCell="A19" zoomScale="85" zoomScaleNormal="85" workbookViewId="0">
      <selection activeCell="Q11" sqref="Q1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" style="27" customWidth="1"/>
    <col min="4" max="4" width="8.125" style="27" bestFit="1" customWidth="1"/>
    <col min="5" max="5" width="1.875" style="27" customWidth="1"/>
    <col min="6" max="6" width="9.125" style="27" bestFit="1" customWidth="1"/>
    <col min="7" max="7" width="6" style="27" customWidth="1"/>
    <col min="8" max="8" width="9.125" style="27" bestFit="1" customWidth="1"/>
    <col min="9" max="9" width="5.87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6.125" style="27" customWidth="1"/>
    <col min="16" max="16" width="10.125" style="27" customWidth="1"/>
    <col min="17" max="16384" width="10.875" style="27"/>
  </cols>
  <sheetData>
    <row r="1" spans="1:16" ht="15" customHeight="1" x14ac:dyDescent="0.45">
      <c r="A1" s="686" t="s">
        <v>104</v>
      </c>
      <c r="B1" s="687"/>
      <c r="C1" s="18"/>
      <c r="D1" s="485"/>
      <c r="E1" s="485"/>
      <c r="F1" s="751" t="s">
        <v>474</v>
      </c>
      <c r="G1" s="752"/>
      <c r="H1" s="752"/>
      <c r="I1" s="752"/>
      <c r="J1" s="753"/>
      <c r="K1" s="2"/>
      <c r="L1" s="485"/>
      <c r="M1" s="485"/>
      <c r="N1" s="485"/>
      <c r="O1" s="485"/>
      <c r="P1" s="485"/>
    </row>
    <row r="2" spans="1:16" s="3" customFormat="1" ht="16.5" customHeight="1" thickBot="1" x14ac:dyDescent="0.5">
      <c r="A2" s="688"/>
      <c r="B2" s="689"/>
      <c r="C2" s="18"/>
      <c r="D2" s="428" t="s">
        <v>362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376</v>
      </c>
      <c r="C3" s="18"/>
      <c r="D3" s="4"/>
    </row>
    <row r="4" spans="1:16" s="3" customFormat="1" ht="16.5" thickBot="1" x14ac:dyDescent="0.3">
      <c r="A4" s="50" t="s">
        <v>0</v>
      </c>
      <c r="B4" s="6" t="s">
        <v>105</v>
      </c>
      <c r="C4" s="4"/>
      <c r="D4" s="7" t="s">
        <v>106</v>
      </c>
      <c r="E4" s="485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486">
        <v>10211</v>
      </c>
      <c r="B5" s="12" t="s">
        <v>3</v>
      </c>
      <c r="C5" s="51"/>
      <c r="D5" s="510">
        <v>5</v>
      </c>
      <c r="E5" s="485"/>
      <c r="F5" s="489"/>
      <c r="G5" s="489"/>
      <c r="H5" s="489"/>
      <c r="I5" s="489"/>
      <c r="J5" s="489"/>
      <c r="K5" s="489"/>
      <c r="L5" s="489"/>
      <c r="M5" s="489"/>
      <c r="N5" s="489">
        <v>50</v>
      </c>
      <c r="O5" s="489"/>
      <c r="P5" s="490">
        <f t="shared" ref="P5:P46" si="0">SUM(F5:O5)</f>
        <v>50</v>
      </c>
    </row>
    <row r="6" spans="1:16" ht="15.75" thickBot="1" x14ac:dyDescent="0.3">
      <c r="A6" s="491">
        <v>1000006</v>
      </c>
      <c r="B6" s="12" t="s">
        <v>4</v>
      </c>
      <c r="C6" s="51"/>
      <c r="D6" s="511">
        <v>15</v>
      </c>
      <c r="E6" s="485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818">
        <f t="shared" si="0"/>
        <v>0</v>
      </c>
    </row>
    <row r="7" spans="1:16" ht="15.75" thickBot="1" x14ac:dyDescent="0.3">
      <c r="A7" s="491">
        <v>1000001</v>
      </c>
      <c r="B7" s="12" t="s">
        <v>8</v>
      </c>
      <c r="C7" s="51"/>
      <c r="D7" s="511">
        <v>2</v>
      </c>
      <c r="E7" s="485"/>
      <c r="F7" s="489"/>
      <c r="G7" s="489"/>
      <c r="H7" s="489"/>
      <c r="I7" s="489"/>
      <c r="J7" s="489"/>
      <c r="K7" s="489"/>
      <c r="L7" s="489"/>
      <c r="M7" s="489"/>
      <c r="N7" s="489">
        <v>2</v>
      </c>
      <c r="O7" s="489"/>
      <c r="P7" s="490">
        <f t="shared" si="0"/>
        <v>2</v>
      </c>
    </row>
    <row r="8" spans="1:16" ht="15.75" thickBot="1" x14ac:dyDescent="0.3">
      <c r="A8" s="491">
        <v>1000002</v>
      </c>
      <c r="B8" s="12" t="s">
        <v>9</v>
      </c>
      <c r="C8" s="51"/>
      <c r="D8" s="511">
        <v>1</v>
      </c>
      <c r="E8" s="485"/>
      <c r="F8" s="489"/>
      <c r="G8" s="489"/>
      <c r="H8" s="489"/>
      <c r="I8" s="489"/>
      <c r="J8" s="489"/>
      <c r="K8" s="489"/>
      <c r="L8" s="489"/>
      <c r="M8" s="489"/>
      <c r="N8" s="489">
        <v>1</v>
      </c>
      <c r="O8" s="489"/>
      <c r="P8" s="490">
        <f t="shared" si="0"/>
        <v>1</v>
      </c>
    </row>
    <row r="9" spans="1:16" ht="15.75" thickBot="1" x14ac:dyDescent="0.3">
      <c r="A9" s="491">
        <v>1000004</v>
      </c>
      <c r="B9" s="12" t="s">
        <v>10</v>
      </c>
      <c r="C9" s="51"/>
      <c r="D9" s="511">
        <v>1</v>
      </c>
      <c r="E9" s="485"/>
      <c r="F9" s="489"/>
      <c r="G9" s="489"/>
      <c r="H9" s="489"/>
      <c r="I9" s="489"/>
      <c r="J9" s="489"/>
      <c r="K9" s="489"/>
      <c r="L9" s="489"/>
      <c r="M9" s="489"/>
      <c r="N9" s="489">
        <v>2</v>
      </c>
      <c r="O9" s="489"/>
      <c r="P9" s="490">
        <f t="shared" si="0"/>
        <v>2</v>
      </c>
    </row>
    <row r="10" spans="1:16" ht="15.75" thickBot="1" x14ac:dyDescent="0.3">
      <c r="A10" s="491">
        <v>1000054</v>
      </c>
      <c r="B10" s="12" t="s">
        <v>12</v>
      </c>
      <c r="C10" s="51"/>
      <c r="D10" s="511">
        <v>5</v>
      </c>
      <c r="E10" s="485"/>
      <c r="F10" s="489"/>
      <c r="G10" s="489"/>
      <c r="H10" s="489"/>
      <c r="I10" s="489"/>
      <c r="J10" s="489"/>
      <c r="K10" s="489"/>
      <c r="L10" s="489"/>
      <c r="M10" s="489"/>
      <c r="N10" s="489">
        <v>10</v>
      </c>
      <c r="O10" s="489"/>
      <c r="P10" s="490">
        <f t="shared" si="0"/>
        <v>10</v>
      </c>
    </row>
    <row r="11" spans="1:16" ht="15.75" thickBot="1" x14ac:dyDescent="0.3">
      <c r="A11" s="491">
        <v>1000070</v>
      </c>
      <c r="B11" s="12" t="s">
        <v>13</v>
      </c>
      <c r="C11" s="51"/>
      <c r="D11" s="511">
        <v>0</v>
      </c>
      <c r="E11" s="485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818">
        <f t="shared" si="0"/>
        <v>0</v>
      </c>
    </row>
    <row r="12" spans="1:16" ht="15.75" thickBot="1" x14ac:dyDescent="0.3">
      <c r="A12" s="491">
        <v>1000017</v>
      </c>
      <c r="B12" s="12" t="s">
        <v>14</v>
      </c>
      <c r="C12" s="51"/>
      <c r="D12" s="511">
        <v>5</v>
      </c>
      <c r="E12" s="485"/>
      <c r="F12" s="489"/>
      <c r="G12" s="489"/>
      <c r="H12" s="489"/>
      <c r="I12" s="489"/>
      <c r="J12" s="489"/>
      <c r="K12" s="489"/>
      <c r="L12" s="489"/>
      <c r="M12" s="489"/>
      <c r="N12" s="489">
        <v>15</v>
      </c>
      <c r="O12" s="489"/>
      <c r="P12" s="490">
        <f t="shared" si="0"/>
        <v>15</v>
      </c>
    </row>
    <row r="13" spans="1:16" ht="15.75" thickBot="1" x14ac:dyDescent="0.3">
      <c r="A13" s="491">
        <v>1000016</v>
      </c>
      <c r="B13" s="12" t="s">
        <v>15</v>
      </c>
      <c r="C13" s="51"/>
      <c r="D13" s="511">
        <v>2</v>
      </c>
      <c r="E13" s="485"/>
      <c r="F13" s="489"/>
      <c r="G13" s="489"/>
      <c r="H13" s="489"/>
      <c r="I13" s="489"/>
      <c r="J13" s="489"/>
      <c r="K13" s="489"/>
      <c r="L13" s="489"/>
      <c r="M13" s="489"/>
      <c r="N13" s="489"/>
      <c r="O13" s="489"/>
      <c r="P13" s="486">
        <f t="shared" si="0"/>
        <v>0</v>
      </c>
    </row>
    <row r="14" spans="1:16" ht="15.75" thickBot="1" x14ac:dyDescent="0.3">
      <c r="A14" s="491">
        <v>1000049</v>
      </c>
      <c r="B14" s="12" t="s">
        <v>21</v>
      </c>
      <c r="C14" s="51"/>
      <c r="D14" s="511">
        <v>1</v>
      </c>
      <c r="E14" s="485"/>
      <c r="F14" s="489"/>
      <c r="G14" s="489"/>
      <c r="H14" s="489"/>
      <c r="I14" s="489"/>
      <c r="J14" s="489"/>
      <c r="K14" s="489"/>
      <c r="L14" s="489"/>
      <c r="M14" s="489"/>
      <c r="N14" s="489"/>
      <c r="O14" s="489"/>
      <c r="P14" s="486">
        <f t="shared" si="0"/>
        <v>0</v>
      </c>
    </row>
    <row r="15" spans="1:16" ht="15.75" thickBot="1" x14ac:dyDescent="0.3">
      <c r="A15" s="491">
        <v>1000050</v>
      </c>
      <c r="B15" s="12" t="s">
        <v>22</v>
      </c>
      <c r="C15" s="51"/>
      <c r="D15" s="511">
        <v>1</v>
      </c>
      <c r="E15" s="485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6">
        <f t="shared" si="0"/>
        <v>0</v>
      </c>
    </row>
    <row r="16" spans="1:16" ht="15.75" thickBot="1" x14ac:dyDescent="0.3">
      <c r="A16" s="491">
        <v>1000031</v>
      </c>
      <c r="B16" s="13" t="s">
        <v>25</v>
      </c>
      <c r="C16" s="51"/>
      <c r="D16" s="511">
        <v>1</v>
      </c>
      <c r="E16" s="485"/>
      <c r="F16" s="489"/>
      <c r="G16" s="489"/>
      <c r="H16" s="489"/>
      <c r="I16" s="489"/>
      <c r="J16" s="489"/>
      <c r="K16" s="489"/>
      <c r="L16" s="489"/>
      <c r="M16" s="489"/>
      <c r="N16" s="489">
        <v>1</v>
      </c>
      <c r="O16" s="489"/>
      <c r="P16" s="490">
        <f t="shared" si="0"/>
        <v>1</v>
      </c>
    </row>
    <row r="17" spans="1:17" ht="15.75" thickBot="1" x14ac:dyDescent="0.3">
      <c r="A17" s="491">
        <v>1000100</v>
      </c>
      <c r="B17" s="12" t="s">
        <v>34</v>
      </c>
      <c r="C17" s="51"/>
      <c r="D17" s="511">
        <v>0</v>
      </c>
      <c r="E17" s="485"/>
      <c r="F17" s="489"/>
      <c r="G17" s="489"/>
      <c r="H17" s="489"/>
      <c r="I17" s="489"/>
      <c r="J17" s="489"/>
      <c r="K17" s="489"/>
      <c r="L17" s="489"/>
      <c r="M17" s="489"/>
      <c r="N17" s="489"/>
      <c r="O17" s="489"/>
      <c r="P17" s="486">
        <f t="shared" si="0"/>
        <v>0</v>
      </c>
    </row>
    <row r="18" spans="1:17" ht="15.75" thickBot="1" x14ac:dyDescent="0.3">
      <c r="A18" s="491">
        <v>1000073</v>
      </c>
      <c r="B18" s="12" t="s">
        <v>36</v>
      </c>
      <c r="C18" s="51"/>
      <c r="D18" s="511">
        <v>0</v>
      </c>
      <c r="E18" s="485"/>
      <c r="F18" s="489"/>
      <c r="G18" s="489"/>
      <c r="H18" s="489"/>
      <c r="I18" s="489"/>
      <c r="J18" s="489"/>
      <c r="K18" s="489"/>
      <c r="L18" s="489"/>
      <c r="M18" s="489"/>
      <c r="N18" s="489"/>
      <c r="O18" s="489"/>
      <c r="P18" s="486">
        <f t="shared" si="0"/>
        <v>0</v>
      </c>
    </row>
    <row r="19" spans="1:17" ht="15.75" thickBot="1" x14ac:dyDescent="0.3">
      <c r="A19" s="491">
        <v>1000146</v>
      </c>
      <c r="B19" s="12" t="s">
        <v>39</v>
      </c>
      <c r="C19" s="51"/>
      <c r="D19" s="511">
        <v>3</v>
      </c>
      <c r="E19" s="485"/>
      <c r="F19" s="489"/>
      <c r="G19" s="489"/>
      <c r="H19" s="489"/>
      <c r="I19" s="489"/>
      <c r="J19" s="489"/>
      <c r="K19" s="489"/>
      <c r="L19" s="489"/>
      <c r="M19" s="489"/>
      <c r="N19" s="489"/>
      <c r="O19" s="489"/>
      <c r="P19" s="486">
        <f t="shared" si="0"/>
        <v>0</v>
      </c>
    </row>
    <row r="20" spans="1:17" ht="15.75" thickBot="1" x14ac:dyDescent="0.3">
      <c r="A20" s="491">
        <v>10248</v>
      </c>
      <c r="B20" s="12" t="s">
        <v>183</v>
      </c>
      <c r="C20" s="51"/>
      <c r="D20" s="511">
        <v>0</v>
      </c>
      <c r="E20" s="485"/>
      <c r="F20" s="489"/>
      <c r="G20" s="489"/>
      <c r="H20" s="489"/>
      <c r="I20" s="489"/>
      <c r="J20" s="489"/>
      <c r="K20" s="489"/>
      <c r="L20" s="489"/>
      <c r="M20" s="489"/>
      <c r="N20" s="489">
        <v>3</v>
      </c>
      <c r="O20" s="489"/>
      <c r="P20" s="490">
        <f t="shared" si="0"/>
        <v>3</v>
      </c>
    </row>
    <row r="21" spans="1:17" ht="15.75" thickBot="1" x14ac:dyDescent="0.3">
      <c r="A21" s="491">
        <v>1000090</v>
      </c>
      <c r="B21" s="12" t="s">
        <v>40</v>
      </c>
      <c r="C21" s="51"/>
      <c r="D21" s="511">
        <v>1</v>
      </c>
      <c r="E21" s="485"/>
      <c r="F21" s="489"/>
      <c r="G21" s="489"/>
      <c r="H21" s="489"/>
      <c r="I21" s="489"/>
      <c r="J21" s="489"/>
      <c r="K21" s="489"/>
      <c r="L21" s="489"/>
      <c r="M21" s="489"/>
      <c r="N21" s="489">
        <v>4</v>
      </c>
      <c r="O21" s="489"/>
      <c r="P21" s="490">
        <f t="shared" si="0"/>
        <v>4</v>
      </c>
    </row>
    <row r="22" spans="1:17" ht="15.75" thickBot="1" x14ac:dyDescent="0.3">
      <c r="A22" s="491">
        <v>1000052</v>
      </c>
      <c r="B22" s="12" t="s">
        <v>41</v>
      </c>
      <c r="C22" s="51"/>
      <c r="D22" s="511">
        <v>1</v>
      </c>
      <c r="E22" s="485"/>
      <c r="F22" s="489"/>
      <c r="G22" s="489"/>
      <c r="H22" s="489"/>
      <c r="I22" s="489"/>
      <c r="J22" s="489"/>
      <c r="K22" s="489"/>
      <c r="L22" s="489"/>
      <c r="M22" s="489"/>
      <c r="N22" s="489">
        <v>2</v>
      </c>
      <c r="O22" s="489"/>
      <c r="P22" s="490">
        <f t="shared" si="0"/>
        <v>2</v>
      </c>
    </row>
    <row r="23" spans="1:17" ht="15.75" thickBot="1" x14ac:dyDescent="0.3">
      <c r="A23" s="491">
        <v>1000089</v>
      </c>
      <c r="B23" s="12" t="s">
        <v>42</v>
      </c>
      <c r="C23" s="51"/>
      <c r="D23" s="511">
        <v>1</v>
      </c>
      <c r="E23" s="485"/>
      <c r="F23" s="489"/>
      <c r="G23" s="489"/>
      <c r="H23" s="489"/>
      <c r="I23" s="489"/>
      <c r="J23" s="489"/>
      <c r="K23" s="489"/>
      <c r="L23" s="489"/>
      <c r="M23" s="489"/>
      <c r="N23" s="489">
        <v>2</v>
      </c>
      <c r="O23" s="489"/>
      <c r="P23" s="490">
        <f t="shared" si="0"/>
        <v>2</v>
      </c>
    </row>
    <row r="24" spans="1:17" ht="15.75" thickBot="1" x14ac:dyDescent="0.3">
      <c r="A24" s="491">
        <v>1000051</v>
      </c>
      <c r="B24" s="12" t="s">
        <v>43</v>
      </c>
      <c r="C24" s="51"/>
      <c r="D24" s="511">
        <v>1</v>
      </c>
      <c r="E24" s="485"/>
      <c r="F24" s="489"/>
      <c r="G24" s="489"/>
      <c r="H24" s="489"/>
      <c r="I24" s="489"/>
      <c r="J24" s="489"/>
      <c r="K24" s="489"/>
      <c r="L24" s="489"/>
      <c r="M24" s="489"/>
      <c r="N24" s="489">
        <v>1</v>
      </c>
      <c r="O24" s="489"/>
      <c r="P24" s="490">
        <f t="shared" si="0"/>
        <v>1</v>
      </c>
    </row>
    <row r="25" spans="1:17" ht="15.75" thickBot="1" x14ac:dyDescent="0.3">
      <c r="A25" s="491">
        <v>1000048</v>
      </c>
      <c r="B25" s="12" t="s">
        <v>45</v>
      </c>
      <c r="C25" s="51"/>
      <c r="D25" s="511">
        <v>0</v>
      </c>
      <c r="E25" s="485"/>
      <c r="F25" s="489"/>
      <c r="G25" s="489"/>
      <c r="H25" s="489"/>
      <c r="I25" s="489"/>
      <c r="J25" s="489"/>
      <c r="K25" s="489"/>
      <c r="L25" s="489"/>
      <c r="M25" s="489"/>
      <c r="N25" s="489">
        <v>1</v>
      </c>
      <c r="O25" s="489"/>
      <c r="P25" s="490">
        <f t="shared" si="0"/>
        <v>1</v>
      </c>
    </row>
    <row r="26" spans="1:17" ht="15.75" thickBot="1" x14ac:dyDescent="0.3">
      <c r="A26" s="491">
        <v>1000025</v>
      </c>
      <c r="B26" s="12" t="s">
        <v>32</v>
      </c>
      <c r="C26" s="51"/>
      <c r="D26" s="511"/>
      <c r="E26" s="485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6">
        <f t="shared" si="0"/>
        <v>0</v>
      </c>
    </row>
    <row r="27" spans="1:17" ht="15.75" thickBot="1" x14ac:dyDescent="0.3">
      <c r="A27" s="491">
        <v>1000067</v>
      </c>
      <c r="B27" s="12" t="s">
        <v>11</v>
      </c>
      <c r="C27" s="51"/>
      <c r="D27" s="511"/>
      <c r="E27" s="485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6">
        <f t="shared" si="0"/>
        <v>0</v>
      </c>
    </row>
    <row r="28" spans="1:17" ht="15.75" thickBot="1" x14ac:dyDescent="0.3">
      <c r="A28" s="491">
        <v>1000007</v>
      </c>
      <c r="B28" s="12" t="s">
        <v>5</v>
      </c>
      <c r="C28" s="51"/>
      <c r="D28" s="511"/>
      <c r="E28" s="485"/>
      <c r="F28" s="489"/>
      <c r="G28" s="489"/>
      <c r="H28" s="489"/>
      <c r="I28" s="489"/>
      <c r="J28" s="489"/>
      <c r="K28" s="489"/>
      <c r="L28" s="489"/>
      <c r="M28" s="489"/>
      <c r="N28" s="489">
        <v>50</v>
      </c>
      <c r="O28" s="489"/>
      <c r="P28" s="490">
        <f t="shared" si="0"/>
        <v>50</v>
      </c>
    </row>
    <row r="29" spans="1:17" ht="15.75" thickBot="1" x14ac:dyDescent="0.3">
      <c r="A29" s="491">
        <v>1000075</v>
      </c>
      <c r="B29" s="12" t="s">
        <v>47</v>
      </c>
      <c r="C29" s="51"/>
      <c r="D29" s="511"/>
      <c r="E29" s="485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6">
        <f t="shared" si="0"/>
        <v>0</v>
      </c>
    </row>
    <row r="30" spans="1:17" ht="15.75" thickBot="1" x14ac:dyDescent="0.3">
      <c r="A30" s="491">
        <v>10000102</v>
      </c>
      <c r="B30" s="12" t="s">
        <v>2</v>
      </c>
      <c r="C30" s="51"/>
      <c r="D30" s="511"/>
      <c r="E30" s="485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6">
        <f t="shared" si="0"/>
        <v>0</v>
      </c>
    </row>
    <row r="31" spans="1:17" ht="16.5" thickBot="1" x14ac:dyDescent="0.3">
      <c r="A31" s="491">
        <v>1000034</v>
      </c>
      <c r="B31" s="12" t="s">
        <v>28</v>
      </c>
      <c r="C31" s="51"/>
      <c r="D31" s="511"/>
      <c r="E31" s="485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6">
        <f t="shared" si="0"/>
        <v>0</v>
      </c>
      <c r="Q31"/>
    </row>
    <row r="32" spans="1:17" ht="15.75" thickBot="1" x14ac:dyDescent="0.3">
      <c r="A32" s="491">
        <v>1000142</v>
      </c>
      <c r="B32" s="12" t="s">
        <v>54</v>
      </c>
      <c r="C32" s="51"/>
      <c r="D32" s="511"/>
      <c r="E32" s="485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6">
        <f t="shared" si="0"/>
        <v>0</v>
      </c>
    </row>
    <row r="33" spans="1:16" ht="15.75" thickBot="1" x14ac:dyDescent="0.3">
      <c r="A33" s="491">
        <v>1000045</v>
      </c>
      <c r="B33" s="12" t="s">
        <v>23</v>
      </c>
      <c r="C33" s="51"/>
      <c r="D33" s="511"/>
      <c r="E33" s="485"/>
      <c r="F33" s="489"/>
      <c r="G33" s="489"/>
      <c r="H33" s="489"/>
      <c r="I33" s="489"/>
      <c r="J33" s="489"/>
      <c r="K33" s="489"/>
      <c r="L33" s="489"/>
      <c r="M33" s="489"/>
      <c r="N33" s="489">
        <v>2</v>
      </c>
      <c r="O33" s="489"/>
      <c r="P33" s="490">
        <f t="shared" si="0"/>
        <v>2</v>
      </c>
    </row>
    <row r="34" spans="1:16" ht="15.75" thickBot="1" x14ac:dyDescent="0.3">
      <c r="A34" s="491">
        <v>1000383</v>
      </c>
      <c r="B34" s="12" t="s">
        <v>264</v>
      </c>
      <c r="C34" s="51"/>
      <c r="D34" s="511"/>
      <c r="E34" s="485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6">
        <f t="shared" si="0"/>
        <v>0</v>
      </c>
    </row>
    <row r="35" spans="1:16" ht="15.75" thickBot="1" x14ac:dyDescent="0.3">
      <c r="A35" s="491">
        <v>1000472</v>
      </c>
      <c r="B35" s="12" t="s">
        <v>222</v>
      </c>
      <c r="C35" s="51"/>
      <c r="D35" s="511"/>
      <c r="E35" s="485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6">
        <f t="shared" si="0"/>
        <v>0</v>
      </c>
    </row>
    <row r="36" spans="1:16" ht="15.75" thickBot="1" x14ac:dyDescent="0.3">
      <c r="A36" s="491">
        <v>1000029</v>
      </c>
      <c r="B36" s="12" t="s">
        <v>30</v>
      </c>
      <c r="C36" s="51"/>
      <c r="D36" s="511"/>
      <c r="E36" s="485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6">
        <f t="shared" si="0"/>
        <v>0</v>
      </c>
    </row>
    <row r="37" spans="1:16" ht="15.75" thickBot="1" x14ac:dyDescent="0.3">
      <c r="A37" s="491">
        <v>1000486</v>
      </c>
      <c r="B37" s="12" t="s">
        <v>263</v>
      </c>
      <c r="C37" s="51"/>
      <c r="D37" s="511"/>
      <c r="E37" s="485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6">
        <f t="shared" si="0"/>
        <v>0</v>
      </c>
    </row>
    <row r="38" spans="1:16" ht="15.75" thickBot="1" x14ac:dyDescent="0.3">
      <c r="A38" s="491">
        <v>1000080</v>
      </c>
      <c r="B38" s="12" t="s">
        <v>275</v>
      </c>
      <c r="C38" s="51"/>
      <c r="D38" s="511"/>
      <c r="E38" s="485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6">
        <f t="shared" si="0"/>
        <v>0</v>
      </c>
    </row>
    <row r="39" spans="1:16" ht="15.75" thickBot="1" x14ac:dyDescent="0.3">
      <c r="A39" s="491">
        <v>1000436</v>
      </c>
      <c r="B39" s="12" t="s">
        <v>276</v>
      </c>
      <c r="C39" s="51"/>
      <c r="D39" s="511"/>
      <c r="E39" s="485"/>
      <c r="F39" s="489"/>
      <c r="G39" s="489"/>
      <c r="H39" s="489"/>
      <c r="I39" s="489"/>
      <c r="J39" s="489"/>
      <c r="K39" s="489"/>
      <c r="L39" s="489"/>
      <c r="M39" s="489"/>
      <c r="N39" s="489">
        <v>16</v>
      </c>
      <c r="O39" s="489"/>
      <c r="P39" s="490">
        <f t="shared" si="0"/>
        <v>16</v>
      </c>
    </row>
    <row r="40" spans="1:16" ht="15.75" thickBot="1" x14ac:dyDescent="0.3">
      <c r="A40" s="491">
        <v>1000550</v>
      </c>
      <c r="B40" s="12" t="s">
        <v>277</v>
      </c>
      <c r="C40" s="51"/>
      <c r="D40" s="511"/>
      <c r="E40" s="485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6">
        <f t="shared" si="0"/>
        <v>0</v>
      </c>
    </row>
    <row r="41" spans="1:16" ht="15.75" thickBot="1" x14ac:dyDescent="0.3">
      <c r="A41" s="491">
        <v>1000551</v>
      </c>
      <c r="B41" s="12" t="s">
        <v>278</v>
      </c>
      <c r="C41" s="51"/>
      <c r="D41" s="511"/>
      <c r="E41" s="485"/>
      <c r="F41" s="489"/>
      <c r="G41" s="489"/>
      <c r="H41" s="489"/>
      <c r="I41" s="489"/>
      <c r="J41" s="489"/>
      <c r="K41" s="489"/>
      <c r="L41" s="489"/>
      <c r="M41" s="489"/>
      <c r="N41" s="489"/>
      <c r="O41" s="489"/>
      <c r="P41" s="486">
        <f t="shared" si="0"/>
        <v>0</v>
      </c>
    </row>
    <row r="42" spans="1:16" ht="15.75" thickBot="1" x14ac:dyDescent="0.3">
      <c r="A42" s="243">
        <v>1000552</v>
      </c>
      <c r="B42" s="251" t="s">
        <v>279</v>
      </c>
      <c r="C42" s="496"/>
      <c r="D42" s="495"/>
      <c r="E42" s="496"/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6">
        <f t="shared" si="0"/>
        <v>0</v>
      </c>
    </row>
    <row r="43" spans="1:16" ht="15.75" thickBot="1" x14ac:dyDescent="0.3">
      <c r="A43" s="504">
        <v>1000041</v>
      </c>
      <c r="B43" s="12" t="s">
        <v>16</v>
      </c>
      <c r="C43" s="485"/>
      <c r="D43" s="495"/>
      <c r="E43" s="485"/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6">
        <f t="shared" si="0"/>
        <v>0</v>
      </c>
    </row>
    <row r="44" spans="1:16" ht="15.75" thickBot="1" x14ac:dyDescent="0.3">
      <c r="A44" s="504">
        <v>1000084</v>
      </c>
      <c r="B44" s="12" t="s">
        <v>38</v>
      </c>
      <c r="C44" s="485"/>
      <c r="D44" s="495"/>
      <c r="E44" s="485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P44" s="486">
        <f t="shared" si="0"/>
        <v>0</v>
      </c>
    </row>
    <row r="45" spans="1:16" ht="15.75" thickBot="1" x14ac:dyDescent="0.3">
      <c r="A45" s="491"/>
      <c r="B45" s="12" t="s">
        <v>507</v>
      </c>
      <c r="C45" s="485"/>
      <c r="D45" s="495"/>
      <c r="E45" s="485"/>
      <c r="F45" s="489"/>
      <c r="G45" s="489"/>
      <c r="H45" s="489"/>
      <c r="I45" s="489"/>
      <c r="J45" s="489"/>
      <c r="K45" s="489"/>
      <c r="L45" s="489"/>
      <c r="M45" s="489"/>
      <c r="N45" s="489">
        <v>1</v>
      </c>
      <c r="O45" s="489"/>
      <c r="P45" s="490">
        <f t="shared" si="0"/>
        <v>1</v>
      </c>
    </row>
    <row r="46" spans="1:16" ht="15.75" thickBot="1" x14ac:dyDescent="0.3">
      <c r="A46" s="87">
        <v>1000033</v>
      </c>
      <c r="B46" s="12" t="s">
        <v>27</v>
      </c>
      <c r="D46" s="495"/>
      <c r="F46" s="489"/>
      <c r="G46" s="489"/>
      <c r="H46" s="489"/>
      <c r="I46" s="489"/>
      <c r="J46" s="489"/>
      <c r="K46" s="489"/>
      <c r="L46" s="489"/>
      <c r="M46" s="489"/>
      <c r="N46" s="489"/>
      <c r="O46" s="489"/>
      <c r="P46" s="486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75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FAC1-51D2-4AF0-8E2B-F3BF531280E5}">
  <sheetPr>
    <tabColor rgb="FF7030A0"/>
    <pageSetUpPr fitToPage="1"/>
  </sheetPr>
  <dimension ref="A1:Q52"/>
  <sheetViews>
    <sheetView zoomScaleNormal="100" workbookViewId="0">
      <selection activeCell="Q40" sqref="Q40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0.875" style="27" customWidth="1"/>
    <col min="4" max="4" width="8.375" style="27" bestFit="1" customWidth="1"/>
    <col min="5" max="5" width="1.125" style="27" customWidth="1"/>
    <col min="6" max="6" width="8.375" style="27" customWidth="1"/>
    <col min="7" max="7" width="5.25" style="27" customWidth="1"/>
    <col min="8" max="8" width="8.375" style="27" customWidth="1"/>
    <col min="9" max="9" width="6.375" style="27" customWidth="1"/>
    <col min="10" max="10" width="8.5" style="27" customWidth="1"/>
    <col min="11" max="11" width="5.125" style="27" customWidth="1"/>
    <col min="12" max="12" width="8.625" style="27" customWidth="1"/>
    <col min="13" max="13" width="5.25" style="27" customWidth="1"/>
    <col min="14" max="14" width="8.5" style="27" customWidth="1"/>
    <col min="15" max="15" width="5.5" style="27" customWidth="1"/>
    <col min="16" max="16" width="9.5" style="27" customWidth="1"/>
    <col min="17" max="16384" width="10.875" style="27"/>
  </cols>
  <sheetData>
    <row r="1" spans="1:16" ht="15" customHeight="1" x14ac:dyDescent="0.45">
      <c r="A1" s="686" t="s">
        <v>131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39" t="s">
        <v>362</v>
      </c>
      <c r="F2" s="754"/>
      <c r="G2" s="755"/>
      <c r="H2" s="755"/>
      <c r="I2" s="755"/>
      <c r="J2" s="756"/>
      <c r="K2" s="2"/>
    </row>
    <row r="3" spans="1:16" s="3" customFormat="1" ht="19.5" customHeight="1" thickBot="1" x14ac:dyDescent="0.3">
      <c r="A3" s="5"/>
      <c r="B3" s="5" t="s">
        <v>440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30">
        <v>10000015</v>
      </c>
      <c r="B5" s="11" t="s">
        <v>1</v>
      </c>
      <c r="C5" s="41"/>
      <c r="D5" s="48">
        <v>0</v>
      </c>
      <c r="F5" s="574"/>
      <c r="G5" s="574"/>
      <c r="H5" s="574"/>
      <c r="I5" s="574"/>
      <c r="J5" s="574"/>
      <c r="K5" s="574"/>
      <c r="L5" s="574"/>
      <c r="M5" s="574"/>
      <c r="N5" s="574"/>
      <c r="O5" s="574"/>
      <c r="P5" s="819">
        <f>SUM(F5:O5)</f>
        <v>0</v>
      </c>
    </row>
    <row r="6" spans="1:16" x14ac:dyDescent="0.25">
      <c r="A6" s="35">
        <v>1000006</v>
      </c>
      <c r="B6" s="12" t="s">
        <v>4</v>
      </c>
      <c r="C6" s="41"/>
      <c r="D6" s="47">
        <v>65</v>
      </c>
      <c r="F6" s="574"/>
      <c r="G6" s="574"/>
      <c r="H6" s="574">
        <v>100</v>
      </c>
      <c r="I6" s="574"/>
      <c r="J6" s="574"/>
      <c r="K6" s="574"/>
      <c r="L6" s="574"/>
      <c r="M6" s="574"/>
      <c r="N6" s="574">
        <v>100</v>
      </c>
      <c r="O6" s="574"/>
      <c r="P6" s="575">
        <f>SUM(F6:O6)</f>
        <v>200</v>
      </c>
    </row>
    <row r="7" spans="1:16" x14ac:dyDescent="0.25">
      <c r="A7" s="35">
        <v>1000007</v>
      </c>
      <c r="B7" s="12" t="s">
        <v>5</v>
      </c>
      <c r="C7" s="41"/>
      <c r="D7" s="47">
        <v>65</v>
      </c>
      <c r="F7" s="574"/>
      <c r="G7" s="574"/>
      <c r="H7" s="574">
        <v>100</v>
      </c>
      <c r="I7" s="574"/>
      <c r="J7" s="574"/>
      <c r="K7" s="574"/>
      <c r="L7" s="574"/>
      <c r="M7" s="574"/>
      <c r="N7" s="574">
        <v>100</v>
      </c>
      <c r="O7" s="574"/>
      <c r="P7" s="575">
        <f t="shared" ref="P7:P9" si="0">SUM(F7:O7)</f>
        <v>200</v>
      </c>
    </row>
    <row r="8" spans="1:16" x14ac:dyDescent="0.25">
      <c r="A8" s="35">
        <v>1000008</v>
      </c>
      <c r="B8" s="12" t="s">
        <v>7</v>
      </c>
      <c r="C8" s="41"/>
      <c r="D8" s="47">
        <v>15</v>
      </c>
      <c r="F8" s="574"/>
      <c r="G8" s="574"/>
      <c r="H8" s="574">
        <v>100</v>
      </c>
      <c r="I8" s="574"/>
      <c r="J8" s="574"/>
      <c r="K8" s="574"/>
      <c r="L8" s="574"/>
      <c r="M8" s="574"/>
      <c r="N8" s="574">
        <v>50</v>
      </c>
      <c r="O8" s="574"/>
      <c r="P8" s="575">
        <f t="shared" si="0"/>
        <v>150</v>
      </c>
    </row>
    <row r="9" spans="1:16" x14ac:dyDescent="0.25">
      <c r="A9" s="35">
        <v>1000001</v>
      </c>
      <c r="B9" s="12" t="s">
        <v>8</v>
      </c>
      <c r="C9" s="41"/>
      <c r="D9" s="47">
        <v>1</v>
      </c>
      <c r="F9" s="574"/>
      <c r="G9" s="574"/>
      <c r="H9" s="574">
        <v>3</v>
      </c>
      <c r="I9" s="574"/>
      <c r="J9" s="574"/>
      <c r="K9" s="574"/>
      <c r="L9" s="574"/>
      <c r="M9" s="574"/>
      <c r="N9" s="574">
        <v>3</v>
      </c>
      <c r="O9" s="574"/>
      <c r="P9" s="575">
        <f t="shared" si="0"/>
        <v>6</v>
      </c>
    </row>
    <row r="10" spans="1:16" x14ac:dyDescent="0.25">
      <c r="A10" s="35">
        <v>1000002</v>
      </c>
      <c r="B10" s="12" t="s">
        <v>9</v>
      </c>
      <c r="C10" s="41"/>
      <c r="D10" s="47">
        <v>1</v>
      </c>
      <c r="F10" s="574"/>
      <c r="G10" s="574"/>
      <c r="H10" s="574"/>
      <c r="I10" s="574"/>
      <c r="J10" s="574"/>
      <c r="K10" s="574"/>
      <c r="L10" s="574"/>
      <c r="M10" s="574"/>
      <c r="N10" s="574"/>
      <c r="O10" s="574"/>
      <c r="P10" s="574">
        <f t="shared" ref="P9:P52" si="1">SUM(F10:O10)</f>
        <v>0</v>
      </c>
    </row>
    <row r="11" spans="1:16" x14ac:dyDescent="0.25">
      <c r="A11" s="35">
        <v>1000067</v>
      </c>
      <c r="B11" s="12" t="s">
        <v>11</v>
      </c>
      <c r="C11" s="41"/>
      <c r="D11" s="47">
        <v>0</v>
      </c>
      <c r="F11" s="574"/>
      <c r="G11" s="574"/>
      <c r="H11" s="574"/>
      <c r="I11" s="574"/>
      <c r="J11" s="574"/>
      <c r="K11" s="574"/>
      <c r="L11" s="574"/>
      <c r="M11" s="574"/>
      <c r="N11" s="574">
        <v>2</v>
      </c>
      <c r="O11" s="574"/>
      <c r="P11" s="575">
        <f t="shared" si="1"/>
        <v>2</v>
      </c>
    </row>
    <row r="12" spans="1:16" x14ac:dyDescent="0.25">
      <c r="A12" s="35">
        <v>1000054</v>
      </c>
      <c r="B12" s="12" t="s">
        <v>12</v>
      </c>
      <c r="C12" s="41"/>
      <c r="D12" s="47">
        <v>15</v>
      </c>
      <c r="F12" s="574"/>
      <c r="G12" s="574"/>
      <c r="H12" s="574"/>
      <c r="I12" s="574"/>
      <c r="J12" s="574"/>
      <c r="K12" s="574"/>
      <c r="L12" s="574"/>
      <c r="M12" s="574"/>
      <c r="N12" s="574">
        <v>10</v>
      </c>
      <c r="O12" s="574"/>
      <c r="P12" s="575">
        <f t="shared" si="1"/>
        <v>10</v>
      </c>
    </row>
    <row r="13" spans="1:16" x14ac:dyDescent="0.25">
      <c r="A13" s="35">
        <v>1000070</v>
      </c>
      <c r="B13" s="12" t="s">
        <v>13</v>
      </c>
      <c r="C13" s="41"/>
      <c r="D13" s="47">
        <v>0</v>
      </c>
      <c r="F13" s="574"/>
      <c r="G13" s="574"/>
      <c r="H13" s="574"/>
      <c r="I13" s="574"/>
      <c r="J13" s="574"/>
      <c r="K13" s="574"/>
      <c r="L13" s="574"/>
      <c r="M13" s="574"/>
      <c r="N13" s="574">
        <v>2</v>
      </c>
      <c r="O13" s="574"/>
      <c r="P13" s="575">
        <f t="shared" si="1"/>
        <v>2</v>
      </c>
    </row>
    <row r="14" spans="1:16" x14ac:dyDescent="0.25">
      <c r="A14" s="35">
        <v>1000017</v>
      </c>
      <c r="B14" s="12" t="s">
        <v>14</v>
      </c>
      <c r="C14" s="41"/>
      <c r="D14" s="47">
        <v>12</v>
      </c>
      <c r="F14" s="574"/>
      <c r="G14" s="574"/>
      <c r="H14" s="574">
        <v>10</v>
      </c>
      <c r="I14" s="574"/>
      <c r="J14" s="574"/>
      <c r="K14" s="574"/>
      <c r="L14" s="574"/>
      <c r="M14" s="574"/>
      <c r="N14" s="574"/>
      <c r="O14" s="574"/>
      <c r="P14" s="575">
        <f t="shared" si="1"/>
        <v>10</v>
      </c>
    </row>
    <row r="15" spans="1:16" x14ac:dyDescent="0.25">
      <c r="A15" s="35">
        <v>1000016</v>
      </c>
      <c r="B15" s="12" t="s">
        <v>15</v>
      </c>
      <c r="C15" s="41"/>
      <c r="D15" s="47">
        <v>1</v>
      </c>
      <c r="F15" s="574"/>
      <c r="G15" s="574"/>
      <c r="H15" s="574">
        <v>5</v>
      </c>
      <c r="I15" s="574"/>
      <c r="J15" s="574"/>
      <c r="K15" s="574"/>
      <c r="L15" s="574"/>
      <c r="M15" s="574"/>
      <c r="N15" s="574"/>
      <c r="O15" s="574"/>
      <c r="P15" s="575">
        <f t="shared" si="1"/>
        <v>5</v>
      </c>
    </row>
    <row r="16" spans="1:16" x14ac:dyDescent="0.25">
      <c r="A16" s="35">
        <v>1000010</v>
      </c>
      <c r="B16" s="12" t="s">
        <v>17</v>
      </c>
      <c r="C16" s="41"/>
      <c r="D16" s="47">
        <v>0</v>
      </c>
      <c r="F16" s="574"/>
      <c r="G16" s="574"/>
      <c r="H16" s="574"/>
      <c r="I16" s="574"/>
      <c r="J16" s="574"/>
      <c r="K16" s="574"/>
      <c r="L16" s="574"/>
      <c r="M16" s="574"/>
      <c r="N16" s="574"/>
      <c r="O16" s="574"/>
      <c r="P16" s="27">
        <v>0</v>
      </c>
    </row>
    <row r="17" spans="1:16" x14ac:dyDescent="0.25">
      <c r="A17" s="35">
        <v>1000050</v>
      </c>
      <c r="B17" s="12" t="s">
        <v>22</v>
      </c>
      <c r="C17" s="41"/>
      <c r="D17" s="47">
        <v>0</v>
      </c>
      <c r="F17" s="574"/>
      <c r="G17" s="574"/>
      <c r="H17" s="574"/>
      <c r="I17" s="574"/>
      <c r="J17" s="574"/>
      <c r="K17" s="574"/>
      <c r="L17" s="574"/>
      <c r="M17" s="574"/>
      <c r="N17" s="574">
        <v>2</v>
      </c>
      <c r="O17" s="574"/>
      <c r="P17" s="574">
        <f>SUM(F16:O16)</f>
        <v>0</v>
      </c>
    </row>
    <row r="18" spans="1:16" x14ac:dyDescent="0.25">
      <c r="A18" s="35">
        <v>1000025</v>
      </c>
      <c r="B18" s="12" t="s">
        <v>32</v>
      </c>
      <c r="C18" s="41"/>
      <c r="D18" s="47">
        <v>0</v>
      </c>
      <c r="F18" s="574"/>
      <c r="G18" s="574"/>
      <c r="H18" s="574">
        <v>5</v>
      </c>
      <c r="I18" s="574"/>
      <c r="J18" s="574"/>
      <c r="K18" s="574"/>
      <c r="L18" s="574"/>
      <c r="M18" s="574"/>
      <c r="N18" s="574"/>
      <c r="O18" s="574"/>
      <c r="P18" s="575">
        <f t="shared" si="1"/>
        <v>5</v>
      </c>
    </row>
    <row r="19" spans="1:16" x14ac:dyDescent="0.25">
      <c r="A19" s="35">
        <v>1000101</v>
      </c>
      <c r="B19" s="12" t="s">
        <v>35</v>
      </c>
      <c r="C19" s="41"/>
      <c r="D19" s="47">
        <v>0</v>
      </c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>
        <f t="shared" si="1"/>
        <v>0</v>
      </c>
    </row>
    <row r="20" spans="1:16" x14ac:dyDescent="0.25">
      <c r="A20" s="35">
        <v>1000084</v>
      </c>
      <c r="B20" s="12" t="s">
        <v>38</v>
      </c>
      <c r="C20" s="41"/>
      <c r="D20" s="47">
        <v>5</v>
      </c>
      <c r="F20" s="574"/>
      <c r="G20" s="574"/>
      <c r="H20" s="574">
        <v>8</v>
      </c>
      <c r="I20" s="574"/>
      <c r="J20" s="574"/>
      <c r="K20" s="574"/>
      <c r="L20" s="574"/>
      <c r="M20" s="574"/>
      <c r="N20" s="574">
        <v>16</v>
      </c>
      <c r="O20" s="574"/>
      <c r="P20" s="575">
        <f t="shared" si="1"/>
        <v>24</v>
      </c>
    </row>
    <row r="21" spans="1:16" x14ac:dyDescent="0.25">
      <c r="A21" s="35">
        <v>1000486</v>
      </c>
      <c r="B21" s="12" t="s">
        <v>263</v>
      </c>
      <c r="C21" s="41"/>
      <c r="D21" s="47">
        <v>2</v>
      </c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>
        <f t="shared" si="1"/>
        <v>0</v>
      </c>
    </row>
    <row r="22" spans="1:16" x14ac:dyDescent="0.25">
      <c r="A22" s="35">
        <v>10248</v>
      </c>
      <c r="B22" s="12" t="s">
        <v>183</v>
      </c>
      <c r="C22" s="41"/>
      <c r="D22" s="47">
        <v>0</v>
      </c>
      <c r="F22" s="574"/>
      <c r="G22" s="574"/>
      <c r="H22" s="574">
        <v>9</v>
      </c>
      <c r="I22" s="574"/>
      <c r="J22" s="574"/>
      <c r="K22" s="574"/>
      <c r="L22" s="574"/>
      <c r="M22" s="574"/>
      <c r="N22" s="574"/>
      <c r="O22" s="574"/>
      <c r="P22" s="575">
        <f t="shared" si="1"/>
        <v>9</v>
      </c>
    </row>
    <row r="23" spans="1:16" x14ac:dyDescent="0.25">
      <c r="A23" s="35">
        <v>1000090</v>
      </c>
      <c r="B23" s="12" t="s">
        <v>40</v>
      </c>
      <c r="C23" s="41"/>
      <c r="D23" s="47">
        <v>1</v>
      </c>
      <c r="F23" s="574"/>
      <c r="G23" s="574"/>
      <c r="H23" s="574">
        <v>4</v>
      </c>
      <c r="I23" s="574"/>
      <c r="J23" s="574"/>
      <c r="K23" s="574"/>
      <c r="L23" s="574"/>
      <c r="M23" s="574"/>
      <c r="N23" s="574"/>
      <c r="O23" s="574"/>
      <c r="P23" s="575">
        <f t="shared" si="1"/>
        <v>4</v>
      </c>
    </row>
    <row r="24" spans="1:16" x14ac:dyDescent="0.25">
      <c r="A24" s="35">
        <v>1000052</v>
      </c>
      <c r="B24" s="12" t="s">
        <v>41</v>
      </c>
      <c r="C24" s="41"/>
      <c r="D24" s="47">
        <v>2</v>
      </c>
      <c r="F24" s="574"/>
      <c r="G24" s="574"/>
      <c r="H24" s="574">
        <v>2</v>
      </c>
      <c r="I24" s="574"/>
      <c r="J24" s="574"/>
      <c r="K24" s="574"/>
      <c r="L24" s="574"/>
      <c r="M24" s="574"/>
      <c r="N24" s="574">
        <v>2</v>
      </c>
      <c r="O24" s="574"/>
      <c r="P24" s="575">
        <f t="shared" si="1"/>
        <v>4</v>
      </c>
    </row>
    <row r="25" spans="1:16" x14ac:dyDescent="0.25">
      <c r="A25" s="35">
        <v>1000089</v>
      </c>
      <c r="B25" s="12" t="s">
        <v>42</v>
      </c>
      <c r="C25" s="41"/>
      <c r="D25" s="47">
        <v>0</v>
      </c>
      <c r="F25" s="574"/>
      <c r="G25" s="574"/>
      <c r="H25" s="574"/>
      <c r="I25" s="574"/>
      <c r="J25" s="574"/>
      <c r="K25" s="574"/>
      <c r="L25" s="574"/>
      <c r="M25" s="574"/>
      <c r="N25" s="574">
        <v>2</v>
      </c>
      <c r="O25" s="574"/>
      <c r="P25" s="575">
        <f t="shared" si="1"/>
        <v>2</v>
      </c>
    </row>
    <row r="26" spans="1:16" x14ac:dyDescent="0.25">
      <c r="A26" s="35">
        <v>1000051</v>
      </c>
      <c r="B26" s="12" t="s">
        <v>43</v>
      </c>
      <c r="C26" s="41"/>
      <c r="D26" s="47">
        <v>0</v>
      </c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>
        <f t="shared" si="1"/>
        <v>0</v>
      </c>
    </row>
    <row r="27" spans="1:16" x14ac:dyDescent="0.25">
      <c r="A27" s="35">
        <v>1000048</v>
      </c>
      <c r="B27" s="12" t="s">
        <v>45</v>
      </c>
      <c r="C27" s="41"/>
      <c r="D27" s="47">
        <v>0</v>
      </c>
      <c r="F27" s="574"/>
      <c r="G27" s="574"/>
      <c r="H27" s="574"/>
      <c r="I27" s="574"/>
      <c r="J27" s="574"/>
      <c r="K27" s="574"/>
      <c r="L27" s="574"/>
      <c r="M27" s="574"/>
      <c r="N27" s="574"/>
      <c r="O27" s="574"/>
      <c r="P27" s="574">
        <f t="shared" si="1"/>
        <v>0</v>
      </c>
    </row>
    <row r="28" spans="1:16" x14ac:dyDescent="0.25">
      <c r="A28" s="35">
        <v>1000076</v>
      </c>
      <c r="B28" s="12" t="s">
        <v>46</v>
      </c>
      <c r="C28" s="41"/>
      <c r="D28" s="47">
        <v>0</v>
      </c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574">
        <f t="shared" si="1"/>
        <v>0</v>
      </c>
    </row>
    <row r="29" spans="1:16" x14ac:dyDescent="0.25">
      <c r="A29" s="35">
        <v>1000085</v>
      </c>
      <c r="B29" s="12" t="s">
        <v>50</v>
      </c>
      <c r="C29" s="41"/>
      <c r="D29" s="47">
        <v>0</v>
      </c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>
        <f t="shared" si="1"/>
        <v>0</v>
      </c>
    </row>
    <row r="30" spans="1:16" x14ac:dyDescent="0.25">
      <c r="A30" s="35">
        <v>1000142</v>
      </c>
      <c r="B30" s="12" t="s">
        <v>54</v>
      </c>
      <c r="C30" s="41"/>
      <c r="D30" s="47">
        <v>2</v>
      </c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>
        <f t="shared" si="1"/>
        <v>0</v>
      </c>
    </row>
    <row r="31" spans="1:16" x14ac:dyDescent="0.25">
      <c r="A31" s="35">
        <v>1000075</v>
      </c>
      <c r="B31" s="12" t="s">
        <v>47</v>
      </c>
      <c r="C31" s="41"/>
      <c r="D31" s="47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>
        <f t="shared" si="1"/>
        <v>0</v>
      </c>
    </row>
    <row r="32" spans="1:16" s="15" customFormat="1" ht="15.95" customHeight="1" x14ac:dyDescent="0.25">
      <c r="A32" s="35">
        <v>1000045</v>
      </c>
      <c r="B32" s="12" t="s">
        <v>23</v>
      </c>
      <c r="C32" s="41"/>
      <c r="D32" s="47"/>
      <c r="E32" s="27"/>
      <c r="F32" s="574"/>
      <c r="G32" s="574"/>
      <c r="H32" s="574"/>
      <c r="I32" s="574"/>
      <c r="J32" s="574"/>
      <c r="K32" s="574"/>
      <c r="L32" s="574"/>
      <c r="M32" s="574"/>
      <c r="N32" s="574"/>
      <c r="O32" s="574"/>
      <c r="P32" s="574">
        <f t="shared" si="1"/>
        <v>0</v>
      </c>
    </row>
    <row r="33" spans="1:16" x14ac:dyDescent="0.25">
      <c r="A33" s="35">
        <v>1000004</v>
      </c>
      <c r="B33" s="12" t="s">
        <v>10</v>
      </c>
      <c r="C33" s="41"/>
      <c r="D33" s="47"/>
      <c r="F33" s="574"/>
      <c r="G33" s="574"/>
      <c r="H33" s="574">
        <v>3</v>
      </c>
      <c r="I33" s="574"/>
      <c r="J33" s="574"/>
      <c r="K33" s="574"/>
      <c r="L33" s="574"/>
      <c r="M33" s="574"/>
      <c r="N33" s="574">
        <v>3</v>
      </c>
      <c r="O33" s="574"/>
      <c r="P33" s="575">
        <f t="shared" si="1"/>
        <v>6</v>
      </c>
    </row>
    <row r="34" spans="1:16" x14ac:dyDescent="0.25">
      <c r="A34" s="35">
        <v>1000383</v>
      </c>
      <c r="B34" s="12" t="s">
        <v>264</v>
      </c>
      <c r="C34" s="41"/>
      <c r="D34" s="47"/>
      <c r="F34" s="574"/>
      <c r="G34" s="574"/>
      <c r="H34" s="574"/>
      <c r="I34" s="574"/>
      <c r="J34" s="574"/>
      <c r="K34" s="574"/>
      <c r="L34" s="574"/>
      <c r="M34" s="574"/>
      <c r="N34" s="574"/>
      <c r="O34" s="574"/>
      <c r="P34" s="574">
        <f t="shared" si="1"/>
        <v>0</v>
      </c>
    </row>
    <row r="35" spans="1:16" x14ac:dyDescent="0.25">
      <c r="A35" s="35">
        <v>1000049</v>
      </c>
      <c r="B35" s="12" t="s">
        <v>21</v>
      </c>
      <c r="C35" s="41"/>
      <c r="D35" s="47"/>
      <c r="F35" s="574"/>
      <c r="G35" s="574"/>
      <c r="H35" s="574"/>
      <c r="I35" s="574"/>
      <c r="J35" s="574"/>
      <c r="K35" s="574"/>
      <c r="L35" s="574"/>
      <c r="M35" s="574"/>
      <c r="N35" s="574"/>
      <c r="O35" s="574"/>
      <c r="P35" s="574">
        <f t="shared" si="1"/>
        <v>0</v>
      </c>
    </row>
    <row r="36" spans="1:16" x14ac:dyDescent="0.25">
      <c r="A36" s="35">
        <v>1000082</v>
      </c>
      <c r="B36" s="12" t="s">
        <v>37</v>
      </c>
      <c r="C36" s="41"/>
      <c r="D36" s="47"/>
      <c r="F36" s="574"/>
      <c r="G36" s="574"/>
      <c r="H36" s="574">
        <v>16</v>
      </c>
      <c r="I36" s="574"/>
      <c r="J36" s="574"/>
      <c r="K36" s="574"/>
      <c r="L36" s="574"/>
      <c r="M36" s="574"/>
      <c r="N36" s="574">
        <v>32</v>
      </c>
      <c r="O36" s="574"/>
      <c r="P36" s="575">
        <f t="shared" si="1"/>
        <v>48</v>
      </c>
    </row>
    <row r="37" spans="1:16" x14ac:dyDescent="0.25">
      <c r="A37" s="35">
        <v>1000029</v>
      </c>
      <c r="B37" s="12" t="s">
        <v>30</v>
      </c>
      <c r="C37" s="41"/>
      <c r="D37" s="47"/>
      <c r="F37" s="574"/>
      <c r="G37" s="574"/>
      <c r="H37" s="574"/>
      <c r="I37" s="574"/>
      <c r="J37" s="574"/>
      <c r="K37" s="574"/>
      <c r="L37" s="574"/>
      <c r="M37" s="574"/>
      <c r="N37" s="574"/>
      <c r="O37" s="574"/>
      <c r="P37" s="574">
        <f t="shared" si="1"/>
        <v>0</v>
      </c>
    </row>
    <row r="38" spans="1:16" x14ac:dyDescent="0.25">
      <c r="A38" s="35">
        <v>1000472</v>
      </c>
      <c r="B38" s="12" t="s">
        <v>222</v>
      </c>
      <c r="C38" s="41"/>
      <c r="D38" s="47"/>
      <c r="F38" s="574"/>
      <c r="G38" s="574"/>
      <c r="H38" s="574"/>
      <c r="I38" s="574"/>
      <c r="J38" s="574"/>
      <c r="K38" s="574"/>
      <c r="L38" s="574"/>
      <c r="M38" s="574"/>
      <c r="N38" s="574"/>
      <c r="O38" s="574"/>
      <c r="P38" s="574">
        <f t="shared" si="1"/>
        <v>0</v>
      </c>
    </row>
    <row r="39" spans="1:16" x14ac:dyDescent="0.25">
      <c r="A39" s="35">
        <v>1000092</v>
      </c>
      <c r="B39" s="12" t="s">
        <v>51</v>
      </c>
      <c r="C39" s="41"/>
      <c r="D39" s="47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>
        <f t="shared" si="1"/>
        <v>0</v>
      </c>
    </row>
    <row r="40" spans="1:16" x14ac:dyDescent="0.25">
      <c r="A40" s="35">
        <v>1000031</v>
      </c>
      <c r="B40" s="12" t="s">
        <v>25</v>
      </c>
      <c r="C40" s="41"/>
      <c r="D40" s="47"/>
      <c r="F40" s="574"/>
      <c r="G40" s="574"/>
      <c r="H40" s="574"/>
      <c r="I40" s="574"/>
      <c r="J40" s="574"/>
      <c r="K40" s="574"/>
      <c r="L40" s="574"/>
      <c r="M40" s="574"/>
      <c r="N40" s="574"/>
      <c r="O40" s="574"/>
      <c r="P40" s="574">
        <f t="shared" si="1"/>
        <v>0</v>
      </c>
    </row>
    <row r="41" spans="1:16" x14ac:dyDescent="0.25">
      <c r="A41" s="35">
        <v>1000012</v>
      </c>
      <c r="B41" s="12" t="s">
        <v>20</v>
      </c>
      <c r="C41" s="41"/>
      <c r="D41" s="47"/>
      <c r="F41" s="574"/>
      <c r="G41" s="574"/>
      <c r="H41" s="574"/>
      <c r="I41" s="574"/>
      <c r="J41" s="574"/>
      <c r="K41" s="574"/>
      <c r="L41" s="574"/>
      <c r="M41" s="574"/>
      <c r="N41" s="574"/>
      <c r="O41" s="574"/>
      <c r="P41" s="574">
        <f t="shared" si="1"/>
        <v>0</v>
      </c>
    </row>
    <row r="42" spans="1:16" x14ac:dyDescent="0.25">
      <c r="A42" s="35">
        <v>1000050</v>
      </c>
      <c r="B42" s="12" t="s">
        <v>22</v>
      </c>
      <c r="C42" s="41"/>
      <c r="D42" s="47"/>
      <c r="F42" s="574"/>
      <c r="G42" s="574"/>
      <c r="H42" s="574"/>
      <c r="I42" s="574"/>
      <c r="J42" s="574"/>
      <c r="K42" s="574"/>
      <c r="L42" s="574"/>
      <c r="M42" s="574"/>
      <c r="N42" s="574"/>
      <c r="O42" s="574"/>
      <c r="P42" s="574">
        <f t="shared" si="1"/>
        <v>0</v>
      </c>
    </row>
    <row r="43" spans="1:16" x14ac:dyDescent="0.25">
      <c r="A43" s="35">
        <v>1000031</v>
      </c>
      <c r="B43" s="12" t="s">
        <v>25</v>
      </c>
      <c r="C43" s="41"/>
      <c r="D43" s="47"/>
      <c r="F43" s="574"/>
      <c r="G43" s="574"/>
      <c r="H43" s="574"/>
      <c r="I43" s="574"/>
      <c r="J43" s="574"/>
      <c r="K43" s="574"/>
      <c r="L43" s="574"/>
      <c r="M43" s="574"/>
      <c r="N43" s="574"/>
      <c r="O43" s="574"/>
      <c r="P43" s="574">
        <f t="shared" si="1"/>
        <v>0</v>
      </c>
    </row>
    <row r="44" spans="1:16" x14ac:dyDescent="0.25">
      <c r="A44" s="35">
        <v>1000147</v>
      </c>
      <c r="B44" s="12" t="s">
        <v>52</v>
      </c>
      <c r="C44" s="41"/>
      <c r="D44" s="47"/>
      <c r="F44" s="574"/>
      <c r="G44" s="574"/>
      <c r="H44" s="574"/>
      <c r="I44" s="574"/>
      <c r="J44" s="574"/>
      <c r="K44" s="574"/>
      <c r="L44" s="574"/>
      <c r="M44" s="574"/>
      <c r="N44" s="574"/>
      <c r="O44" s="574"/>
      <c r="P44" s="574">
        <f t="shared" si="1"/>
        <v>0</v>
      </c>
    </row>
    <row r="45" spans="1:16" x14ac:dyDescent="0.25">
      <c r="A45" s="35">
        <v>1000080</v>
      </c>
      <c r="B45" s="12" t="s">
        <v>275</v>
      </c>
      <c r="C45" s="41"/>
      <c r="D45" s="47"/>
      <c r="F45" s="574"/>
      <c r="G45" s="574"/>
      <c r="H45" s="574"/>
      <c r="I45" s="574"/>
      <c r="J45" s="574"/>
      <c r="K45" s="574"/>
      <c r="L45" s="574"/>
      <c r="M45" s="574"/>
      <c r="N45" s="574"/>
      <c r="O45" s="574"/>
      <c r="P45" s="574">
        <f t="shared" si="1"/>
        <v>0</v>
      </c>
    </row>
    <row r="46" spans="1:16" x14ac:dyDescent="0.25">
      <c r="A46" s="35">
        <v>1000436</v>
      </c>
      <c r="B46" s="12" t="s">
        <v>276</v>
      </c>
      <c r="C46" s="41"/>
      <c r="D46" s="47"/>
      <c r="F46" s="574"/>
      <c r="G46" s="574"/>
      <c r="H46" s="574"/>
      <c r="I46" s="574"/>
      <c r="J46" s="574"/>
      <c r="K46" s="574"/>
      <c r="L46" s="574"/>
      <c r="M46" s="574"/>
      <c r="N46" s="574"/>
      <c r="O46" s="574"/>
      <c r="P46" s="574">
        <f t="shared" si="1"/>
        <v>0</v>
      </c>
    </row>
    <row r="47" spans="1:16" x14ac:dyDescent="0.25">
      <c r="A47" s="35">
        <v>1000550</v>
      </c>
      <c r="B47" s="12" t="s">
        <v>277</v>
      </c>
      <c r="C47" s="41"/>
      <c r="D47" s="47"/>
      <c r="F47" s="574"/>
      <c r="G47" s="574"/>
      <c r="H47" s="574"/>
      <c r="I47" s="574"/>
      <c r="J47" s="574"/>
      <c r="K47" s="574"/>
      <c r="L47" s="574"/>
      <c r="M47" s="574"/>
      <c r="N47" s="574"/>
      <c r="O47" s="574"/>
      <c r="P47" s="574">
        <f t="shared" si="1"/>
        <v>0</v>
      </c>
    </row>
    <row r="48" spans="1:16" x14ac:dyDescent="0.25">
      <c r="A48" s="35">
        <v>1000551</v>
      </c>
      <c r="B48" s="12" t="s">
        <v>278</v>
      </c>
      <c r="C48" s="41"/>
      <c r="D48" s="47"/>
      <c r="F48" s="574"/>
      <c r="G48" s="574"/>
      <c r="H48" s="574"/>
      <c r="I48" s="574"/>
      <c r="J48" s="574"/>
      <c r="K48" s="574"/>
      <c r="L48" s="574"/>
      <c r="M48" s="574"/>
      <c r="N48" s="574"/>
      <c r="O48" s="574"/>
      <c r="P48" s="574">
        <f t="shared" si="1"/>
        <v>0</v>
      </c>
    </row>
    <row r="49" spans="1:17" x14ac:dyDescent="0.25">
      <c r="A49" s="35">
        <v>1000552</v>
      </c>
      <c r="B49" s="12" t="s">
        <v>279</v>
      </c>
      <c r="C49" s="41"/>
      <c r="D49" s="45"/>
      <c r="F49" s="574"/>
      <c r="G49" s="574"/>
      <c r="H49" s="574"/>
      <c r="I49" s="574"/>
      <c r="J49" s="574"/>
      <c r="K49" s="574"/>
      <c r="L49" s="574"/>
      <c r="M49" s="574"/>
      <c r="N49" s="574"/>
      <c r="O49" s="574"/>
      <c r="P49" s="574">
        <f t="shared" si="1"/>
        <v>0</v>
      </c>
    </row>
    <row r="50" spans="1:17" x14ac:dyDescent="0.25">
      <c r="A50" s="519">
        <v>1000092</v>
      </c>
      <c r="B50" s="12" t="s">
        <v>51</v>
      </c>
      <c r="D50" s="45"/>
      <c r="F50" s="574"/>
      <c r="G50" s="574"/>
      <c r="H50" s="574"/>
      <c r="I50" s="574"/>
      <c r="J50" s="574"/>
      <c r="K50" s="574"/>
      <c r="L50" s="574"/>
      <c r="M50" s="574"/>
      <c r="N50" s="574"/>
      <c r="O50" s="574"/>
      <c r="P50" s="574">
        <f t="shared" si="1"/>
        <v>0</v>
      </c>
    </row>
    <row r="51" spans="1:17" x14ac:dyDescent="0.25">
      <c r="A51" s="87">
        <v>1000033</v>
      </c>
      <c r="B51" s="12" t="s">
        <v>27</v>
      </c>
      <c r="D51" s="45"/>
      <c r="F51" s="574"/>
      <c r="G51" s="574"/>
      <c r="H51" s="574"/>
      <c r="I51" s="574"/>
      <c r="J51" s="574"/>
      <c r="K51" s="574"/>
      <c r="L51" s="574"/>
      <c r="M51" s="574"/>
      <c r="N51" s="574"/>
      <c r="O51" s="574"/>
      <c r="P51" s="574">
        <f t="shared" si="1"/>
        <v>0</v>
      </c>
    </row>
    <row r="52" spans="1:17" x14ac:dyDescent="0.25">
      <c r="A52" s="36"/>
      <c r="B52" s="12"/>
      <c r="D52" s="45"/>
      <c r="F52" s="574"/>
      <c r="G52" s="574"/>
      <c r="H52" s="574"/>
      <c r="I52" s="574"/>
      <c r="J52" s="574"/>
      <c r="K52" s="574"/>
      <c r="L52" s="574"/>
      <c r="M52" s="574"/>
      <c r="N52" s="574"/>
      <c r="O52" s="574"/>
      <c r="P52" s="574">
        <f t="shared" si="1"/>
        <v>0</v>
      </c>
      <c r="Q52" s="445" t="s">
        <v>336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7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ED78-777E-4DA0-A50D-1039B9D486EB}">
  <sheetPr>
    <tabColor rgb="FF7030A0"/>
  </sheetPr>
  <dimension ref="A1:N63"/>
  <sheetViews>
    <sheetView tabSelected="1" topLeftCell="A40" workbookViewId="0">
      <selection activeCell="F69" sqref="F69"/>
    </sheetView>
  </sheetViews>
  <sheetFormatPr baseColWidth="10" defaultRowHeight="15.75" x14ac:dyDescent="0.25"/>
  <cols>
    <col min="2" max="2" width="40.375" bestFit="1" customWidth="1"/>
    <col min="5" max="5" width="5.875" customWidth="1"/>
    <col min="7" max="7" width="5.875" customWidth="1"/>
    <col min="9" max="9" width="6.875" customWidth="1"/>
    <col min="11" max="11" width="5.125" customWidth="1"/>
    <col min="13" max="13" width="6.125" customWidth="1"/>
  </cols>
  <sheetData>
    <row r="1" spans="1:14" ht="28.5" x14ac:dyDescent="0.45">
      <c r="A1" s="686" t="s">
        <v>441</v>
      </c>
      <c r="B1" s="687"/>
      <c r="C1" s="779" t="s">
        <v>362</v>
      </c>
      <c r="D1" s="751" t="s">
        <v>474</v>
      </c>
      <c r="E1" s="752"/>
      <c r="F1" s="752"/>
      <c r="G1" s="752"/>
      <c r="H1" s="753"/>
      <c r="I1" s="2"/>
      <c r="J1" s="515"/>
      <c r="K1" s="515"/>
      <c r="L1" s="515"/>
      <c r="M1" s="515"/>
      <c r="N1" s="515"/>
    </row>
    <row r="2" spans="1:14" ht="29.25" thickBot="1" x14ac:dyDescent="0.5">
      <c r="A2" s="688"/>
      <c r="B2" s="689"/>
      <c r="C2" s="779"/>
      <c r="D2" s="754"/>
      <c r="E2" s="755"/>
      <c r="F2" s="755"/>
      <c r="G2" s="755"/>
      <c r="H2" s="756"/>
      <c r="I2" s="2"/>
      <c r="J2" s="3"/>
      <c r="K2" s="3"/>
      <c r="L2" s="3"/>
      <c r="M2" s="3"/>
      <c r="N2" s="3"/>
    </row>
    <row r="3" spans="1:14" ht="24" customHeight="1" thickBot="1" x14ac:dyDescent="0.3">
      <c r="A3" s="5"/>
      <c r="B3" s="419" t="s">
        <v>442</v>
      </c>
      <c r="C3" s="18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6.5" thickBot="1" x14ac:dyDescent="0.3">
      <c r="A4" s="6" t="s">
        <v>0</v>
      </c>
      <c r="B4" s="6" t="s">
        <v>105</v>
      </c>
      <c r="C4" s="21" t="s">
        <v>106</v>
      </c>
      <c r="D4" s="19" t="s">
        <v>308</v>
      </c>
      <c r="E4" s="20" t="s">
        <v>357</v>
      </c>
      <c r="F4" s="19" t="s">
        <v>310</v>
      </c>
      <c r="G4" s="20" t="s">
        <v>357</v>
      </c>
      <c r="H4" s="19" t="s">
        <v>311</v>
      </c>
      <c r="I4" s="20" t="s">
        <v>357</v>
      </c>
      <c r="J4" s="19" t="s">
        <v>312</v>
      </c>
      <c r="K4" s="20" t="s">
        <v>357</v>
      </c>
      <c r="L4" s="19" t="s">
        <v>313</v>
      </c>
      <c r="M4" s="20" t="s">
        <v>357</v>
      </c>
      <c r="N4" s="21" t="s">
        <v>98</v>
      </c>
    </row>
    <row r="5" spans="1:14" ht="16.5" thickBot="1" x14ac:dyDescent="0.3">
      <c r="A5" s="516">
        <v>10000102</v>
      </c>
      <c r="B5" s="11" t="s">
        <v>2</v>
      </c>
      <c r="C5" s="517">
        <v>0</v>
      </c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820">
        <f t="shared" ref="N5:N63" si="0">SUM(D5:M5)</f>
        <v>0</v>
      </c>
    </row>
    <row r="6" spans="1:14" ht="16.5" thickBot="1" x14ac:dyDescent="0.3">
      <c r="A6" s="519">
        <v>1000006</v>
      </c>
      <c r="B6" s="12" t="s">
        <v>4</v>
      </c>
      <c r="C6" s="520">
        <v>85</v>
      </c>
      <c r="D6" s="518"/>
      <c r="E6" s="518"/>
      <c r="F6" s="518">
        <v>50</v>
      </c>
      <c r="G6" s="518"/>
      <c r="H6" s="518"/>
      <c r="I6" s="518"/>
      <c r="J6" s="518"/>
      <c r="K6" s="518"/>
      <c r="L6" s="518">
        <v>50</v>
      </c>
      <c r="M6" s="518"/>
      <c r="N6" s="558">
        <f t="shared" si="0"/>
        <v>100</v>
      </c>
    </row>
    <row r="7" spans="1:14" ht="16.5" thickBot="1" x14ac:dyDescent="0.3">
      <c r="A7" s="519">
        <v>1000007</v>
      </c>
      <c r="B7" s="12" t="s">
        <v>5</v>
      </c>
      <c r="C7" s="520">
        <v>90</v>
      </c>
      <c r="D7" s="518"/>
      <c r="E7" s="518"/>
      <c r="F7" s="518">
        <v>50</v>
      </c>
      <c r="G7" s="518"/>
      <c r="H7" s="518"/>
      <c r="I7" s="518"/>
      <c r="J7" s="518"/>
      <c r="K7" s="518"/>
      <c r="L7" s="518">
        <v>50</v>
      </c>
      <c r="M7" s="518"/>
      <c r="N7" s="558">
        <f t="shared" si="0"/>
        <v>100</v>
      </c>
    </row>
    <row r="8" spans="1:14" ht="16.5" thickBot="1" x14ac:dyDescent="0.3">
      <c r="A8" s="519">
        <v>1000008</v>
      </c>
      <c r="B8" s="12" t="s">
        <v>7</v>
      </c>
      <c r="C8" s="520">
        <v>75</v>
      </c>
      <c r="D8" s="518"/>
      <c r="E8" s="518"/>
      <c r="F8" s="518">
        <v>50</v>
      </c>
      <c r="G8" s="518"/>
      <c r="H8" s="518"/>
      <c r="I8" s="518"/>
      <c r="J8" s="518"/>
      <c r="K8" s="518"/>
      <c r="L8" s="518">
        <v>50</v>
      </c>
      <c r="M8" s="518"/>
      <c r="N8" s="558">
        <f t="shared" si="0"/>
        <v>100</v>
      </c>
    </row>
    <row r="9" spans="1:14" ht="16.5" thickBot="1" x14ac:dyDescent="0.3">
      <c r="A9" s="519">
        <v>1000001</v>
      </c>
      <c r="B9" s="12" t="s">
        <v>8</v>
      </c>
      <c r="C9" s="520">
        <v>2</v>
      </c>
      <c r="D9" s="518"/>
      <c r="E9" s="518"/>
      <c r="F9" s="518">
        <v>3</v>
      </c>
      <c r="G9" s="518"/>
      <c r="H9" s="518"/>
      <c r="I9" s="518"/>
      <c r="J9" s="518"/>
      <c r="K9" s="518"/>
      <c r="L9" s="518"/>
      <c r="M9" s="518"/>
      <c r="N9" s="558">
        <f t="shared" si="0"/>
        <v>3</v>
      </c>
    </row>
    <row r="10" spans="1:14" ht="16.5" thickBot="1" x14ac:dyDescent="0.3">
      <c r="A10" s="519">
        <v>1000002</v>
      </c>
      <c r="B10" s="12" t="s">
        <v>9</v>
      </c>
      <c r="C10" s="520">
        <v>1</v>
      </c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6">
        <f t="shared" si="0"/>
        <v>0</v>
      </c>
    </row>
    <row r="11" spans="1:14" ht="16.5" thickBot="1" x14ac:dyDescent="0.3">
      <c r="A11" s="519">
        <v>1000067</v>
      </c>
      <c r="B11" s="12" t="s">
        <v>11</v>
      </c>
      <c r="C11" s="520">
        <v>0</v>
      </c>
      <c r="D11" s="518"/>
      <c r="E11" s="518"/>
      <c r="F11" s="518">
        <v>1</v>
      </c>
      <c r="G11" s="518"/>
      <c r="H11" s="518"/>
      <c r="I11" s="518"/>
      <c r="J11" s="518"/>
      <c r="K11" s="518"/>
      <c r="L11" s="518"/>
      <c r="M11" s="518"/>
      <c r="N11" s="558">
        <f t="shared" si="0"/>
        <v>1</v>
      </c>
    </row>
    <row r="12" spans="1:14" ht="16.5" thickBot="1" x14ac:dyDescent="0.3">
      <c r="A12" s="519">
        <v>1000054</v>
      </c>
      <c r="B12" s="12" t="s">
        <v>12</v>
      </c>
      <c r="C12" s="520">
        <v>8</v>
      </c>
      <c r="D12" s="518"/>
      <c r="E12" s="518"/>
      <c r="F12" s="518">
        <v>20</v>
      </c>
      <c r="G12" s="518"/>
      <c r="H12" s="518"/>
      <c r="I12" s="518"/>
      <c r="J12" s="518"/>
      <c r="K12" s="518"/>
      <c r="L12" s="518">
        <v>20</v>
      </c>
      <c r="M12" s="518"/>
      <c r="N12" s="558">
        <f t="shared" si="0"/>
        <v>40</v>
      </c>
    </row>
    <row r="13" spans="1:14" ht="16.5" thickBot="1" x14ac:dyDescent="0.3">
      <c r="A13" s="519">
        <v>1000070</v>
      </c>
      <c r="B13" s="12" t="s">
        <v>13</v>
      </c>
      <c r="C13" s="520">
        <v>0</v>
      </c>
      <c r="D13" s="518"/>
      <c r="E13" s="518"/>
      <c r="F13" s="518">
        <v>1</v>
      </c>
      <c r="G13" s="518"/>
      <c r="H13" s="518"/>
      <c r="I13" s="518"/>
      <c r="J13" s="518"/>
      <c r="K13" s="518"/>
      <c r="L13" s="518"/>
      <c r="M13" s="518"/>
      <c r="N13" s="558">
        <f t="shared" si="0"/>
        <v>1</v>
      </c>
    </row>
    <row r="14" spans="1:14" ht="16.5" thickBot="1" x14ac:dyDescent="0.3">
      <c r="A14" s="519">
        <v>1000017</v>
      </c>
      <c r="B14" s="12" t="s">
        <v>14</v>
      </c>
      <c r="C14" s="520">
        <v>40</v>
      </c>
      <c r="D14" s="518"/>
      <c r="E14" s="518"/>
      <c r="F14" s="518">
        <v>30</v>
      </c>
      <c r="G14" s="518"/>
      <c r="H14" s="518"/>
      <c r="I14" s="518"/>
      <c r="J14" s="518"/>
      <c r="K14" s="518"/>
      <c r="L14" s="518">
        <v>20</v>
      </c>
      <c r="M14" s="518"/>
      <c r="N14" s="558">
        <f t="shared" si="0"/>
        <v>50</v>
      </c>
    </row>
    <row r="15" spans="1:14" ht="16.5" thickBot="1" x14ac:dyDescent="0.3">
      <c r="A15" s="519">
        <v>1000016</v>
      </c>
      <c r="B15" s="13" t="s">
        <v>15</v>
      </c>
      <c r="C15" s="520">
        <v>5</v>
      </c>
      <c r="D15" s="518"/>
      <c r="E15" s="518"/>
      <c r="F15" s="518"/>
      <c r="G15" s="518"/>
      <c r="H15" s="518"/>
      <c r="I15" s="518"/>
      <c r="J15" s="518"/>
      <c r="K15" s="518"/>
      <c r="L15" s="518">
        <v>5</v>
      </c>
      <c r="M15" s="518"/>
      <c r="N15" s="558">
        <f t="shared" si="0"/>
        <v>5</v>
      </c>
    </row>
    <row r="16" spans="1:14" ht="16.5" thickBot="1" x14ac:dyDescent="0.3">
      <c r="A16" s="519">
        <v>1000041</v>
      </c>
      <c r="B16" s="12" t="s">
        <v>16</v>
      </c>
      <c r="C16" s="520">
        <v>5</v>
      </c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6">
        <f t="shared" si="0"/>
        <v>0</v>
      </c>
    </row>
    <row r="17" spans="1:14" ht="16.5" thickBot="1" x14ac:dyDescent="0.3">
      <c r="A17" s="519">
        <v>1000009</v>
      </c>
      <c r="B17" s="12" t="s">
        <v>19</v>
      </c>
      <c r="C17" s="520">
        <v>1</v>
      </c>
      <c r="D17" s="518"/>
      <c r="E17" s="518"/>
      <c r="F17" s="518"/>
      <c r="G17" s="518"/>
      <c r="H17" s="518"/>
      <c r="I17" s="518"/>
      <c r="J17" s="518"/>
      <c r="K17" s="518"/>
      <c r="L17" s="518"/>
      <c r="M17" s="518"/>
      <c r="N17" s="516">
        <f t="shared" si="0"/>
        <v>0</v>
      </c>
    </row>
    <row r="18" spans="1:14" ht="16.5" thickBot="1" x14ac:dyDescent="0.3">
      <c r="A18" s="519">
        <v>1000049</v>
      </c>
      <c r="B18" s="12" t="s">
        <v>21</v>
      </c>
      <c r="C18" s="520">
        <v>1</v>
      </c>
      <c r="D18" s="518"/>
      <c r="E18" s="518"/>
      <c r="F18" s="518">
        <v>3</v>
      </c>
      <c r="G18" s="518"/>
      <c r="H18" s="518"/>
      <c r="I18" s="518"/>
      <c r="J18" s="518"/>
      <c r="K18" s="518"/>
      <c r="L18" s="518"/>
      <c r="M18" s="518"/>
      <c r="N18" s="558">
        <f t="shared" si="0"/>
        <v>3</v>
      </c>
    </row>
    <row r="19" spans="1:14" ht="16.5" thickBot="1" x14ac:dyDescent="0.3">
      <c r="A19" s="519">
        <v>1000050</v>
      </c>
      <c r="B19" s="12" t="s">
        <v>22</v>
      </c>
      <c r="C19" s="520">
        <v>0</v>
      </c>
      <c r="D19" s="518"/>
      <c r="E19" s="518"/>
      <c r="F19" s="518">
        <v>3</v>
      </c>
      <c r="G19" s="518"/>
      <c r="H19" s="518"/>
      <c r="I19" s="518"/>
      <c r="J19" s="518"/>
      <c r="K19" s="518"/>
      <c r="L19" s="518"/>
      <c r="M19" s="518"/>
      <c r="N19" s="558">
        <f t="shared" si="0"/>
        <v>3</v>
      </c>
    </row>
    <row r="20" spans="1:14" ht="16.5" thickBot="1" x14ac:dyDescent="0.3">
      <c r="A20" s="519">
        <v>1000045</v>
      </c>
      <c r="B20" s="12" t="s">
        <v>23</v>
      </c>
      <c r="C20" s="520">
        <v>0</v>
      </c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6">
        <f t="shared" si="0"/>
        <v>0</v>
      </c>
    </row>
    <row r="21" spans="1:14" ht="16.5" thickBot="1" x14ac:dyDescent="0.3">
      <c r="A21" s="519">
        <v>1000031</v>
      </c>
      <c r="B21" s="12" t="s">
        <v>25</v>
      </c>
      <c r="C21" s="520">
        <v>2</v>
      </c>
      <c r="D21" s="518"/>
      <c r="E21" s="518"/>
      <c r="F21" s="518"/>
      <c r="G21" s="518"/>
      <c r="H21" s="518"/>
      <c r="I21" s="518"/>
      <c r="J21" s="518"/>
      <c r="K21" s="518"/>
      <c r="L21" s="518"/>
      <c r="M21" s="518"/>
      <c r="N21" s="516">
        <f t="shared" si="0"/>
        <v>0</v>
      </c>
    </row>
    <row r="22" spans="1:14" ht="16.5" thickBot="1" x14ac:dyDescent="0.3">
      <c r="A22" s="519">
        <v>1000032</v>
      </c>
      <c r="B22" s="12" t="s">
        <v>26</v>
      </c>
      <c r="C22" s="520">
        <v>1</v>
      </c>
      <c r="D22" s="518"/>
      <c r="E22" s="518"/>
      <c r="F22" s="518"/>
      <c r="G22" s="518"/>
      <c r="H22" s="518"/>
      <c r="I22" s="518"/>
      <c r="J22" s="518"/>
      <c r="K22" s="518"/>
      <c r="L22" s="518"/>
      <c r="M22" s="518"/>
      <c r="N22" s="516">
        <f t="shared" si="0"/>
        <v>0</v>
      </c>
    </row>
    <row r="23" spans="1:14" ht="16.5" thickBot="1" x14ac:dyDescent="0.3">
      <c r="A23" s="519">
        <v>1000027</v>
      </c>
      <c r="B23" s="12" t="s">
        <v>33</v>
      </c>
      <c r="C23" s="520">
        <v>2</v>
      </c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6">
        <f t="shared" si="0"/>
        <v>0</v>
      </c>
    </row>
    <row r="24" spans="1:14" ht="16.5" thickBot="1" x14ac:dyDescent="0.3">
      <c r="A24" s="519">
        <v>1000100</v>
      </c>
      <c r="B24" s="12" t="s">
        <v>34</v>
      </c>
      <c r="C24" s="520">
        <v>0</v>
      </c>
      <c r="D24" s="518"/>
      <c r="E24" s="518"/>
      <c r="F24" s="518"/>
      <c r="G24" s="518"/>
      <c r="H24" s="518"/>
      <c r="I24" s="518"/>
      <c r="J24" s="518"/>
      <c r="K24" s="518"/>
      <c r="L24" s="518"/>
      <c r="M24" s="518"/>
      <c r="N24" s="516">
        <f t="shared" si="0"/>
        <v>0</v>
      </c>
    </row>
    <row r="25" spans="1:14" ht="16.5" thickBot="1" x14ac:dyDescent="0.3">
      <c r="A25" s="519">
        <v>1000101</v>
      </c>
      <c r="B25" s="12" t="s">
        <v>35</v>
      </c>
      <c r="C25" s="520">
        <v>0</v>
      </c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6">
        <f t="shared" si="0"/>
        <v>0</v>
      </c>
    </row>
    <row r="26" spans="1:14" ht="16.5" thickBot="1" x14ac:dyDescent="0.3">
      <c r="A26" s="519">
        <v>1000073</v>
      </c>
      <c r="B26" s="12" t="s">
        <v>36</v>
      </c>
      <c r="C26" s="520">
        <v>0</v>
      </c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6">
        <f t="shared" si="0"/>
        <v>0</v>
      </c>
    </row>
    <row r="27" spans="1:14" ht="16.5" thickBot="1" x14ac:dyDescent="0.3">
      <c r="A27" s="519">
        <v>1000082</v>
      </c>
      <c r="B27" s="12" t="s">
        <v>37</v>
      </c>
      <c r="C27" s="520">
        <v>50</v>
      </c>
      <c r="D27" s="518"/>
      <c r="E27" s="518"/>
      <c r="F27" s="518">
        <v>16</v>
      </c>
      <c r="G27" s="518"/>
      <c r="H27" s="518"/>
      <c r="I27" s="518"/>
      <c r="J27" s="518"/>
      <c r="K27" s="518"/>
      <c r="L27" s="518">
        <v>16</v>
      </c>
      <c r="M27" s="518"/>
      <c r="N27" s="558">
        <f t="shared" si="0"/>
        <v>32</v>
      </c>
    </row>
    <row r="28" spans="1:14" ht="16.5" thickBot="1" x14ac:dyDescent="0.3">
      <c r="A28" s="519">
        <v>1000084</v>
      </c>
      <c r="B28" s="12" t="s">
        <v>38</v>
      </c>
      <c r="C28" s="520">
        <v>10</v>
      </c>
      <c r="D28" s="518"/>
      <c r="E28" s="518"/>
      <c r="F28" s="518">
        <v>8</v>
      </c>
      <c r="G28" s="518"/>
      <c r="H28" s="518"/>
      <c r="I28" s="518"/>
      <c r="J28" s="518"/>
      <c r="K28" s="518"/>
      <c r="L28" s="518">
        <v>8</v>
      </c>
      <c r="M28" s="518"/>
      <c r="N28" s="558">
        <f t="shared" si="0"/>
        <v>16</v>
      </c>
    </row>
    <row r="29" spans="1:14" ht="16.5" thickBot="1" x14ac:dyDescent="0.3">
      <c r="A29" s="519">
        <v>1000486</v>
      </c>
      <c r="B29" s="12" t="s">
        <v>263</v>
      </c>
      <c r="C29" s="520">
        <v>8</v>
      </c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6">
        <f t="shared" si="0"/>
        <v>0</v>
      </c>
    </row>
    <row r="30" spans="1:14" ht="16.5" thickBot="1" x14ac:dyDescent="0.3">
      <c r="A30" s="519">
        <v>10248</v>
      </c>
      <c r="B30" s="12" t="s">
        <v>183</v>
      </c>
      <c r="C30" s="520">
        <v>0</v>
      </c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6">
        <f t="shared" si="0"/>
        <v>0</v>
      </c>
    </row>
    <row r="31" spans="1:14" ht="16.5" thickBot="1" x14ac:dyDescent="0.3">
      <c r="A31" s="519">
        <v>1000090</v>
      </c>
      <c r="B31" s="12" t="s">
        <v>40</v>
      </c>
      <c r="C31" s="520">
        <v>3</v>
      </c>
      <c r="D31" s="518"/>
      <c r="E31" s="518"/>
      <c r="F31" s="518">
        <v>4</v>
      </c>
      <c r="G31" s="518"/>
      <c r="H31" s="518"/>
      <c r="I31" s="518"/>
      <c r="J31" s="518"/>
      <c r="K31" s="518"/>
      <c r="L31" s="518">
        <v>4</v>
      </c>
      <c r="M31" s="518"/>
      <c r="N31" s="558">
        <f t="shared" si="0"/>
        <v>8</v>
      </c>
    </row>
    <row r="32" spans="1:14" ht="16.5" thickBot="1" x14ac:dyDescent="0.3">
      <c r="A32" s="519">
        <v>1000052</v>
      </c>
      <c r="B32" s="12" t="s">
        <v>41</v>
      </c>
      <c r="C32" s="520">
        <v>2</v>
      </c>
      <c r="D32" s="518"/>
      <c r="E32" s="518"/>
      <c r="F32" s="518">
        <v>3</v>
      </c>
      <c r="G32" s="518"/>
      <c r="H32" s="518"/>
      <c r="I32" s="518"/>
      <c r="J32" s="518"/>
      <c r="K32" s="518"/>
      <c r="L32" s="518"/>
      <c r="M32" s="518"/>
      <c r="N32" s="558">
        <f t="shared" si="0"/>
        <v>3</v>
      </c>
    </row>
    <row r="33" spans="1:14" ht="16.5" thickBot="1" x14ac:dyDescent="0.3">
      <c r="A33" s="519">
        <v>1000089</v>
      </c>
      <c r="B33" s="12" t="s">
        <v>42</v>
      </c>
      <c r="C33" s="520">
        <v>2</v>
      </c>
      <c r="D33" s="518"/>
      <c r="E33" s="518"/>
      <c r="F33" s="518">
        <v>3</v>
      </c>
      <c r="G33" s="518"/>
      <c r="H33" s="518"/>
      <c r="I33" s="518"/>
      <c r="J33" s="518"/>
      <c r="K33" s="518"/>
      <c r="L33" s="518"/>
      <c r="M33" s="518"/>
      <c r="N33" s="558">
        <f t="shared" si="0"/>
        <v>3</v>
      </c>
    </row>
    <row r="34" spans="1:14" ht="16.5" thickBot="1" x14ac:dyDescent="0.3">
      <c r="A34" s="519">
        <v>1000051</v>
      </c>
      <c r="B34" s="12" t="s">
        <v>43</v>
      </c>
      <c r="C34" s="520">
        <v>1</v>
      </c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6">
        <f t="shared" si="0"/>
        <v>0</v>
      </c>
    </row>
    <row r="35" spans="1:14" ht="16.5" thickBot="1" x14ac:dyDescent="0.3">
      <c r="A35" s="519">
        <v>1000048</v>
      </c>
      <c r="B35" s="12" t="s">
        <v>45</v>
      </c>
      <c r="C35" s="520">
        <v>0</v>
      </c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6">
        <f t="shared" si="0"/>
        <v>0</v>
      </c>
    </row>
    <row r="36" spans="1:14" ht="16.5" thickBot="1" x14ac:dyDescent="0.3">
      <c r="A36" s="519">
        <v>1000076</v>
      </c>
      <c r="B36" s="12" t="s">
        <v>46</v>
      </c>
      <c r="C36" s="520">
        <v>0</v>
      </c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6">
        <f t="shared" si="0"/>
        <v>0</v>
      </c>
    </row>
    <row r="37" spans="1:14" ht="16.5" thickBot="1" x14ac:dyDescent="0.3">
      <c r="A37" s="519">
        <v>1000085</v>
      </c>
      <c r="B37" s="12" t="s">
        <v>50</v>
      </c>
      <c r="C37" s="520">
        <v>0</v>
      </c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6">
        <f t="shared" si="0"/>
        <v>0</v>
      </c>
    </row>
    <row r="38" spans="1:14" ht="16.5" thickBot="1" x14ac:dyDescent="0.3">
      <c r="A38" s="519">
        <v>1000147</v>
      </c>
      <c r="B38" s="12" t="s">
        <v>52</v>
      </c>
      <c r="C38" s="520">
        <v>0</v>
      </c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6">
        <f t="shared" si="0"/>
        <v>0</v>
      </c>
    </row>
    <row r="39" spans="1:14" ht="16.5" thickBot="1" x14ac:dyDescent="0.3">
      <c r="A39" s="519">
        <v>1000142</v>
      </c>
      <c r="B39" s="12" t="s">
        <v>54</v>
      </c>
      <c r="C39" s="520">
        <v>0</v>
      </c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6">
        <f t="shared" si="0"/>
        <v>0</v>
      </c>
    </row>
    <row r="40" spans="1:14" ht="16.5" thickBot="1" x14ac:dyDescent="0.3">
      <c r="A40" s="519">
        <v>1000087</v>
      </c>
      <c r="B40" s="12" t="s">
        <v>69</v>
      </c>
      <c r="C40" s="520">
        <v>0</v>
      </c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6">
        <f t="shared" si="0"/>
        <v>0</v>
      </c>
    </row>
    <row r="41" spans="1:14" ht="16.5" thickBot="1" x14ac:dyDescent="0.3">
      <c r="A41" s="519">
        <v>1000057</v>
      </c>
      <c r="B41" s="12" t="s">
        <v>70</v>
      </c>
      <c r="C41" s="520">
        <v>0</v>
      </c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6">
        <f t="shared" si="0"/>
        <v>0</v>
      </c>
    </row>
    <row r="42" spans="1:14" ht="16.5" thickBot="1" x14ac:dyDescent="0.3">
      <c r="A42" s="519">
        <v>1000073</v>
      </c>
      <c r="B42" s="12" t="s">
        <v>36</v>
      </c>
      <c r="C42" s="520">
        <v>0</v>
      </c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6">
        <f t="shared" si="0"/>
        <v>0</v>
      </c>
    </row>
    <row r="43" spans="1:14" ht="16.5" thickBot="1" x14ac:dyDescent="0.3">
      <c r="A43" s="519">
        <v>1000004</v>
      </c>
      <c r="B43" s="12" t="s">
        <v>10</v>
      </c>
      <c r="C43" s="520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6">
        <f t="shared" si="0"/>
        <v>0</v>
      </c>
    </row>
    <row r="44" spans="1:14" ht="16.5" thickBot="1" x14ac:dyDescent="0.3">
      <c r="A44" s="519">
        <v>1000214</v>
      </c>
      <c r="B44" s="12" t="s">
        <v>49</v>
      </c>
      <c r="C44" s="520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6">
        <f t="shared" si="0"/>
        <v>0</v>
      </c>
    </row>
    <row r="45" spans="1:14" ht="16.5" thickBot="1" x14ac:dyDescent="0.3">
      <c r="A45" s="519">
        <v>1000030</v>
      </c>
      <c r="B45" s="12" t="s">
        <v>24</v>
      </c>
      <c r="C45" s="520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6">
        <f t="shared" si="0"/>
        <v>0</v>
      </c>
    </row>
    <row r="46" spans="1:14" ht="16.5" thickBot="1" x14ac:dyDescent="0.3">
      <c r="A46" s="519">
        <v>1000033</v>
      </c>
      <c r="B46" s="12" t="s">
        <v>27</v>
      </c>
      <c r="C46" s="520"/>
      <c r="D46" s="518"/>
      <c r="E46" s="518"/>
      <c r="F46" s="518"/>
      <c r="G46" s="518"/>
      <c r="H46" s="518"/>
      <c r="I46" s="518"/>
      <c r="J46" s="518"/>
      <c r="K46" s="518"/>
      <c r="L46" s="518"/>
      <c r="M46" s="518"/>
      <c r="N46" s="516">
        <f t="shared" si="0"/>
        <v>0</v>
      </c>
    </row>
    <row r="47" spans="1:14" ht="16.5" thickBot="1" x14ac:dyDescent="0.3">
      <c r="A47" s="519">
        <v>1000029</v>
      </c>
      <c r="B47" s="12" t="s">
        <v>30</v>
      </c>
      <c r="C47" s="520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6">
        <f t="shared" si="0"/>
        <v>0</v>
      </c>
    </row>
    <row r="48" spans="1:14" ht="16.5" thickBot="1" x14ac:dyDescent="0.3">
      <c r="A48" s="519">
        <v>1000092</v>
      </c>
      <c r="B48" s="12" t="s">
        <v>51</v>
      </c>
      <c r="C48" s="520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516">
        <f t="shared" si="0"/>
        <v>0</v>
      </c>
    </row>
    <row r="49" spans="1:14" ht="16.5" thickBot="1" x14ac:dyDescent="0.3">
      <c r="A49" s="519">
        <v>1000117</v>
      </c>
      <c r="B49" s="12" t="s">
        <v>80</v>
      </c>
      <c r="C49" s="520"/>
      <c r="D49" s="518"/>
      <c r="E49" s="518"/>
      <c r="F49" s="518"/>
      <c r="G49" s="518"/>
      <c r="H49" s="518"/>
      <c r="I49" s="518"/>
      <c r="J49" s="518"/>
      <c r="K49" s="518"/>
      <c r="L49" s="518"/>
      <c r="M49" s="518"/>
      <c r="N49" s="516">
        <f t="shared" si="0"/>
        <v>0</v>
      </c>
    </row>
    <row r="50" spans="1:14" ht="16.5" thickBot="1" x14ac:dyDescent="0.3">
      <c r="A50" s="519">
        <v>1000034</v>
      </c>
      <c r="B50" s="12" t="s">
        <v>28</v>
      </c>
      <c r="C50" s="520"/>
      <c r="D50" s="518"/>
      <c r="E50" s="518"/>
      <c r="F50" s="518"/>
      <c r="G50" s="518"/>
      <c r="H50" s="518"/>
      <c r="I50" s="518"/>
      <c r="J50" s="518"/>
      <c r="K50" s="518"/>
      <c r="L50" s="518"/>
      <c r="M50" s="518"/>
      <c r="N50" s="516">
        <f t="shared" si="0"/>
        <v>0</v>
      </c>
    </row>
    <row r="51" spans="1:14" ht="16.5" thickBot="1" x14ac:dyDescent="0.3">
      <c r="A51" s="519">
        <v>1000062</v>
      </c>
      <c r="B51" s="12" t="s">
        <v>66</v>
      </c>
      <c r="C51" s="520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6">
        <f t="shared" si="0"/>
        <v>0</v>
      </c>
    </row>
    <row r="52" spans="1:14" ht="16.5" thickBot="1" x14ac:dyDescent="0.3">
      <c r="A52" s="207">
        <v>1000205</v>
      </c>
      <c r="B52" s="246" t="s">
        <v>443</v>
      </c>
      <c r="C52" s="520"/>
      <c r="D52" s="518"/>
      <c r="E52" s="518"/>
      <c r="F52" s="518"/>
      <c r="G52" s="518"/>
      <c r="H52" s="518"/>
      <c r="I52" s="518"/>
      <c r="J52" s="518"/>
      <c r="K52" s="518"/>
      <c r="L52" s="518"/>
      <c r="M52" s="518"/>
      <c r="N52" s="516">
        <f t="shared" si="0"/>
        <v>0</v>
      </c>
    </row>
    <row r="53" spans="1:14" ht="16.5" thickBot="1" x14ac:dyDescent="0.3">
      <c r="A53" s="519">
        <v>1000075</v>
      </c>
      <c r="B53" s="12" t="s">
        <v>47</v>
      </c>
      <c r="C53" s="520"/>
      <c r="D53" s="518"/>
      <c r="E53" s="518"/>
      <c r="F53" s="518"/>
      <c r="G53" s="518"/>
      <c r="H53" s="518"/>
      <c r="I53" s="518"/>
      <c r="J53" s="518"/>
      <c r="K53" s="518"/>
      <c r="L53" s="518"/>
      <c r="M53" s="518"/>
      <c r="N53" s="516">
        <f t="shared" si="0"/>
        <v>0</v>
      </c>
    </row>
    <row r="54" spans="1:14" ht="16.5" thickBot="1" x14ac:dyDescent="0.3">
      <c r="A54" s="519">
        <v>1000472</v>
      </c>
      <c r="B54" s="12" t="s">
        <v>222</v>
      </c>
      <c r="C54" s="520"/>
      <c r="D54" s="518"/>
      <c r="E54" s="518"/>
      <c r="F54" s="518"/>
      <c r="G54" s="518"/>
      <c r="H54" s="518"/>
      <c r="I54" s="518"/>
      <c r="J54" s="518"/>
      <c r="K54" s="518"/>
      <c r="L54" s="518"/>
      <c r="M54" s="518"/>
      <c r="N54" s="516">
        <f t="shared" si="0"/>
        <v>0</v>
      </c>
    </row>
    <row r="55" spans="1:14" ht="16.5" thickBot="1" x14ac:dyDescent="0.3">
      <c r="A55" s="519">
        <v>1000025</v>
      </c>
      <c r="B55" s="12" t="s">
        <v>32</v>
      </c>
      <c r="C55" s="520"/>
      <c r="D55" s="518"/>
      <c r="E55" s="518"/>
      <c r="F55" s="518"/>
      <c r="G55" s="518"/>
      <c r="H55" s="518"/>
      <c r="I55" s="518"/>
      <c r="J55" s="518"/>
      <c r="K55" s="518"/>
      <c r="L55" s="518">
        <v>5</v>
      </c>
      <c r="M55" s="518"/>
      <c r="N55" s="558">
        <v>5</v>
      </c>
    </row>
    <row r="56" spans="1:14" ht="16.5" thickBot="1" x14ac:dyDescent="0.3">
      <c r="A56" s="519">
        <v>1000036</v>
      </c>
      <c r="B56" s="12" t="s">
        <v>75</v>
      </c>
      <c r="C56" s="520"/>
      <c r="D56" s="518"/>
      <c r="E56" s="518"/>
      <c r="F56" s="518"/>
      <c r="G56" s="518"/>
      <c r="H56" s="518"/>
      <c r="I56" s="518"/>
      <c r="J56" s="518"/>
      <c r="K56" s="518"/>
      <c r="L56" s="518"/>
      <c r="M56" s="518"/>
      <c r="N56" s="516">
        <f t="shared" si="0"/>
        <v>0</v>
      </c>
    </row>
    <row r="57" spans="1:14" ht="16.5" thickBot="1" x14ac:dyDescent="0.3">
      <c r="A57" s="519">
        <v>1000440</v>
      </c>
      <c r="B57" s="12" t="s">
        <v>199</v>
      </c>
      <c r="C57" s="520"/>
      <c r="D57" s="518"/>
      <c r="E57" s="518"/>
      <c r="F57" s="518"/>
      <c r="G57" s="518"/>
      <c r="H57" s="518"/>
      <c r="I57" s="518"/>
      <c r="J57" s="518"/>
      <c r="K57" s="518"/>
      <c r="L57" s="518"/>
      <c r="M57" s="518"/>
      <c r="N57" s="516">
        <f t="shared" si="0"/>
        <v>0</v>
      </c>
    </row>
    <row r="58" spans="1:14" ht="16.5" thickBot="1" x14ac:dyDescent="0.3">
      <c r="A58" s="519">
        <v>1000080</v>
      </c>
      <c r="B58" s="12" t="s">
        <v>275</v>
      </c>
      <c r="C58" s="520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6">
        <f t="shared" si="0"/>
        <v>0</v>
      </c>
    </row>
    <row r="59" spans="1:14" ht="16.5" thickBot="1" x14ac:dyDescent="0.3">
      <c r="A59" s="519">
        <v>1000436</v>
      </c>
      <c r="B59" s="12" t="s">
        <v>276</v>
      </c>
      <c r="C59" s="520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6">
        <f t="shared" si="0"/>
        <v>0</v>
      </c>
    </row>
    <row r="60" spans="1:14" ht="16.5" thickBot="1" x14ac:dyDescent="0.3">
      <c r="A60" s="519">
        <v>1000550</v>
      </c>
      <c r="B60" s="12" t="s">
        <v>277</v>
      </c>
      <c r="C60" s="520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6">
        <f t="shared" si="0"/>
        <v>0</v>
      </c>
    </row>
    <row r="61" spans="1:14" ht="16.5" thickBot="1" x14ac:dyDescent="0.3">
      <c r="A61" s="521">
        <v>1000551</v>
      </c>
      <c r="B61" s="12" t="s">
        <v>278</v>
      </c>
      <c r="C61" s="519"/>
      <c r="D61" s="518"/>
      <c r="E61" s="518"/>
      <c r="F61" s="518"/>
      <c r="G61" s="518"/>
      <c r="H61" s="518"/>
      <c r="I61" s="518"/>
      <c r="J61" s="518"/>
      <c r="K61" s="518"/>
      <c r="L61" s="518"/>
      <c r="M61" s="518"/>
      <c r="N61" s="516">
        <f t="shared" si="0"/>
        <v>0</v>
      </c>
    </row>
    <row r="62" spans="1:14" ht="16.5" thickBot="1" x14ac:dyDescent="0.3">
      <c r="A62" s="207">
        <v>1000552</v>
      </c>
      <c r="B62" s="246" t="s">
        <v>279</v>
      </c>
      <c r="C62" s="522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6">
        <f t="shared" si="0"/>
        <v>0</v>
      </c>
    </row>
    <row r="63" spans="1:14" ht="16.5" thickBot="1" x14ac:dyDescent="0.3">
      <c r="A63" s="207"/>
      <c r="B63" s="246"/>
      <c r="C63" s="522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6">
        <f t="shared" si="0"/>
        <v>0</v>
      </c>
    </row>
  </sheetData>
  <mergeCells count="3">
    <mergeCell ref="A1:B2"/>
    <mergeCell ref="C1:C2"/>
    <mergeCell ref="D1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3005-FC92-4125-A3D8-E410D4BE2259}">
  <sheetPr>
    <tabColor theme="7" tint="-0.249977111117893"/>
    <pageSetUpPr fitToPage="1"/>
  </sheetPr>
  <dimension ref="A1:U51"/>
  <sheetViews>
    <sheetView zoomScale="85" zoomScaleNormal="85" workbookViewId="0">
      <selection activeCell="Q11" sqref="Q11"/>
    </sheetView>
  </sheetViews>
  <sheetFormatPr baseColWidth="10" defaultRowHeight="15.75" x14ac:dyDescent="0.25"/>
  <cols>
    <col min="2" max="2" width="30.25" bestFit="1" customWidth="1"/>
    <col min="3" max="3" width="3" customWidth="1"/>
    <col min="5" max="5" width="2.375" customWidth="1"/>
    <col min="6" max="6" width="9.125" bestFit="1" customWidth="1"/>
    <col min="7" max="7" width="6.5" customWidth="1"/>
    <col min="8" max="8" width="9.625" bestFit="1" customWidth="1"/>
    <col min="9" max="9" width="6.5" customWidth="1"/>
    <col min="10" max="10" width="9.375" customWidth="1"/>
    <col min="11" max="11" width="6.125" customWidth="1"/>
    <col min="12" max="12" width="9.75" bestFit="1" customWidth="1"/>
    <col min="13" max="13" width="6" customWidth="1"/>
    <col min="14" max="14" width="8.625" bestFit="1" customWidth="1"/>
    <col min="15" max="15" width="6" customWidth="1"/>
    <col min="16" max="16" width="7.75" customWidth="1"/>
  </cols>
  <sheetData>
    <row r="1" spans="1:21" ht="28.5" x14ac:dyDescent="0.45">
      <c r="A1" s="686" t="s">
        <v>208</v>
      </c>
      <c r="B1" s="687"/>
      <c r="C1" s="18"/>
      <c r="D1" s="18"/>
      <c r="E1" s="82"/>
      <c r="F1" s="751" t="s">
        <v>474</v>
      </c>
      <c r="G1" s="752"/>
      <c r="H1" s="752"/>
      <c r="I1" s="752"/>
      <c r="J1" s="753"/>
      <c r="K1" s="2"/>
      <c r="N1" s="82"/>
      <c r="O1" s="82"/>
      <c r="P1" s="82"/>
    </row>
    <row r="2" spans="1:21" ht="21.75" customHeight="1" thickBot="1" x14ac:dyDescent="0.5">
      <c r="A2" s="688"/>
      <c r="B2" s="689"/>
      <c r="C2" s="18"/>
      <c r="D2" s="442" t="s">
        <v>379</v>
      </c>
      <c r="E2" s="3"/>
      <c r="F2" s="754"/>
      <c r="G2" s="755"/>
      <c r="H2" s="755"/>
      <c r="I2" s="755"/>
      <c r="J2" s="756"/>
      <c r="K2" s="2"/>
      <c r="N2" s="3"/>
      <c r="O2" s="3"/>
      <c r="P2" s="3"/>
    </row>
    <row r="3" spans="1:21" ht="29.25" thickBot="1" x14ac:dyDescent="0.3">
      <c r="A3" s="5"/>
      <c r="B3" s="5" t="s">
        <v>377</v>
      </c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6.5" thickBot="1" x14ac:dyDescent="0.3">
      <c r="A4" s="6" t="s">
        <v>0</v>
      </c>
      <c r="B4" s="6" t="s">
        <v>105</v>
      </c>
      <c r="C4" s="4"/>
      <c r="D4" s="21" t="s">
        <v>106</v>
      </c>
      <c r="E4" s="82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21" ht="16.5" thickBot="1" x14ac:dyDescent="0.3">
      <c r="A5" s="83">
        <v>10000015</v>
      </c>
      <c r="B5" s="11" t="s">
        <v>1</v>
      </c>
      <c r="C5" s="84"/>
      <c r="D5" s="85">
        <v>5</v>
      </c>
      <c r="E5" s="82"/>
      <c r="F5" s="86"/>
      <c r="G5" s="86"/>
      <c r="H5" s="86"/>
      <c r="I5" s="86"/>
      <c r="J5" s="86"/>
      <c r="K5" s="86"/>
      <c r="L5" s="86"/>
      <c r="M5" s="86"/>
      <c r="N5" s="86"/>
      <c r="O5" s="86"/>
      <c r="P5" s="83">
        <f t="shared" ref="P5:P51" si="0">SUM(F5:O5)</f>
        <v>0</v>
      </c>
    </row>
    <row r="6" spans="1:21" ht="16.5" thickBot="1" x14ac:dyDescent="0.3">
      <c r="A6" s="87">
        <v>1000006</v>
      </c>
      <c r="B6" s="12" t="s">
        <v>4</v>
      </c>
      <c r="C6" s="84"/>
      <c r="D6" s="88">
        <v>500</v>
      </c>
      <c r="E6" s="82"/>
      <c r="F6" s="86"/>
      <c r="G6" s="86"/>
      <c r="H6" s="86"/>
      <c r="I6" s="86"/>
      <c r="J6" s="86"/>
      <c r="K6" s="86"/>
      <c r="L6" s="86"/>
      <c r="M6" s="86"/>
      <c r="N6" s="86"/>
      <c r="O6" s="86"/>
      <c r="P6" s="83">
        <f t="shared" si="0"/>
        <v>0</v>
      </c>
      <c r="U6" t="s">
        <v>336</v>
      </c>
    </row>
    <row r="7" spans="1:21" ht="16.5" thickBot="1" x14ac:dyDescent="0.3">
      <c r="A7" s="87">
        <v>1000007</v>
      </c>
      <c r="B7" s="12" t="s">
        <v>5</v>
      </c>
      <c r="C7" s="84"/>
      <c r="D7" s="88">
        <v>100</v>
      </c>
      <c r="E7" s="82"/>
      <c r="F7" s="86">
        <v>50</v>
      </c>
      <c r="G7" s="86"/>
      <c r="H7" s="86">
        <v>50</v>
      </c>
      <c r="I7" s="86"/>
      <c r="J7" s="86">
        <v>50</v>
      </c>
      <c r="K7" s="86"/>
      <c r="L7" s="86"/>
      <c r="M7" s="86"/>
      <c r="N7" s="86">
        <v>50</v>
      </c>
      <c r="O7" s="86"/>
      <c r="P7" s="526">
        <f t="shared" si="0"/>
        <v>200</v>
      </c>
    </row>
    <row r="8" spans="1:21" ht="16.5" thickBot="1" x14ac:dyDescent="0.3">
      <c r="A8" s="87">
        <v>1000008</v>
      </c>
      <c r="B8" s="12" t="s">
        <v>7</v>
      </c>
      <c r="C8" s="84"/>
      <c r="D8" s="88">
        <v>80</v>
      </c>
      <c r="E8" s="82"/>
      <c r="F8" s="86"/>
      <c r="G8" s="86"/>
      <c r="H8" s="86">
        <v>50</v>
      </c>
      <c r="I8" s="86"/>
      <c r="J8" s="86">
        <v>50</v>
      </c>
      <c r="K8" s="86"/>
      <c r="L8" s="86"/>
      <c r="M8" s="86"/>
      <c r="N8" s="86"/>
      <c r="O8" s="86"/>
      <c r="P8" s="526">
        <f t="shared" si="0"/>
        <v>100</v>
      </c>
    </row>
    <row r="9" spans="1:21" ht="16.5" thickBot="1" x14ac:dyDescent="0.3">
      <c r="A9" s="87">
        <v>1000001</v>
      </c>
      <c r="B9" s="12" t="s">
        <v>8</v>
      </c>
      <c r="C9" s="84"/>
      <c r="D9" s="88">
        <v>5</v>
      </c>
      <c r="E9" s="82"/>
      <c r="F9" s="86">
        <v>2</v>
      </c>
      <c r="G9" s="86"/>
      <c r="H9" s="86">
        <v>2</v>
      </c>
      <c r="I9" s="86"/>
      <c r="J9" s="86">
        <v>1</v>
      </c>
      <c r="K9" s="86"/>
      <c r="L9" s="86"/>
      <c r="M9" s="86"/>
      <c r="N9" s="86">
        <v>1</v>
      </c>
      <c r="O9" s="86"/>
      <c r="P9" s="526">
        <f t="shared" si="0"/>
        <v>6</v>
      </c>
    </row>
    <row r="10" spans="1:21" ht="16.5" thickBot="1" x14ac:dyDescent="0.3">
      <c r="A10" s="87">
        <v>1000002</v>
      </c>
      <c r="B10" s="12" t="s">
        <v>9</v>
      </c>
      <c r="C10" s="84"/>
      <c r="D10" s="88">
        <v>1</v>
      </c>
      <c r="E10" s="82"/>
      <c r="F10" s="86">
        <v>1</v>
      </c>
      <c r="G10" s="86"/>
      <c r="H10" s="86"/>
      <c r="I10" s="86"/>
      <c r="J10" s="86"/>
      <c r="K10" s="86"/>
      <c r="L10" s="86"/>
      <c r="M10" s="86"/>
      <c r="N10" s="86">
        <v>1</v>
      </c>
      <c r="O10" s="86"/>
      <c r="P10" s="526">
        <f t="shared" si="0"/>
        <v>2</v>
      </c>
    </row>
    <row r="11" spans="1:21" ht="16.5" thickBot="1" x14ac:dyDescent="0.3">
      <c r="A11" s="87">
        <v>1000004</v>
      </c>
      <c r="B11" s="12" t="s">
        <v>10</v>
      </c>
      <c r="C11" s="84"/>
      <c r="D11" s="88">
        <v>3</v>
      </c>
      <c r="E11" s="82"/>
      <c r="F11" s="86">
        <v>2</v>
      </c>
      <c r="G11" s="86"/>
      <c r="H11" s="86">
        <v>2</v>
      </c>
      <c r="I11" s="86"/>
      <c r="J11" s="86">
        <v>2</v>
      </c>
      <c r="K11" s="86"/>
      <c r="L11" s="86"/>
      <c r="M11" s="86"/>
      <c r="N11" s="86">
        <v>1</v>
      </c>
      <c r="O11" s="86"/>
      <c r="P11" s="526">
        <f t="shared" si="0"/>
        <v>7</v>
      </c>
    </row>
    <row r="12" spans="1:21" ht="16.5" thickBot="1" x14ac:dyDescent="0.3">
      <c r="A12" s="87">
        <v>1000054</v>
      </c>
      <c r="B12" s="12" t="s">
        <v>12</v>
      </c>
      <c r="C12" s="84"/>
      <c r="D12" s="88">
        <v>35</v>
      </c>
      <c r="E12" s="82"/>
      <c r="F12" s="86"/>
      <c r="G12" s="86"/>
      <c r="H12" s="86">
        <v>5</v>
      </c>
      <c r="I12" s="86"/>
      <c r="J12" s="86"/>
      <c r="K12" s="86"/>
      <c r="L12" s="86"/>
      <c r="M12" s="86"/>
      <c r="N12" s="86">
        <v>5</v>
      </c>
      <c r="O12" s="86"/>
      <c r="P12" s="526">
        <f t="shared" si="0"/>
        <v>10</v>
      </c>
    </row>
    <row r="13" spans="1:21" ht="16.5" thickBot="1" x14ac:dyDescent="0.3">
      <c r="A13" s="87">
        <v>1000070</v>
      </c>
      <c r="B13" s="12" t="s">
        <v>13</v>
      </c>
      <c r="C13" s="84"/>
      <c r="D13" s="88">
        <v>0</v>
      </c>
      <c r="E13" s="82"/>
      <c r="F13" s="86">
        <v>1</v>
      </c>
      <c r="G13" s="86"/>
      <c r="H13" s="86"/>
      <c r="I13" s="86"/>
      <c r="J13" s="86"/>
      <c r="K13" s="86"/>
      <c r="L13" s="86"/>
      <c r="M13" s="86"/>
      <c r="N13" s="86">
        <v>1</v>
      </c>
      <c r="O13" s="86"/>
      <c r="P13" s="526">
        <f t="shared" si="0"/>
        <v>2</v>
      </c>
    </row>
    <row r="14" spans="1:21" ht="16.5" thickBot="1" x14ac:dyDescent="0.3">
      <c r="A14" s="87">
        <v>1000017</v>
      </c>
      <c r="B14" s="12" t="s">
        <v>14</v>
      </c>
      <c r="C14" s="84"/>
      <c r="D14" s="88">
        <v>50</v>
      </c>
      <c r="E14" s="82"/>
      <c r="F14" s="86">
        <v>5</v>
      </c>
      <c r="G14" s="86"/>
      <c r="H14" s="86">
        <v>10</v>
      </c>
      <c r="I14" s="86"/>
      <c r="J14" s="86">
        <v>10</v>
      </c>
      <c r="K14" s="86"/>
      <c r="L14" s="86"/>
      <c r="M14" s="86"/>
      <c r="N14" s="86">
        <v>10</v>
      </c>
      <c r="O14" s="86"/>
      <c r="P14" s="526">
        <f t="shared" si="0"/>
        <v>35</v>
      </c>
    </row>
    <row r="15" spans="1:21" ht="16.5" thickBot="1" x14ac:dyDescent="0.3">
      <c r="A15" s="87">
        <v>1000016</v>
      </c>
      <c r="B15" s="12" t="s">
        <v>15</v>
      </c>
      <c r="C15" s="84"/>
      <c r="D15" s="88">
        <v>5</v>
      </c>
      <c r="E15" s="82"/>
      <c r="F15" s="86">
        <v>5</v>
      </c>
      <c r="G15" s="86"/>
      <c r="H15" s="86"/>
      <c r="I15" s="86"/>
      <c r="J15" s="86">
        <v>5</v>
      </c>
      <c r="K15" s="86"/>
      <c r="L15" s="86"/>
      <c r="M15" s="86"/>
      <c r="N15" s="86"/>
      <c r="O15" s="86"/>
      <c r="P15" s="526">
        <f t="shared" si="0"/>
        <v>10</v>
      </c>
    </row>
    <row r="16" spans="1:21" ht="16.5" thickBot="1" x14ac:dyDescent="0.3">
      <c r="A16" s="87">
        <v>1000049</v>
      </c>
      <c r="B16" s="13" t="s">
        <v>21</v>
      </c>
      <c r="C16" s="84"/>
      <c r="D16" s="88">
        <v>1</v>
      </c>
      <c r="E16" s="82"/>
      <c r="F16" s="86"/>
      <c r="G16" s="86"/>
      <c r="H16" s="86">
        <v>1</v>
      </c>
      <c r="I16" s="86"/>
      <c r="J16" s="86">
        <v>1</v>
      </c>
      <c r="K16" s="86"/>
      <c r="L16" s="86"/>
      <c r="M16" s="86"/>
      <c r="N16" s="86">
        <v>1</v>
      </c>
      <c r="O16" s="86"/>
      <c r="P16" s="526">
        <f t="shared" si="0"/>
        <v>3</v>
      </c>
    </row>
    <row r="17" spans="1:16" ht="16.5" thickBot="1" x14ac:dyDescent="0.3">
      <c r="A17" s="87">
        <v>1000050</v>
      </c>
      <c r="B17" s="12" t="s">
        <v>22</v>
      </c>
      <c r="C17" s="84"/>
      <c r="D17" s="88">
        <v>1</v>
      </c>
      <c r="E17" s="82"/>
      <c r="F17" s="86"/>
      <c r="G17" s="86"/>
      <c r="H17" s="86">
        <v>1</v>
      </c>
      <c r="I17" s="86"/>
      <c r="J17" s="86">
        <v>1</v>
      </c>
      <c r="K17" s="86"/>
      <c r="L17" s="86"/>
      <c r="M17" s="86"/>
      <c r="N17" s="86">
        <v>1</v>
      </c>
      <c r="O17" s="86"/>
      <c r="P17" s="526">
        <f t="shared" si="0"/>
        <v>3</v>
      </c>
    </row>
    <row r="18" spans="1:16" ht="16.5" thickBot="1" x14ac:dyDescent="0.3">
      <c r="A18" s="87">
        <v>1000031</v>
      </c>
      <c r="B18" s="14" t="s">
        <v>25</v>
      </c>
      <c r="C18" s="84"/>
      <c r="D18" s="88">
        <v>2</v>
      </c>
      <c r="E18" s="82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3">
        <f t="shared" si="0"/>
        <v>0</v>
      </c>
    </row>
    <row r="19" spans="1:16" ht="16.5" thickBot="1" x14ac:dyDescent="0.3">
      <c r="A19" s="87">
        <v>1000026</v>
      </c>
      <c r="B19" s="12" t="s">
        <v>31</v>
      </c>
      <c r="C19" s="84"/>
      <c r="D19" s="88">
        <v>1</v>
      </c>
      <c r="E19" s="82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3">
        <f t="shared" si="0"/>
        <v>0</v>
      </c>
    </row>
    <row r="20" spans="1:16" ht="16.5" thickBot="1" x14ac:dyDescent="0.3">
      <c r="A20" s="87">
        <v>1000025</v>
      </c>
      <c r="B20" s="12" t="s">
        <v>32</v>
      </c>
      <c r="C20" s="84"/>
      <c r="D20" s="88">
        <v>6</v>
      </c>
      <c r="E20" s="82"/>
      <c r="F20" s="86"/>
      <c r="G20" s="86"/>
      <c r="H20" s="86"/>
      <c r="I20" s="86"/>
      <c r="J20" s="86">
        <v>5</v>
      </c>
      <c r="K20" s="86"/>
      <c r="L20" s="86"/>
      <c r="M20" s="86"/>
      <c r="N20" s="86"/>
      <c r="O20" s="86"/>
      <c r="P20" s="526">
        <f t="shared" si="0"/>
        <v>5</v>
      </c>
    </row>
    <row r="21" spans="1:16" ht="16.5" thickBot="1" x14ac:dyDescent="0.3">
      <c r="A21" s="87">
        <v>1000100</v>
      </c>
      <c r="B21" s="12" t="s">
        <v>34</v>
      </c>
      <c r="C21" s="84"/>
      <c r="D21" s="88">
        <v>0</v>
      </c>
      <c r="E21" s="82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3">
        <f t="shared" si="0"/>
        <v>0</v>
      </c>
    </row>
    <row r="22" spans="1:16" ht="16.5" thickBot="1" x14ac:dyDescent="0.3">
      <c r="A22" s="87">
        <v>1000082</v>
      </c>
      <c r="B22" s="12" t="s">
        <v>37</v>
      </c>
      <c r="C22" s="84"/>
      <c r="D22" s="88">
        <v>90</v>
      </c>
      <c r="E22" s="82"/>
      <c r="F22" s="86"/>
      <c r="G22" s="86"/>
      <c r="H22" s="86">
        <v>8</v>
      </c>
      <c r="I22" s="86"/>
      <c r="J22" s="86">
        <v>8</v>
      </c>
      <c r="K22" s="86"/>
      <c r="L22" s="86"/>
      <c r="M22" s="86"/>
      <c r="N22" s="86">
        <v>8</v>
      </c>
      <c r="O22" s="86"/>
      <c r="P22" s="526">
        <f t="shared" si="0"/>
        <v>24</v>
      </c>
    </row>
    <row r="23" spans="1:16" ht="16.5" thickBot="1" x14ac:dyDescent="0.3">
      <c r="A23" s="87">
        <v>1000084</v>
      </c>
      <c r="B23" s="12" t="s">
        <v>38</v>
      </c>
      <c r="C23" s="84"/>
      <c r="D23" s="88">
        <v>40</v>
      </c>
      <c r="E23" s="82"/>
      <c r="F23" s="86">
        <v>8</v>
      </c>
      <c r="G23" s="86"/>
      <c r="H23" s="86">
        <v>8</v>
      </c>
      <c r="I23" s="86"/>
      <c r="J23" s="86">
        <v>4</v>
      </c>
      <c r="K23" s="86"/>
      <c r="L23" s="86"/>
      <c r="M23" s="86"/>
      <c r="N23" s="86">
        <v>4</v>
      </c>
      <c r="O23" s="86"/>
      <c r="P23" s="526">
        <f t="shared" si="0"/>
        <v>24</v>
      </c>
    </row>
    <row r="24" spans="1:16" ht="16.5" thickBot="1" x14ac:dyDescent="0.3">
      <c r="A24" s="87">
        <v>1000146</v>
      </c>
      <c r="B24" s="12" t="s">
        <v>39</v>
      </c>
      <c r="C24" s="84"/>
      <c r="D24" s="88">
        <v>27</v>
      </c>
      <c r="E24" s="82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3">
        <f t="shared" si="0"/>
        <v>0</v>
      </c>
    </row>
    <row r="25" spans="1:16" ht="16.5" thickBot="1" x14ac:dyDescent="0.3">
      <c r="A25" s="87">
        <v>10248</v>
      </c>
      <c r="B25" s="12" t="s">
        <v>183</v>
      </c>
      <c r="C25" s="84"/>
      <c r="D25" s="88">
        <v>0</v>
      </c>
      <c r="E25" s="82"/>
      <c r="F25" s="86">
        <v>3</v>
      </c>
      <c r="G25" s="86"/>
      <c r="H25" s="86">
        <v>3</v>
      </c>
      <c r="I25" s="86"/>
      <c r="J25" s="86">
        <v>3</v>
      </c>
      <c r="K25" s="86"/>
      <c r="L25" s="86"/>
      <c r="M25" s="86"/>
      <c r="N25" s="86">
        <v>3</v>
      </c>
      <c r="O25" s="86"/>
      <c r="P25" s="526">
        <f t="shared" si="0"/>
        <v>12</v>
      </c>
    </row>
    <row r="26" spans="1:16" ht="16.5" thickBot="1" x14ac:dyDescent="0.3">
      <c r="A26" s="87">
        <v>1000090</v>
      </c>
      <c r="B26" s="12" t="s">
        <v>40</v>
      </c>
      <c r="C26" s="84"/>
      <c r="D26" s="88">
        <v>1</v>
      </c>
      <c r="E26" s="82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3">
        <f t="shared" si="0"/>
        <v>0</v>
      </c>
    </row>
    <row r="27" spans="1:16" ht="16.5" thickBot="1" x14ac:dyDescent="0.3">
      <c r="A27" s="87">
        <v>1000052</v>
      </c>
      <c r="B27" s="12" t="s">
        <v>41</v>
      </c>
      <c r="C27" s="84"/>
      <c r="D27" s="88">
        <v>3</v>
      </c>
      <c r="E27" s="82"/>
      <c r="F27" s="86"/>
      <c r="G27" s="86"/>
      <c r="H27" s="86"/>
      <c r="I27" s="86"/>
      <c r="J27" s="86"/>
      <c r="K27" s="86"/>
      <c r="L27" s="86"/>
      <c r="M27" s="86"/>
      <c r="N27" s="86">
        <v>1</v>
      </c>
      <c r="O27" s="86"/>
      <c r="P27" s="526">
        <f t="shared" si="0"/>
        <v>1</v>
      </c>
    </row>
    <row r="28" spans="1:16" ht="16.5" thickBot="1" x14ac:dyDescent="0.3">
      <c r="A28" s="87">
        <v>1000089</v>
      </c>
      <c r="B28" s="12" t="s">
        <v>42</v>
      </c>
      <c r="C28" s="84"/>
      <c r="D28" s="88">
        <v>3</v>
      </c>
      <c r="E28" s="82"/>
      <c r="F28" s="86">
        <v>1</v>
      </c>
      <c r="G28" s="86"/>
      <c r="H28" s="86"/>
      <c r="I28" s="86"/>
      <c r="J28" s="86"/>
      <c r="K28" s="86"/>
      <c r="L28" s="86"/>
      <c r="M28" s="86"/>
      <c r="N28" s="86">
        <v>1</v>
      </c>
      <c r="O28" s="86"/>
      <c r="P28" s="526">
        <f t="shared" si="0"/>
        <v>2</v>
      </c>
    </row>
    <row r="29" spans="1:16" ht="16.5" thickBot="1" x14ac:dyDescent="0.3">
      <c r="A29" s="87">
        <v>1000051</v>
      </c>
      <c r="B29" s="12" t="s">
        <v>43</v>
      </c>
      <c r="C29" s="84"/>
      <c r="D29" s="88">
        <v>2</v>
      </c>
      <c r="E29" s="82"/>
      <c r="F29" s="86">
        <v>1</v>
      </c>
      <c r="G29" s="86"/>
      <c r="H29" s="86"/>
      <c r="I29" s="86"/>
      <c r="J29" s="86"/>
      <c r="K29" s="86"/>
      <c r="L29" s="86"/>
      <c r="M29" s="86"/>
      <c r="N29" s="86">
        <v>1</v>
      </c>
      <c r="O29" s="86"/>
      <c r="P29" s="526">
        <f t="shared" si="0"/>
        <v>2</v>
      </c>
    </row>
    <row r="30" spans="1:16" ht="16.5" thickBot="1" x14ac:dyDescent="0.3">
      <c r="A30" s="87">
        <v>1000048</v>
      </c>
      <c r="B30" s="12" t="s">
        <v>45</v>
      </c>
      <c r="C30" s="84"/>
      <c r="D30" s="88">
        <v>0</v>
      </c>
      <c r="E30" s="82"/>
      <c r="F30" s="86">
        <v>1</v>
      </c>
      <c r="G30" s="86"/>
      <c r="H30" s="86">
        <v>1</v>
      </c>
      <c r="I30" s="86"/>
      <c r="J30" s="86"/>
      <c r="K30" s="86"/>
      <c r="L30" s="86"/>
      <c r="M30" s="86"/>
      <c r="N30" s="86"/>
      <c r="O30" s="86"/>
      <c r="P30" s="526">
        <f t="shared" si="0"/>
        <v>2</v>
      </c>
    </row>
    <row r="31" spans="1:16" ht="16.5" thickBot="1" x14ac:dyDescent="0.3">
      <c r="A31" s="87">
        <v>1000076</v>
      </c>
      <c r="B31" s="12" t="s">
        <v>46</v>
      </c>
      <c r="C31" s="84"/>
      <c r="D31" s="88">
        <v>0</v>
      </c>
      <c r="E31" s="82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3">
        <f t="shared" si="0"/>
        <v>0</v>
      </c>
    </row>
    <row r="32" spans="1:16" ht="16.5" thickBot="1" x14ac:dyDescent="0.3">
      <c r="A32" s="87">
        <v>1000075</v>
      </c>
      <c r="B32" s="12" t="s">
        <v>47</v>
      </c>
      <c r="C32" s="84"/>
      <c r="D32" s="88">
        <v>0</v>
      </c>
      <c r="E32" s="82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3">
        <f t="shared" si="0"/>
        <v>0</v>
      </c>
    </row>
    <row r="33" spans="1:16" ht="16.5" thickBot="1" x14ac:dyDescent="0.3">
      <c r="A33" s="87">
        <v>1000033</v>
      </c>
      <c r="B33" s="12" t="s">
        <v>27</v>
      </c>
      <c r="C33" s="84"/>
      <c r="D33" s="88"/>
      <c r="E33" s="82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3">
        <f t="shared" si="0"/>
        <v>0</v>
      </c>
    </row>
    <row r="34" spans="1:16" ht="16.5" thickBot="1" x14ac:dyDescent="0.3">
      <c r="A34" s="87">
        <v>1000067</v>
      </c>
      <c r="B34" s="12" t="s">
        <v>11</v>
      </c>
      <c r="C34" s="84"/>
      <c r="D34" s="88"/>
      <c r="E34" s="82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3">
        <f t="shared" si="0"/>
        <v>0</v>
      </c>
    </row>
    <row r="35" spans="1:16" ht="16.5" thickBot="1" x14ac:dyDescent="0.3">
      <c r="A35" s="87">
        <v>1000029</v>
      </c>
      <c r="B35" s="12" t="s">
        <v>30</v>
      </c>
      <c r="C35" s="84"/>
      <c r="D35" s="88"/>
      <c r="E35" s="82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3">
        <f t="shared" si="0"/>
        <v>0</v>
      </c>
    </row>
    <row r="36" spans="1:16" ht="16.5" thickBot="1" x14ac:dyDescent="0.3">
      <c r="A36" s="87">
        <v>1000073</v>
      </c>
      <c r="B36" s="12" t="s">
        <v>36</v>
      </c>
      <c r="C36" s="84"/>
      <c r="D36" s="88"/>
      <c r="E36" s="82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3">
        <f t="shared" si="0"/>
        <v>0</v>
      </c>
    </row>
    <row r="37" spans="1:16" ht="16.5" thickBot="1" x14ac:dyDescent="0.3">
      <c r="A37" s="87">
        <v>1000142</v>
      </c>
      <c r="B37" s="12" t="s">
        <v>54</v>
      </c>
      <c r="C37" s="84"/>
      <c r="D37" s="88"/>
      <c r="E37" s="82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3">
        <f t="shared" si="0"/>
        <v>0</v>
      </c>
    </row>
    <row r="38" spans="1:16" ht="16.5" thickBot="1" x14ac:dyDescent="0.3">
      <c r="A38" s="87">
        <v>1000147</v>
      </c>
      <c r="B38" s="12" t="s">
        <v>52</v>
      </c>
      <c r="C38" s="84"/>
      <c r="D38" s="88"/>
      <c r="E38" s="82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3">
        <f t="shared" si="0"/>
        <v>0</v>
      </c>
    </row>
    <row r="39" spans="1:16" ht="16.5" thickBot="1" x14ac:dyDescent="0.3">
      <c r="A39" s="87">
        <v>10211</v>
      </c>
      <c r="B39" s="12" t="s">
        <v>3</v>
      </c>
      <c r="C39" s="84"/>
      <c r="D39" s="88"/>
      <c r="E39" s="82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3">
        <f t="shared" si="0"/>
        <v>0</v>
      </c>
    </row>
    <row r="40" spans="1:16" ht="16.5" thickBot="1" x14ac:dyDescent="0.3">
      <c r="A40" s="87">
        <v>10212</v>
      </c>
      <c r="B40" s="12" t="s">
        <v>6</v>
      </c>
      <c r="C40" s="84"/>
      <c r="D40" s="88"/>
      <c r="E40" s="82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3">
        <f t="shared" si="0"/>
        <v>0</v>
      </c>
    </row>
    <row r="41" spans="1:16" ht="16.5" thickBot="1" x14ac:dyDescent="0.3">
      <c r="A41" s="87">
        <v>10249</v>
      </c>
      <c r="B41" s="12" t="s">
        <v>181</v>
      </c>
      <c r="C41" s="84"/>
      <c r="D41" s="88"/>
      <c r="E41" s="82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3">
        <f t="shared" si="0"/>
        <v>0</v>
      </c>
    </row>
    <row r="42" spans="1:16" ht="16.5" thickBot="1" x14ac:dyDescent="0.3">
      <c r="A42" s="87">
        <v>10231</v>
      </c>
      <c r="B42" s="12" t="s">
        <v>86</v>
      </c>
      <c r="C42" s="84"/>
      <c r="D42" s="88"/>
      <c r="E42" s="82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3">
        <f t="shared" si="0"/>
        <v>0</v>
      </c>
    </row>
    <row r="43" spans="1:16" ht="16.5" thickBot="1" x14ac:dyDescent="0.3">
      <c r="A43" s="87">
        <v>10000102</v>
      </c>
      <c r="B43" s="12" t="s">
        <v>2</v>
      </c>
      <c r="C43" s="84"/>
      <c r="D43" s="88"/>
      <c r="E43" s="82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3">
        <f t="shared" si="0"/>
        <v>0</v>
      </c>
    </row>
    <row r="44" spans="1:16" ht="16.5" thickBot="1" x14ac:dyDescent="0.3">
      <c r="A44" s="87">
        <v>1000214</v>
      </c>
      <c r="B44" s="12" t="s">
        <v>49</v>
      </c>
      <c r="C44" s="84"/>
      <c r="D44" s="88"/>
      <c r="E44" s="82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3">
        <f t="shared" si="0"/>
        <v>0</v>
      </c>
    </row>
    <row r="45" spans="1:16" ht="16.5" thickBot="1" x14ac:dyDescent="0.3">
      <c r="A45" s="87">
        <v>1000472</v>
      </c>
      <c r="B45" s="12" t="s">
        <v>222</v>
      </c>
      <c r="C45" s="84"/>
      <c r="D45" s="88"/>
      <c r="E45" s="82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3">
        <f t="shared" si="0"/>
        <v>0</v>
      </c>
    </row>
    <row r="46" spans="1:16" ht="16.5" thickBot="1" x14ac:dyDescent="0.3">
      <c r="A46" s="87">
        <v>1000383</v>
      </c>
      <c r="B46" s="12" t="s">
        <v>264</v>
      </c>
      <c r="C46" s="84"/>
      <c r="D46" s="88"/>
      <c r="E46" s="82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3">
        <f t="shared" si="0"/>
        <v>0</v>
      </c>
    </row>
    <row r="47" spans="1:16" ht="16.5" thickBot="1" x14ac:dyDescent="0.3">
      <c r="A47" s="87">
        <v>1000080</v>
      </c>
      <c r="B47" s="12" t="s">
        <v>275</v>
      </c>
      <c r="C47" s="84"/>
      <c r="D47" s="88"/>
      <c r="E47" s="82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3">
        <f t="shared" si="0"/>
        <v>0</v>
      </c>
    </row>
    <row r="48" spans="1:16" ht="16.5" thickBot="1" x14ac:dyDescent="0.3">
      <c r="A48" s="87">
        <v>1000436</v>
      </c>
      <c r="B48" s="12" t="s">
        <v>276</v>
      </c>
      <c r="C48" s="84"/>
      <c r="D48" s="88"/>
      <c r="E48" s="82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3">
        <f t="shared" si="0"/>
        <v>0</v>
      </c>
    </row>
    <row r="49" spans="1:16" ht="16.5" thickBot="1" x14ac:dyDescent="0.3">
      <c r="A49" s="87">
        <v>1000550</v>
      </c>
      <c r="B49" s="12" t="s">
        <v>277</v>
      </c>
      <c r="C49" s="84"/>
      <c r="D49" s="88"/>
      <c r="E49" s="82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3">
        <f t="shared" si="0"/>
        <v>0</v>
      </c>
    </row>
    <row r="50" spans="1:16" ht="16.5" thickBot="1" x14ac:dyDescent="0.3">
      <c r="A50" s="36">
        <v>1000551</v>
      </c>
      <c r="B50" s="12" t="s">
        <v>278</v>
      </c>
      <c r="D50" s="35"/>
      <c r="E50" s="215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3">
        <f t="shared" si="0"/>
        <v>0</v>
      </c>
    </row>
    <row r="51" spans="1:16" ht="16.5" thickBot="1" x14ac:dyDescent="0.3">
      <c r="A51" s="207">
        <v>1000552</v>
      </c>
      <c r="B51" s="246" t="s">
        <v>279</v>
      </c>
      <c r="D51" s="38"/>
      <c r="E51" s="215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3">
        <f t="shared" si="0"/>
        <v>0</v>
      </c>
    </row>
  </sheetData>
  <mergeCells count="2">
    <mergeCell ref="A1:B2"/>
    <mergeCell ref="F1:J2"/>
  </mergeCells>
  <phoneticPr fontId="108" type="noConversion"/>
  <pageMargins left="1" right="1" top="1" bottom="1" header="0.5" footer="0.5"/>
  <pageSetup paperSize="9" scale="53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FBCC-1468-41B6-B7C4-8471BC3D6519}">
  <sheetPr>
    <tabColor theme="7" tint="-0.249977111117893"/>
    <pageSetUpPr fitToPage="1"/>
  </sheetPr>
  <dimension ref="A1:P59"/>
  <sheetViews>
    <sheetView zoomScale="70" zoomScaleNormal="70" workbookViewId="0">
      <selection activeCell="R19" sqref="R19"/>
    </sheetView>
  </sheetViews>
  <sheetFormatPr baseColWidth="10" defaultColWidth="10.875" defaultRowHeight="15" x14ac:dyDescent="0.25"/>
  <cols>
    <col min="1" max="1" width="9.75" style="27" customWidth="1"/>
    <col min="2" max="2" width="37.1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7.25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7.25" style="27" customWidth="1"/>
    <col min="14" max="14" width="9.125" style="27" bestFit="1" customWidth="1"/>
    <col min="15" max="15" width="7.5" style="27" customWidth="1"/>
    <col min="16" max="16384" width="10.875" style="27"/>
  </cols>
  <sheetData>
    <row r="1" spans="1:16" ht="15" customHeight="1" x14ac:dyDescent="0.45">
      <c r="A1" s="686" t="s">
        <v>142</v>
      </c>
      <c r="B1" s="687"/>
      <c r="C1" s="18"/>
      <c r="D1" s="18"/>
      <c r="F1" s="751" t="s">
        <v>478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39" t="s">
        <v>379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5" t="s">
        <v>378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>
        <f t="shared" ref="P4:P59" si="0">SUM(F4:O4)</f>
        <v>0</v>
      </c>
    </row>
    <row r="5" spans="1:16" ht="15.75" thickBot="1" x14ac:dyDescent="0.3">
      <c r="A5" s="30">
        <v>1000006</v>
      </c>
      <c r="B5" s="11" t="s">
        <v>4</v>
      </c>
      <c r="C5" s="41"/>
      <c r="D5" s="48">
        <v>250</v>
      </c>
      <c r="F5" s="28">
        <v>150</v>
      </c>
      <c r="G5" s="28"/>
      <c r="H5" s="28">
        <v>150</v>
      </c>
      <c r="I5" s="28"/>
      <c r="J5" s="28">
        <v>150</v>
      </c>
      <c r="K5" s="28"/>
      <c r="L5" s="28">
        <v>150</v>
      </c>
      <c r="M5" s="28"/>
      <c r="N5" s="28">
        <v>150</v>
      </c>
      <c r="O5" s="28"/>
      <c r="P5" s="418">
        <f t="shared" si="0"/>
        <v>750</v>
      </c>
    </row>
    <row r="6" spans="1:16" ht="15.75" thickBot="1" x14ac:dyDescent="0.3">
      <c r="A6" s="35">
        <v>1000007</v>
      </c>
      <c r="B6" s="12" t="s">
        <v>5</v>
      </c>
      <c r="C6" s="41"/>
      <c r="D6" s="47">
        <v>200</v>
      </c>
      <c r="F6" s="28">
        <v>150</v>
      </c>
      <c r="G6" s="28"/>
      <c r="H6" s="28">
        <v>150</v>
      </c>
      <c r="I6" s="28"/>
      <c r="J6" s="28">
        <v>150</v>
      </c>
      <c r="K6" s="28"/>
      <c r="L6" s="28">
        <v>150</v>
      </c>
      <c r="M6" s="28"/>
      <c r="N6" s="28">
        <v>150</v>
      </c>
      <c r="O6" s="28"/>
      <c r="P6" s="418">
        <f t="shared" si="0"/>
        <v>750</v>
      </c>
    </row>
    <row r="7" spans="1:16" ht="15.75" thickBot="1" x14ac:dyDescent="0.3">
      <c r="A7" s="35">
        <v>1000008</v>
      </c>
      <c r="B7" s="12" t="s">
        <v>7</v>
      </c>
      <c r="C7" s="41"/>
      <c r="D7" s="47">
        <v>70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>
        <v>50</v>
      </c>
      <c r="O7" s="28"/>
      <c r="P7" s="418">
        <f t="shared" si="0"/>
        <v>250</v>
      </c>
    </row>
    <row r="8" spans="1:16" ht="15.75" thickBot="1" x14ac:dyDescent="0.3">
      <c r="A8" s="35">
        <v>1000001</v>
      </c>
      <c r="B8" s="12" t="s">
        <v>8</v>
      </c>
      <c r="C8" s="41"/>
      <c r="D8" s="47">
        <v>3</v>
      </c>
      <c r="F8" s="28">
        <v>3</v>
      </c>
      <c r="G8" s="28"/>
      <c r="H8" s="28">
        <v>3</v>
      </c>
      <c r="I8" s="28"/>
      <c r="J8" s="28">
        <v>3</v>
      </c>
      <c r="K8" s="28"/>
      <c r="L8" s="28">
        <v>3</v>
      </c>
      <c r="M8" s="28"/>
      <c r="N8" s="28">
        <v>3</v>
      </c>
      <c r="O8" s="28"/>
      <c r="P8" s="418">
        <f t="shared" si="0"/>
        <v>15</v>
      </c>
    </row>
    <row r="9" spans="1:16" ht="15.75" thickBot="1" x14ac:dyDescent="0.3">
      <c r="A9" s="35">
        <v>1000002</v>
      </c>
      <c r="B9" s="12" t="s">
        <v>9</v>
      </c>
      <c r="C9" s="41"/>
      <c r="D9" s="47">
        <v>2</v>
      </c>
      <c r="F9" s="28">
        <v>2</v>
      </c>
      <c r="G9" s="28"/>
      <c r="H9" s="28">
        <v>3</v>
      </c>
      <c r="I9" s="28"/>
      <c r="J9" s="28"/>
      <c r="K9" s="28"/>
      <c r="L9" s="28"/>
      <c r="M9" s="28"/>
      <c r="N9" s="28">
        <v>2</v>
      </c>
      <c r="O9" s="28"/>
      <c r="P9" s="418">
        <f t="shared" si="0"/>
        <v>7</v>
      </c>
    </row>
    <row r="10" spans="1:16" ht="15.75" thickBot="1" x14ac:dyDescent="0.3">
      <c r="A10" s="35">
        <v>1000067</v>
      </c>
      <c r="B10" s="12" t="s">
        <v>11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418">
        <f t="shared" si="0"/>
        <v>0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70</v>
      </c>
      <c r="F11" s="28">
        <v>10</v>
      </c>
      <c r="G11" s="28"/>
      <c r="H11" s="28">
        <v>15</v>
      </c>
      <c r="I11" s="28"/>
      <c r="J11" s="28">
        <v>10</v>
      </c>
      <c r="K11" s="28"/>
      <c r="L11" s="28">
        <v>10</v>
      </c>
      <c r="M11" s="28"/>
      <c r="N11" s="28">
        <v>15</v>
      </c>
      <c r="O11" s="28"/>
      <c r="P11" s="418">
        <f t="shared" si="0"/>
        <v>60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F12" s="28"/>
      <c r="G12" s="28"/>
      <c r="H12" s="28">
        <v>1</v>
      </c>
      <c r="I12" s="28"/>
      <c r="J12" s="28"/>
      <c r="K12" s="28"/>
      <c r="L12" s="28"/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65</v>
      </c>
      <c r="F13" s="28">
        <v>10</v>
      </c>
      <c r="G13" s="28"/>
      <c r="H13" s="28">
        <v>15</v>
      </c>
      <c r="I13" s="28"/>
      <c r="J13" s="28">
        <v>15</v>
      </c>
      <c r="K13" s="28"/>
      <c r="L13" s="28">
        <v>15</v>
      </c>
      <c r="M13" s="28"/>
      <c r="N13" s="28">
        <v>15</v>
      </c>
      <c r="O13" s="28"/>
      <c r="P13" s="418">
        <f t="shared" si="0"/>
        <v>70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1</v>
      </c>
      <c r="F14" s="28">
        <v>5</v>
      </c>
      <c r="G14" s="28"/>
      <c r="H14" s="28"/>
      <c r="I14" s="28"/>
      <c r="J14" s="28">
        <v>5</v>
      </c>
      <c r="K14" s="28"/>
      <c r="L14" s="28"/>
      <c r="M14" s="28"/>
      <c r="N14" s="28">
        <v>5</v>
      </c>
      <c r="O14" s="28"/>
      <c r="P14" s="418">
        <f t="shared" si="0"/>
        <v>15</v>
      </c>
    </row>
    <row r="15" spans="1:16" ht="15.75" thickBot="1" x14ac:dyDescent="0.3">
      <c r="A15" s="35">
        <v>1000030</v>
      </c>
      <c r="B15" s="12" t="s">
        <v>24</v>
      </c>
      <c r="C15" s="41"/>
      <c r="D15" s="47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1000032</v>
      </c>
      <c r="B16" s="12" t="s">
        <v>26</v>
      </c>
      <c r="C16" s="41"/>
      <c r="D16" s="47">
        <v>3</v>
      </c>
      <c r="F16" s="28"/>
      <c r="G16" s="28"/>
      <c r="H16" s="28"/>
      <c r="I16" s="28"/>
      <c r="J16" s="28"/>
      <c r="K16" s="28"/>
      <c r="L16" s="28">
        <v>3</v>
      </c>
      <c r="M16" s="28"/>
      <c r="N16" s="28">
        <v>3</v>
      </c>
      <c r="O16" s="28"/>
      <c r="P16" s="418">
        <f t="shared" si="0"/>
        <v>6</v>
      </c>
    </row>
    <row r="17" spans="1:16" ht="15.75" thickBot="1" x14ac:dyDescent="0.3">
      <c r="A17" s="35">
        <v>1000025</v>
      </c>
      <c r="B17" s="12" t="s">
        <v>32</v>
      </c>
      <c r="C17" s="41"/>
      <c r="D17" s="47">
        <v>2</v>
      </c>
      <c r="F17" s="28"/>
      <c r="G17" s="28"/>
      <c r="H17" s="28"/>
      <c r="I17" s="28"/>
      <c r="J17" s="28"/>
      <c r="K17" s="28"/>
      <c r="L17" s="28"/>
      <c r="M17" s="28"/>
      <c r="N17" s="28">
        <v>5</v>
      </c>
      <c r="O17" s="28"/>
      <c r="P17" s="418">
        <f t="shared" si="0"/>
        <v>5</v>
      </c>
    </row>
    <row r="18" spans="1:16" ht="15.75" thickBot="1" x14ac:dyDescent="0.3">
      <c r="A18" s="35">
        <v>1000027</v>
      </c>
      <c r="B18" s="12" t="s">
        <v>33</v>
      </c>
      <c r="C18" s="41"/>
      <c r="D18" s="47">
        <v>5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1000101</v>
      </c>
      <c r="B19" s="12" t="s">
        <v>35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1000073</v>
      </c>
      <c r="B20" s="12" t="s">
        <v>36</v>
      </c>
      <c r="C20" s="41"/>
      <c r="D20" s="47">
        <v>0</v>
      </c>
      <c r="F20" s="28"/>
      <c r="G20" s="28"/>
      <c r="H20" s="28"/>
      <c r="I20" s="28"/>
      <c r="J20" s="28"/>
      <c r="K20" s="28"/>
      <c r="L20" s="28">
        <v>2</v>
      </c>
      <c r="M20" s="28"/>
      <c r="N20" s="28"/>
      <c r="O20" s="28"/>
      <c r="P20" s="418">
        <f t="shared" si="0"/>
        <v>2</v>
      </c>
    </row>
    <row r="21" spans="1:16" ht="15.75" thickBot="1" x14ac:dyDescent="0.3">
      <c r="A21" s="35">
        <v>1000082</v>
      </c>
      <c r="B21" s="12" t="s">
        <v>37</v>
      </c>
      <c r="C21" s="41"/>
      <c r="D21" s="47">
        <v>110</v>
      </c>
      <c r="F21" s="28">
        <v>48</v>
      </c>
      <c r="G21" s="28"/>
      <c r="H21" s="28">
        <v>48</v>
      </c>
      <c r="I21" s="28"/>
      <c r="J21" s="28">
        <v>48</v>
      </c>
      <c r="K21" s="28"/>
      <c r="L21" s="28">
        <v>48</v>
      </c>
      <c r="M21" s="28"/>
      <c r="N21" s="28">
        <v>48</v>
      </c>
      <c r="O21" s="28"/>
      <c r="P21" s="418">
        <f t="shared" si="0"/>
        <v>240</v>
      </c>
    </row>
    <row r="22" spans="1:16" ht="15.75" thickBot="1" x14ac:dyDescent="0.3">
      <c r="A22" s="35">
        <v>1000084</v>
      </c>
      <c r="B22" s="12" t="s">
        <v>38</v>
      </c>
      <c r="C22" s="41"/>
      <c r="D22" s="47">
        <v>35</v>
      </c>
      <c r="F22" s="28">
        <v>24</v>
      </c>
      <c r="G22" s="28"/>
      <c r="H22" s="28">
        <v>24</v>
      </c>
      <c r="I22" s="28"/>
      <c r="J22" s="28">
        <v>24</v>
      </c>
      <c r="K22" s="28"/>
      <c r="L22" s="28">
        <v>24</v>
      </c>
      <c r="M22" s="28"/>
      <c r="N22" s="28">
        <v>24</v>
      </c>
      <c r="O22" s="28"/>
      <c r="P22" s="418">
        <f t="shared" si="0"/>
        <v>120</v>
      </c>
    </row>
    <row r="23" spans="1:16" ht="15.75" thickBot="1" x14ac:dyDescent="0.3">
      <c r="A23" s="35">
        <v>10248</v>
      </c>
      <c r="B23" s="12" t="s">
        <v>183</v>
      </c>
      <c r="C23" s="41"/>
      <c r="D23" s="47">
        <v>0</v>
      </c>
      <c r="F23" s="28"/>
      <c r="G23" s="28"/>
      <c r="H23" s="28"/>
      <c r="I23" s="28"/>
      <c r="J23" s="28">
        <v>9</v>
      </c>
      <c r="K23" s="28"/>
      <c r="L23" s="28"/>
      <c r="M23" s="28"/>
      <c r="N23" s="28"/>
      <c r="O23" s="28"/>
      <c r="P23" s="418">
        <f t="shared" si="0"/>
        <v>9</v>
      </c>
    </row>
    <row r="24" spans="1:16" ht="15.75" thickBot="1" x14ac:dyDescent="0.3">
      <c r="A24" s="35">
        <v>1000090</v>
      </c>
      <c r="B24" s="12" t="s">
        <v>40</v>
      </c>
      <c r="C24" s="41"/>
      <c r="D24" s="47">
        <v>2</v>
      </c>
      <c r="F24" s="28">
        <v>3</v>
      </c>
      <c r="G24" s="28"/>
      <c r="H24" s="28">
        <v>3</v>
      </c>
      <c r="I24" s="28"/>
      <c r="J24" s="28">
        <v>8</v>
      </c>
      <c r="K24" s="28"/>
      <c r="L24" s="28"/>
      <c r="M24" s="28"/>
      <c r="N24" s="28"/>
      <c r="O24" s="28"/>
      <c r="P24" s="418">
        <f t="shared" si="0"/>
        <v>14</v>
      </c>
    </row>
    <row r="25" spans="1:16" ht="15.75" thickBot="1" x14ac:dyDescent="0.3">
      <c r="A25" s="35">
        <v>1000052</v>
      </c>
      <c r="B25" s="12" t="s">
        <v>41</v>
      </c>
      <c r="C25" s="41"/>
      <c r="D25" s="47">
        <v>5</v>
      </c>
      <c r="F25" s="28"/>
      <c r="G25" s="28"/>
      <c r="H25" s="28">
        <v>3</v>
      </c>
      <c r="I25" s="28"/>
      <c r="J25" s="28">
        <v>3</v>
      </c>
      <c r="K25" s="28"/>
      <c r="L25" s="28">
        <v>3</v>
      </c>
      <c r="M25" s="28"/>
      <c r="N25" s="28">
        <v>3</v>
      </c>
      <c r="O25" s="28"/>
      <c r="P25" s="418">
        <f t="shared" si="0"/>
        <v>12</v>
      </c>
    </row>
    <row r="26" spans="1:16" ht="15.75" thickBot="1" x14ac:dyDescent="0.3">
      <c r="A26" s="35">
        <v>1000089</v>
      </c>
      <c r="B26" s="12" t="s">
        <v>42</v>
      </c>
      <c r="C26" s="41"/>
      <c r="D26" s="47">
        <v>5</v>
      </c>
      <c r="F26" s="28"/>
      <c r="G26" s="28"/>
      <c r="H26" s="28">
        <v>3</v>
      </c>
      <c r="I26" s="28"/>
      <c r="J26" s="28"/>
      <c r="K26" s="28"/>
      <c r="L26" s="28"/>
      <c r="M26" s="28"/>
      <c r="N26" s="28">
        <v>5</v>
      </c>
      <c r="O26" s="28"/>
      <c r="P26" s="418">
        <f t="shared" si="0"/>
        <v>8</v>
      </c>
    </row>
    <row r="27" spans="1:16" ht="15.75" thickBot="1" x14ac:dyDescent="0.3">
      <c r="A27" s="35">
        <v>1000051</v>
      </c>
      <c r="B27" s="12" t="s">
        <v>43</v>
      </c>
      <c r="C27" s="41"/>
      <c r="D27" s="47">
        <v>2</v>
      </c>
      <c r="F27" s="28"/>
      <c r="G27" s="28"/>
      <c r="H27" s="28"/>
      <c r="I27" s="28"/>
      <c r="J27" s="28"/>
      <c r="K27" s="28"/>
      <c r="L27" s="28">
        <v>3</v>
      </c>
      <c r="M27" s="28"/>
      <c r="N27" s="28">
        <v>3</v>
      </c>
      <c r="O27" s="28"/>
      <c r="P27" s="418">
        <f t="shared" si="0"/>
        <v>6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0</v>
      </c>
      <c r="F28" s="28"/>
      <c r="G28" s="28"/>
      <c r="H28" s="28"/>
      <c r="I28" s="28"/>
      <c r="J28" s="28"/>
      <c r="K28" s="28"/>
      <c r="L28" s="28">
        <v>2</v>
      </c>
      <c r="M28" s="28"/>
      <c r="N28" s="28"/>
      <c r="O28" s="28"/>
      <c r="P28" s="418">
        <f t="shared" si="0"/>
        <v>2</v>
      </c>
    </row>
    <row r="29" spans="1:16" ht="15.75" thickBot="1" x14ac:dyDescent="0.3">
      <c r="A29" s="35">
        <v>1000076</v>
      </c>
      <c r="B29" s="12" t="s">
        <v>46</v>
      </c>
      <c r="C29" s="41"/>
      <c r="D29" s="47">
        <v>0</v>
      </c>
      <c r="F29" s="28"/>
      <c r="G29" s="28"/>
      <c r="H29" s="28"/>
      <c r="I29" s="28"/>
      <c r="J29" s="28"/>
      <c r="K29" s="28"/>
      <c r="L29" s="28">
        <v>2</v>
      </c>
      <c r="M29" s="28"/>
      <c r="N29" s="28"/>
      <c r="O29" s="28"/>
      <c r="P29" s="418">
        <f t="shared" si="0"/>
        <v>2</v>
      </c>
    </row>
    <row r="30" spans="1:16" ht="15.75" thickBot="1" x14ac:dyDescent="0.3">
      <c r="A30" s="35">
        <v>1000147</v>
      </c>
      <c r="B30" s="12" t="s">
        <v>52</v>
      </c>
      <c r="C30" s="41"/>
      <c r="D30" s="47">
        <v>0</v>
      </c>
      <c r="F30" s="28"/>
      <c r="G30" s="28"/>
      <c r="H30" s="28">
        <v>2</v>
      </c>
      <c r="I30" s="28"/>
      <c r="J30" s="28"/>
      <c r="K30" s="28"/>
      <c r="L30" s="28"/>
      <c r="M30" s="28"/>
      <c r="N30" s="28"/>
      <c r="O30" s="28"/>
      <c r="P30" s="418">
        <f t="shared" si="0"/>
        <v>2</v>
      </c>
    </row>
    <row r="31" spans="1:16" ht="15.75" thickBot="1" x14ac:dyDescent="0.3">
      <c r="A31" s="35">
        <v>1000205</v>
      </c>
      <c r="B31" s="12" t="s">
        <v>82</v>
      </c>
      <c r="C31" s="41"/>
      <c r="D31" s="47">
        <v>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1000049</v>
      </c>
      <c r="B32" s="12" t="s">
        <v>21</v>
      </c>
      <c r="C32" s="41"/>
      <c r="D32" s="47"/>
      <c r="F32" s="28"/>
      <c r="G32" s="28"/>
      <c r="H32" s="28"/>
      <c r="I32" s="28"/>
      <c r="J32" s="28"/>
      <c r="K32" s="28"/>
      <c r="L32" s="28">
        <v>4</v>
      </c>
      <c r="M32" s="28"/>
      <c r="N32" s="28"/>
      <c r="O32" s="28"/>
      <c r="P32" s="418">
        <f t="shared" si="0"/>
        <v>4</v>
      </c>
    </row>
    <row r="33" spans="1:16" s="15" customFormat="1" ht="15.95" customHeight="1" thickBot="1" x14ac:dyDescent="0.3">
      <c r="A33" s="35">
        <v>1000092</v>
      </c>
      <c r="B33" s="12" t="s">
        <v>51</v>
      </c>
      <c r="C33" s="41"/>
      <c r="D33" s="47"/>
      <c r="E33" s="27"/>
      <c r="F33" s="28"/>
      <c r="G33" s="28"/>
      <c r="H33" s="28">
        <v>1</v>
      </c>
      <c r="I33" s="28"/>
      <c r="J33" s="28"/>
      <c r="K33" s="28"/>
      <c r="L33" s="28"/>
      <c r="M33" s="28"/>
      <c r="N33" s="28"/>
      <c r="O33" s="28"/>
      <c r="P33" s="418">
        <f t="shared" si="0"/>
        <v>1</v>
      </c>
    </row>
    <row r="34" spans="1:16" ht="15.75" thickBot="1" x14ac:dyDescent="0.3">
      <c r="A34" s="35">
        <v>1000004</v>
      </c>
      <c r="B34" s="12" t="s">
        <v>10</v>
      </c>
      <c r="C34" s="41"/>
      <c r="D34" s="47"/>
      <c r="F34" s="28">
        <v>3</v>
      </c>
      <c r="G34" s="28"/>
      <c r="H34" s="28">
        <v>3</v>
      </c>
      <c r="I34" s="28"/>
      <c r="J34" s="28">
        <v>3</v>
      </c>
      <c r="K34" s="28"/>
      <c r="L34" s="28">
        <v>3</v>
      </c>
      <c r="M34" s="28"/>
      <c r="N34" s="28">
        <v>3</v>
      </c>
      <c r="O34" s="28"/>
      <c r="P34" s="418">
        <f t="shared" si="0"/>
        <v>15</v>
      </c>
    </row>
    <row r="35" spans="1:16" ht="15.75" thickBot="1" x14ac:dyDescent="0.3">
      <c r="A35" s="35">
        <v>10000015</v>
      </c>
      <c r="B35" s="12" t="s">
        <v>1</v>
      </c>
      <c r="C35" s="41"/>
      <c r="D35" s="47"/>
      <c r="F35" s="28"/>
      <c r="G35" s="28"/>
      <c r="H35" s="28"/>
      <c r="I35" s="28"/>
      <c r="J35" s="28">
        <v>5</v>
      </c>
      <c r="K35" s="28"/>
      <c r="L35" s="28">
        <v>5</v>
      </c>
      <c r="M35" s="28"/>
      <c r="N35" s="28"/>
      <c r="O35" s="28"/>
      <c r="P35" s="418">
        <f t="shared" si="0"/>
        <v>10</v>
      </c>
    </row>
    <row r="36" spans="1:16" ht="15.75" thickBot="1" x14ac:dyDescent="0.3">
      <c r="A36" s="35">
        <v>1000034</v>
      </c>
      <c r="B36" s="12" t="s">
        <v>28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1000050</v>
      </c>
      <c r="B37" s="12" t="s">
        <v>22</v>
      </c>
      <c r="C37" s="41"/>
      <c r="D37" s="47"/>
      <c r="F37" s="28"/>
      <c r="G37" s="28"/>
      <c r="H37" s="28"/>
      <c r="I37" s="28"/>
      <c r="J37" s="28"/>
      <c r="K37" s="28"/>
      <c r="L37" s="28">
        <v>4</v>
      </c>
      <c r="M37" s="28"/>
      <c r="N37" s="28"/>
      <c r="O37" s="28"/>
      <c r="P37" s="418">
        <f t="shared" si="0"/>
        <v>4</v>
      </c>
    </row>
    <row r="38" spans="1:16" ht="15.75" thickBot="1" x14ac:dyDescent="0.3">
      <c r="A38" s="35">
        <v>1000214</v>
      </c>
      <c r="B38" s="12" t="s">
        <v>49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1000449</v>
      </c>
      <c r="B39" s="12" t="s">
        <v>202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1000100</v>
      </c>
      <c r="B40" s="12" t="s">
        <v>34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1000029</v>
      </c>
      <c r="B41" s="12" t="s">
        <v>30</v>
      </c>
      <c r="C41" s="41"/>
      <c r="D41" s="47"/>
      <c r="F41" s="28"/>
      <c r="G41" s="28"/>
      <c r="H41" s="28">
        <v>3</v>
      </c>
      <c r="I41" s="28"/>
      <c r="J41" s="28"/>
      <c r="K41" s="28"/>
      <c r="L41" s="28"/>
      <c r="M41" s="28"/>
      <c r="N41" s="28"/>
      <c r="O41" s="28"/>
      <c r="P41" s="418">
        <f t="shared" si="0"/>
        <v>3</v>
      </c>
    </row>
    <row r="42" spans="1:16" ht="15.75" thickBot="1" x14ac:dyDescent="0.3">
      <c r="A42" s="35">
        <v>1000075</v>
      </c>
      <c r="B42" s="12" t="s">
        <v>47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1000045</v>
      </c>
      <c r="B43" s="12" t="s">
        <v>23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10000102</v>
      </c>
      <c r="B44" s="12" t="s">
        <v>2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1000439</v>
      </c>
      <c r="B45" s="12" t="s">
        <v>193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1000057</v>
      </c>
      <c r="B46" s="12" t="s">
        <v>70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1000031</v>
      </c>
      <c r="B47" s="12" t="s">
        <v>25</v>
      </c>
      <c r="C47" s="41"/>
      <c r="D47" s="47"/>
      <c r="F47" s="28">
        <v>3</v>
      </c>
      <c r="G47" s="28"/>
      <c r="H47" s="28">
        <v>3</v>
      </c>
      <c r="I47" s="28"/>
      <c r="J47" s="28">
        <v>4</v>
      </c>
      <c r="K47" s="28"/>
      <c r="L47" s="28">
        <v>4</v>
      </c>
      <c r="M47" s="28"/>
      <c r="N47" s="28">
        <v>3</v>
      </c>
      <c r="O47" s="28"/>
      <c r="P47" s="418">
        <f t="shared" si="0"/>
        <v>17</v>
      </c>
    </row>
    <row r="48" spans="1:16" ht="15.75" thickBot="1" x14ac:dyDescent="0.3">
      <c r="A48" s="35">
        <v>1000142</v>
      </c>
      <c r="B48" s="12" t="s">
        <v>54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1000533</v>
      </c>
      <c r="B49" s="12" t="s">
        <v>259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1000036</v>
      </c>
      <c r="B50" s="12" t="s">
        <v>75</v>
      </c>
      <c r="C50" s="41"/>
      <c r="D50" s="47"/>
      <c r="F50" s="28">
        <v>1</v>
      </c>
      <c r="G50" s="28"/>
      <c r="H50" s="28"/>
      <c r="I50" s="28"/>
      <c r="J50" s="28"/>
      <c r="K50" s="28"/>
      <c r="L50" s="28"/>
      <c r="M50" s="28"/>
      <c r="N50" s="28"/>
      <c r="O50" s="28"/>
      <c r="P50" s="418">
        <f t="shared" si="0"/>
        <v>1</v>
      </c>
    </row>
    <row r="51" spans="1:16" ht="15.75" thickBot="1" x14ac:dyDescent="0.3">
      <c r="A51" s="35">
        <v>1000037</v>
      </c>
      <c r="B51" s="12" t="s">
        <v>76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1000080</v>
      </c>
      <c r="B52" s="12" t="s">
        <v>275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1000436</v>
      </c>
      <c r="B53" s="12" t="s">
        <v>276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1000550</v>
      </c>
      <c r="B54" s="12" t="s">
        <v>277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1000551</v>
      </c>
      <c r="B55" s="12" t="s">
        <v>278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1000552</v>
      </c>
      <c r="B56" s="12" t="s">
        <v>279</v>
      </c>
      <c r="C56" s="41"/>
      <c r="D56" s="4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60">
        <v>1000032</v>
      </c>
      <c r="B57" s="12" t="s">
        <v>35</v>
      </c>
      <c r="D57" s="45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36">
        <v>1000033</v>
      </c>
      <c r="B58" s="49" t="s">
        <v>27</v>
      </c>
      <c r="D58" s="45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x14ac:dyDescent="0.25">
      <c r="A59" s="519">
        <v>1000032</v>
      </c>
      <c r="B59" s="12" t="s">
        <v>26</v>
      </c>
      <c r="D59" s="45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8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ACFC-907F-46B6-9154-91F2F2DFA7EE}">
  <sheetPr>
    <tabColor theme="7" tint="-0.249977111117893"/>
    <pageSetUpPr fitToPage="1"/>
  </sheetPr>
  <dimension ref="A1:P57"/>
  <sheetViews>
    <sheetView topLeftCell="A4" zoomScale="85" zoomScaleNormal="85" workbookViewId="0">
      <selection activeCell="R24" sqref="R24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6.875" style="27" customWidth="1"/>
    <col min="10" max="10" width="9.125" style="27" bestFit="1" customWidth="1"/>
    <col min="11" max="11" width="7.125" style="27" customWidth="1"/>
    <col min="12" max="12" width="9.125" style="27" bestFit="1" customWidth="1"/>
    <col min="13" max="13" width="7.25" style="27" customWidth="1"/>
    <col min="14" max="14" width="9.125" style="27" bestFit="1" customWidth="1"/>
    <col min="15" max="15" width="7.5" style="27" customWidth="1"/>
    <col min="16" max="16384" width="10.875" style="27"/>
  </cols>
  <sheetData>
    <row r="1" spans="1:16" ht="17.25" customHeight="1" x14ac:dyDescent="0.45">
      <c r="A1" s="686" t="s">
        <v>167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380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7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500</v>
      </c>
      <c r="F6" s="28">
        <v>250</v>
      </c>
      <c r="G6" s="28"/>
      <c r="H6" s="28">
        <v>150</v>
      </c>
      <c r="I6" s="28"/>
      <c r="J6" s="28">
        <v>150</v>
      </c>
      <c r="K6" s="28"/>
      <c r="L6" s="28">
        <v>200</v>
      </c>
      <c r="M6" s="28"/>
      <c r="N6" s="28">
        <v>200</v>
      </c>
      <c r="O6" s="28"/>
      <c r="P6" s="418">
        <f t="shared" si="0"/>
        <v>950</v>
      </c>
    </row>
    <row r="7" spans="1:16" ht="15.75" thickBot="1" x14ac:dyDescent="0.3">
      <c r="A7" s="35">
        <v>1000007</v>
      </c>
      <c r="B7" s="12" t="s">
        <v>5</v>
      </c>
      <c r="C7" s="41"/>
      <c r="D7" s="47">
        <v>100</v>
      </c>
      <c r="F7" s="28"/>
      <c r="G7" s="28"/>
      <c r="H7" s="28">
        <v>100</v>
      </c>
      <c r="I7" s="28"/>
      <c r="J7" s="28">
        <v>100</v>
      </c>
      <c r="K7" s="28"/>
      <c r="L7" s="28">
        <v>150</v>
      </c>
      <c r="M7" s="28"/>
      <c r="N7" s="28"/>
      <c r="O7" s="28"/>
      <c r="P7" s="418">
        <f t="shared" si="0"/>
        <v>350</v>
      </c>
    </row>
    <row r="8" spans="1:16" ht="15.75" thickBot="1" x14ac:dyDescent="0.3">
      <c r="A8" s="35">
        <v>1000008</v>
      </c>
      <c r="B8" s="12" t="s">
        <v>7</v>
      </c>
      <c r="C8" s="41"/>
      <c r="D8" s="47">
        <v>80</v>
      </c>
      <c r="F8" s="28">
        <v>50</v>
      </c>
      <c r="G8" s="28"/>
      <c r="H8" s="28">
        <v>50</v>
      </c>
      <c r="I8" s="28"/>
      <c r="J8" s="28">
        <v>50</v>
      </c>
      <c r="K8" s="28"/>
      <c r="L8" s="28">
        <v>50</v>
      </c>
      <c r="M8" s="28"/>
      <c r="N8" s="28">
        <v>50</v>
      </c>
      <c r="O8" s="28"/>
      <c r="P8" s="418">
        <f t="shared" si="0"/>
        <v>250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5</v>
      </c>
      <c r="F9" s="28">
        <v>4</v>
      </c>
      <c r="G9" s="28"/>
      <c r="H9" s="28">
        <v>4</v>
      </c>
      <c r="I9" s="28"/>
      <c r="J9" s="28">
        <v>4</v>
      </c>
      <c r="K9" s="28"/>
      <c r="L9" s="28">
        <v>4</v>
      </c>
      <c r="M9" s="28"/>
      <c r="N9" s="28">
        <v>4</v>
      </c>
      <c r="O9" s="28"/>
      <c r="P9" s="418">
        <f t="shared" si="0"/>
        <v>20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>
        <v>2</v>
      </c>
      <c r="G10" s="28"/>
      <c r="H10" s="28"/>
      <c r="I10" s="28"/>
      <c r="J10" s="28"/>
      <c r="K10" s="28"/>
      <c r="L10" s="28"/>
      <c r="M10" s="28"/>
      <c r="N10" s="28">
        <v>2</v>
      </c>
      <c r="O10" s="28"/>
      <c r="P10" s="418">
        <f t="shared" si="0"/>
        <v>4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3</v>
      </c>
      <c r="F11" s="28">
        <v>4</v>
      </c>
      <c r="G11" s="28"/>
      <c r="H11" s="28">
        <v>4</v>
      </c>
      <c r="I11" s="28"/>
      <c r="J11" s="28">
        <v>4</v>
      </c>
      <c r="K11" s="28"/>
      <c r="L11" s="28">
        <v>4</v>
      </c>
      <c r="M11" s="28"/>
      <c r="N11" s="28">
        <v>4</v>
      </c>
      <c r="O11" s="28"/>
      <c r="P11" s="418">
        <f t="shared" si="0"/>
        <v>20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35</v>
      </c>
      <c r="F12" s="28">
        <v>10</v>
      </c>
      <c r="G12" s="28"/>
      <c r="H12" s="28">
        <v>20</v>
      </c>
      <c r="I12" s="28"/>
      <c r="J12" s="28">
        <v>20</v>
      </c>
      <c r="K12" s="28"/>
      <c r="L12" s="28">
        <v>30</v>
      </c>
      <c r="M12" s="28"/>
      <c r="N12" s="28">
        <v>10</v>
      </c>
      <c r="O12" s="28"/>
      <c r="P12" s="418">
        <f t="shared" si="0"/>
        <v>90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>
        <v>1</v>
      </c>
      <c r="G13" s="28"/>
      <c r="H13" s="28">
        <v>1</v>
      </c>
      <c r="I13" s="28"/>
      <c r="J13" s="28">
        <v>1</v>
      </c>
      <c r="K13" s="28"/>
      <c r="L13" s="28">
        <v>1</v>
      </c>
      <c r="M13" s="28"/>
      <c r="N13" s="28">
        <v>1</v>
      </c>
      <c r="O13" s="28"/>
      <c r="P13" s="418">
        <f t="shared" si="0"/>
        <v>5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50</v>
      </c>
      <c r="F14" s="28">
        <v>40</v>
      </c>
      <c r="G14" s="28"/>
      <c r="H14" s="28">
        <v>40</v>
      </c>
      <c r="I14" s="28"/>
      <c r="J14" s="28">
        <v>30</v>
      </c>
      <c r="K14" s="28"/>
      <c r="L14" s="28">
        <v>40</v>
      </c>
      <c r="M14" s="28"/>
      <c r="N14" s="28">
        <v>40</v>
      </c>
      <c r="O14" s="28"/>
      <c r="P14" s="418">
        <f t="shared" si="0"/>
        <v>190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28">
        <v>5</v>
      </c>
      <c r="G15" s="28"/>
      <c r="H15" s="28">
        <v>5</v>
      </c>
      <c r="I15" s="28"/>
      <c r="J15" s="28">
        <v>5</v>
      </c>
      <c r="K15" s="28"/>
      <c r="L15" s="28">
        <v>5</v>
      </c>
      <c r="M15" s="28"/>
      <c r="N15" s="28">
        <v>5</v>
      </c>
      <c r="O15" s="28"/>
      <c r="P15" s="418">
        <f t="shared" si="0"/>
        <v>25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28">
        <v>2</v>
      </c>
      <c r="G17" s="28"/>
      <c r="H17" s="28">
        <v>2</v>
      </c>
      <c r="I17" s="28"/>
      <c r="J17" s="28">
        <v>2</v>
      </c>
      <c r="K17" s="28"/>
      <c r="L17" s="28">
        <v>2</v>
      </c>
      <c r="M17" s="28"/>
      <c r="N17" s="28">
        <v>2</v>
      </c>
      <c r="O17" s="28"/>
      <c r="P17" s="418">
        <f t="shared" si="0"/>
        <v>10</v>
      </c>
    </row>
    <row r="18" spans="1:16" ht="15.75" thickBot="1" x14ac:dyDescent="0.3">
      <c r="A18" s="35">
        <v>1000031</v>
      </c>
      <c r="B18" s="12" t="s">
        <v>25</v>
      </c>
      <c r="C18" s="41"/>
      <c r="D18" s="47">
        <v>2</v>
      </c>
      <c r="F18" s="28">
        <v>5</v>
      </c>
      <c r="G18" s="28"/>
      <c r="H18" s="28">
        <v>5</v>
      </c>
      <c r="I18" s="28"/>
      <c r="J18" s="28">
        <v>5</v>
      </c>
      <c r="K18" s="28"/>
      <c r="L18" s="28">
        <v>5</v>
      </c>
      <c r="M18" s="28"/>
      <c r="N18" s="28">
        <v>2</v>
      </c>
      <c r="O18" s="28"/>
      <c r="P18" s="418">
        <f t="shared" si="0"/>
        <v>22</v>
      </c>
    </row>
    <row r="19" spans="1:16" ht="15.75" thickBot="1" x14ac:dyDescent="0.3">
      <c r="A19" s="35">
        <v>1000026</v>
      </c>
      <c r="B19" s="12" t="s">
        <v>31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6</v>
      </c>
      <c r="F20" s="28">
        <v>5</v>
      </c>
      <c r="G20" s="28"/>
      <c r="H20" s="28">
        <v>5</v>
      </c>
      <c r="I20" s="28"/>
      <c r="J20" s="28">
        <v>5</v>
      </c>
      <c r="K20" s="28"/>
      <c r="L20" s="28">
        <v>10</v>
      </c>
      <c r="M20" s="28"/>
      <c r="N20" s="28">
        <v>5</v>
      </c>
      <c r="O20" s="28"/>
      <c r="P20" s="418">
        <f t="shared" si="0"/>
        <v>30</v>
      </c>
    </row>
    <row r="21" spans="1:16" ht="15.75" thickBot="1" x14ac:dyDescent="0.3">
      <c r="A21" s="35">
        <v>1000100</v>
      </c>
      <c r="B21" s="12" t="s">
        <v>34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1000082</v>
      </c>
      <c r="B22" s="12" t="s">
        <v>37</v>
      </c>
      <c r="C22" s="41"/>
      <c r="D22" s="47">
        <v>90</v>
      </c>
      <c r="F22" s="28">
        <v>40</v>
      </c>
      <c r="G22" s="28"/>
      <c r="H22" s="28">
        <v>40</v>
      </c>
      <c r="I22" s="28"/>
      <c r="J22" s="28">
        <v>40</v>
      </c>
      <c r="K22" s="28"/>
      <c r="L22" s="28">
        <v>40</v>
      </c>
      <c r="M22" s="28"/>
      <c r="N22" s="28">
        <v>40</v>
      </c>
      <c r="O22" s="28"/>
      <c r="P22" s="418">
        <f t="shared" si="0"/>
        <v>200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40</v>
      </c>
      <c r="F23" s="28">
        <v>24</v>
      </c>
      <c r="G23" s="28"/>
      <c r="H23" s="28">
        <v>32</v>
      </c>
      <c r="I23" s="28"/>
      <c r="J23" s="28">
        <v>20</v>
      </c>
      <c r="K23" s="28"/>
      <c r="L23" s="28">
        <v>20</v>
      </c>
      <c r="M23" s="28"/>
      <c r="N23" s="28">
        <v>24</v>
      </c>
      <c r="O23" s="28"/>
      <c r="P23" s="418">
        <f t="shared" si="0"/>
        <v>120</v>
      </c>
    </row>
    <row r="24" spans="1:16" ht="15.75" thickBot="1" x14ac:dyDescent="0.3">
      <c r="A24" s="35">
        <v>1000146</v>
      </c>
      <c r="B24" s="12" t="s">
        <v>39</v>
      </c>
      <c r="C24" s="41"/>
      <c r="D24" s="47">
        <v>27</v>
      </c>
      <c r="F24" s="28"/>
      <c r="G24" s="28"/>
      <c r="H24" s="28">
        <v>10</v>
      </c>
      <c r="I24" s="28"/>
      <c r="J24" s="28"/>
      <c r="K24" s="28"/>
      <c r="L24" s="28"/>
      <c r="M24" s="28"/>
      <c r="N24" s="28"/>
      <c r="O24" s="28"/>
      <c r="P24" s="418">
        <f t="shared" si="0"/>
        <v>10</v>
      </c>
    </row>
    <row r="25" spans="1:16" ht="15.75" thickBot="1" x14ac:dyDescent="0.3">
      <c r="A25" s="35">
        <v>10248</v>
      </c>
      <c r="B25" s="12" t="s">
        <v>183</v>
      </c>
      <c r="C25" s="41"/>
      <c r="D25" s="47">
        <v>0</v>
      </c>
      <c r="F25" s="28">
        <v>12</v>
      </c>
      <c r="G25" s="28"/>
      <c r="H25" s="28">
        <v>12</v>
      </c>
      <c r="I25" s="28"/>
      <c r="J25" s="28">
        <v>12</v>
      </c>
      <c r="K25" s="28"/>
      <c r="L25" s="28">
        <v>12</v>
      </c>
      <c r="M25" s="28"/>
      <c r="N25" s="28">
        <v>12</v>
      </c>
      <c r="O25" s="28"/>
      <c r="P25" s="418">
        <f t="shared" si="0"/>
        <v>60</v>
      </c>
    </row>
    <row r="26" spans="1:16" ht="15.75" thickBot="1" x14ac:dyDescent="0.3">
      <c r="A26" s="35">
        <v>1000090</v>
      </c>
      <c r="B26" s="12" t="s">
        <v>40</v>
      </c>
      <c r="C26" s="41"/>
      <c r="D26" s="47">
        <v>1</v>
      </c>
      <c r="F26" s="28">
        <v>4</v>
      </c>
      <c r="G26" s="28"/>
      <c r="H26" s="28">
        <v>4</v>
      </c>
      <c r="I26" s="28"/>
      <c r="J26" s="28">
        <v>4</v>
      </c>
      <c r="K26" s="28"/>
      <c r="L26" s="28"/>
      <c r="M26" s="28"/>
      <c r="N26" s="28"/>
      <c r="O26" s="28"/>
      <c r="P26" s="418">
        <f t="shared" si="0"/>
        <v>12</v>
      </c>
    </row>
    <row r="27" spans="1:16" ht="15.75" thickBot="1" x14ac:dyDescent="0.3">
      <c r="A27" s="35">
        <v>1000052</v>
      </c>
      <c r="B27" s="12" t="s">
        <v>41</v>
      </c>
      <c r="C27" s="41"/>
      <c r="D27" s="47">
        <v>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1000089</v>
      </c>
      <c r="B28" s="12" t="s">
        <v>42</v>
      </c>
      <c r="C28" s="41"/>
      <c r="D28" s="47">
        <v>3</v>
      </c>
      <c r="F28" s="28">
        <v>3</v>
      </c>
      <c r="G28" s="28"/>
      <c r="H28" s="28">
        <v>3</v>
      </c>
      <c r="I28" s="28"/>
      <c r="J28" s="28">
        <v>3</v>
      </c>
      <c r="K28" s="28"/>
      <c r="L28" s="28">
        <v>3</v>
      </c>
      <c r="M28" s="28"/>
      <c r="N28" s="28">
        <v>30</v>
      </c>
      <c r="O28" s="28"/>
      <c r="P28" s="418">
        <f t="shared" si="0"/>
        <v>42</v>
      </c>
    </row>
    <row r="29" spans="1:16" ht="15.75" thickBot="1" x14ac:dyDescent="0.3">
      <c r="A29" s="35">
        <v>1000051</v>
      </c>
      <c r="B29" s="12" t="s">
        <v>43</v>
      </c>
      <c r="C29" s="41"/>
      <c r="D29" s="47">
        <v>2</v>
      </c>
      <c r="F29" s="28">
        <v>3</v>
      </c>
      <c r="G29" s="28"/>
      <c r="H29" s="28">
        <v>3</v>
      </c>
      <c r="I29" s="28"/>
      <c r="J29" s="28">
        <v>3</v>
      </c>
      <c r="K29" s="28"/>
      <c r="L29" s="28">
        <v>3</v>
      </c>
      <c r="M29" s="28"/>
      <c r="N29" s="28">
        <v>3</v>
      </c>
      <c r="O29" s="28"/>
      <c r="P29" s="418">
        <f t="shared" si="0"/>
        <v>15</v>
      </c>
    </row>
    <row r="30" spans="1:16" ht="15.75" thickBot="1" x14ac:dyDescent="0.3">
      <c r="A30" s="35">
        <v>1000048</v>
      </c>
      <c r="B30" s="12" t="s">
        <v>45</v>
      </c>
      <c r="C30" s="41"/>
      <c r="D30" s="47">
        <v>0</v>
      </c>
      <c r="F30" s="28"/>
      <c r="G30" s="28"/>
      <c r="H30" s="28"/>
      <c r="I30" s="28"/>
      <c r="J30" s="28"/>
      <c r="K30" s="28"/>
      <c r="L30" s="28">
        <v>2</v>
      </c>
      <c r="M30" s="28"/>
      <c r="N30" s="28"/>
      <c r="O30" s="28"/>
      <c r="P30" s="418">
        <f t="shared" si="0"/>
        <v>2</v>
      </c>
    </row>
    <row r="31" spans="1:16" ht="15.75" thickBot="1" x14ac:dyDescent="0.3">
      <c r="A31" s="35">
        <v>1000076</v>
      </c>
      <c r="B31" s="12" t="s">
        <v>46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1000075</v>
      </c>
      <c r="B32" s="12" t="s">
        <v>47</v>
      </c>
      <c r="C32" s="41"/>
      <c r="D32" s="47">
        <v>0</v>
      </c>
      <c r="F32" s="28"/>
      <c r="G32" s="28"/>
      <c r="H32" s="28"/>
      <c r="I32" s="28"/>
      <c r="J32" s="28"/>
      <c r="K32" s="28"/>
      <c r="L32" s="28">
        <v>2</v>
      </c>
      <c r="M32" s="28"/>
      <c r="N32" s="28"/>
      <c r="O32" s="28"/>
      <c r="P32" s="418">
        <f t="shared" si="0"/>
        <v>2</v>
      </c>
    </row>
    <row r="33" spans="1:16" ht="15.75" thickBot="1" x14ac:dyDescent="0.3">
      <c r="A33" s="35">
        <v>10233</v>
      </c>
      <c r="B33" s="12" t="s">
        <v>55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s="15" customFormat="1" ht="15.95" customHeight="1" thickBot="1" x14ac:dyDescent="0.3">
      <c r="A34" s="35">
        <v>1000067</v>
      </c>
      <c r="B34" s="12" t="s">
        <v>11</v>
      </c>
      <c r="C34" s="41"/>
      <c r="D34" s="47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1000029</v>
      </c>
      <c r="B35" s="12" t="s">
        <v>30</v>
      </c>
      <c r="C35" s="41"/>
      <c r="D35" s="47"/>
      <c r="F35" s="28">
        <v>1</v>
      </c>
      <c r="G35" s="28"/>
      <c r="H35" s="28">
        <v>1</v>
      </c>
      <c r="I35" s="28"/>
      <c r="J35" s="28">
        <v>1</v>
      </c>
      <c r="K35" s="28"/>
      <c r="L35" s="28">
        <v>1</v>
      </c>
      <c r="M35" s="28"/>
      <c r="N35" s="28">
        <v>1</v>
      </c>
      <c r="O35" s="28"/>
      <c r="P35" s="418">
        <f t="shared" si="0"/>
        <v>5</v>
      </c>
    </row>
    <row r="36" spans="1:16" ht="15.75" thickBot="1" x14ac:dyDescent="0.3">
      <c r="A36" s="35">
        <v>1000043</v>
      </c>
      <c r="B36" s="12" t="s">
        <v>84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1000073</v>
      </c>
      <c r="B37" s="12" t="s">
        <v>36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1000142</v>
      </c>
      <c r="B38" s="12" t="s">
        <v>54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1000147</v>
      </c>
      <c r="B39" s="12" t="s">
        <v>52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1000101</v>
      </c>
      <c r="B40" s="12" t="s">
        <v>35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10000102</v>
      </c>
      <c r="B41" s="12" t="s">
        <v>2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1000045</v>
      </c>
      <c r="B42" s="12" t="s">
        <v>23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10211</v>
      </c>
      <c r="B43" s="12" t="s">
        <v>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10249</v>
      </c>
      <c r="B44" s="12" t="s">
        <v>181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1000057</v>
      </c>
      <c r="B45" s="12" t="s">
        <v>70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1000087</v>
      </c>
      <c r="B46" s="12" t="s">
        <v>69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1000214</v>
      </c>
      <c r="B47" s="12" t="s">
        <v>49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1000045</v>
      </c>
      <c r="B48" s="12" t="s">
        <v>23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1000064</v>
      </c>
      <c r="B49" s="12" t="s">
        <v>64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1000486</v>
      </c>
      <c r="B50" s="12" t="s">
        <v>263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1000036</v>
      </c>
      <c r="B51" s="12" t="s">
        <v>75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1000436</v>
      </c>
      <c r="B52" s="12" t="s">
        <v>276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1000550</v>
      </c>
      <c r="B53" s="12" t="s">
        <v>277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1000551</v>
      </c>
      <c r="B54" s="12" t="s">
        <v>278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1000552</v>
      </c>
      <c r="B55" s="12" t="s">
        <v>279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243">
        <v>1000080</v>
      </c>
      <c r="B56" s="251" t="s">
        <v>275</v>
      </c>
      <c r="C56" s="215"/>
      <c r="D56" s="38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35">
        <v>1000384</v>
      </c>
      <c r="B57" s="12" t="s">
        <v>189</v>
      </c>
      <c r="D57" s="3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7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B0F0-654D-4188-A0DB-3F40A776FAF9}">
  <sheetPr>
    <tabColor theme="7" tint="-0.249977111117893"/>
    <pageSetUpPr fitToPage="1"/>
  </sheetPr>
  <dimension ref="A1:P58"/>
  <sheetViews>
    <sheetView zoomScale="85" zoomScaleNormal="85" workbookViewId="0">
      <selection activeCell="W20" sqref="W20"/>
    </sheetView>
  </sheetViews>
  <sheetFormatPr baseColWidth="10" defaultRowHeight="15.75" x14ac:dyDescent="0.25"/>
  <cols>
    <col min="2" max="2" width="30.125" bestFit="1" customWidth="1"/>
    <col min="3" max="3" width="2.875" customWidth="1"/>
    <col min="5" max="5" width="2.5" customWidth="1"/>
    <col min="6" max="6" width="9.125" bestFit="1" customWidth="1"/>
    <col min="7" max="7" width="5.375" customWidth="1"/>
    <col min="8" max="8" width="9.125" bestFit="1" customWidth="1"/>
    <col min="9" max="9" width="6.125" customWidth="1"/>
    <col min="10" max="10" width="9.125" bestFit="1" customWidth="1"/>
    <col min="11" max="11" width="6" customWidth="1"/>
    <col min="12" max="12" width="9.75" bestFit="1" customWidth="1"/>
    <col min="13" max="13" width="6.125" customWidth="1"/>
    <col min="14" max="14" width="9.125" bestFit="1" customWidth="1"/>
    <col min="15" max="15" width="6.375" customWidth="1"/>
  </cols>
  <sheetData>
    <row r="1" spans="1:16" ht="28.5" x14ac:dyDescent="0.45">
      <c r="A1" s="686" t="s">
        <v>212</v>
      </c>
      <c r="B1" s="687"/>
      <c r="C1" s="18"/>
      <c r="D1" s="18"/>
      <c r="E1" s="18"/>
      <c r="F1" s="751" t="s">
        <v>474</v>
      </c>
      <c r="G1" s="752"/>
      <c r="H1" s="752"/>
      <c r="I1" s="752"/>
      <c r="J1" s="753"/>
      <c r="K1" s="2"/>
      <c r="L1" s="27"/>
      <c r="M1" s="27"/>
      <c r="N1" s="27"/>
    </row>
    <row r="2" spans="1:16" ht="29.25" thickBot="1" x14ac:dyDescent="0.5">
      <c r="A2" s="688"/>
      <c r="B2" s="689"/>
      <c r="C2" s="18"/>
      <c r="D2" s="442" t="s">
        <v>379</v>
      </c>
      <c r="E2" s="18"/>
      <c r="F2" s="754"/>
      <c r="G2" s="755"/>
      <c r="H2" s="755"/>
      <c r="I2" s="755"/>
      <c r="J2" s="756"/>
      <c r="K2" s="2"/>
      <c r="L2" s="3"/>
      <c r="M2" s="3"/>
      <c r="N2" s="3"/>
    </row>
    <row r="3" spans="1:16" ht="29.25" thickBot="1" x14ac:dyDescent="0.3">
      <c r="A3" s="5"/>
      <c r="B3" s="5" t="s">
        <v>381</v>
      </c>
      <c r="C3" s="18"/>
      <c r="D3" s="18"/>
      <c r="E3" s="18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52"/>
      <c r="D4" s="21" t="s">
        <v>106</v>
      </c>
      <c r="E4" s="252"/>
      <c r="F4" s="19" t="s">
        <v>327</v>
      </c>
      <c r="G4" s="20" t="s">
        <v>357</v>
      </c>
      <c r="H4" s="19" t="s">
        <v>310</v>
      </c>
      <c r="I4" s="20" t="s">
        <v>357</v>
      </c>
      <c r="J4" s="19" t="s">
        <v>311</v>
      </c>
      <c r="K4" s="20" t="s">
        <v>357</v>
      </c>
      <c r="L4" s="19" t="s">
        <v>312</v>
      </c>
      <c r="M4" s="20" t="s">
        <v>357</v>
      </c>
      <c r="N4" s="19" t="s">
        <v>313</v>
      </c>
      <c r="O4" s="20" t="s">
        <v>357</v>
      </c>
      <c r="P4" s="21" t="s">
        <v>98</v>
      </c>
    </row>
    <row r="5" spans="1:16" ht="16.5" thickBot="1" x14ac:dyDescent="0.3">
      <c r="A5" s="30">
        <v>10000015</v>
      </c>
      <c r="B5" s="11" t="s">
        <v>1</v>
      </c>
      <c r="C5" s="11"/>
      <c r="D5" s="48">
        <v>5</v>
      </c>
      <c r="E5" s="253"/>
      <c r="F5" s="28"/>
      <c r="G5" s="28"/>
      <c r="H5" s="28">
        <v>5</v>
      </c>
      <c r="I5" s="28"/>
      <c r="J5" s="28"/>
      <c r="K5" s="28"/>
      <c r="L5" s="28"/>
      <c r="M5" s="28"/>
      <c r="N5" s="28"/>
      <c r="O5" s="28"/>
      <c r="P5" s="418">
        <f t="shared" ref="P5:P58" si="0">SUM(F5:O5)</f>
        <v>5</v>
      </c>
    </row>
    <row r="6" spans="1:16" ht="16.5" thickBot="1" x14ac:dyDescent="0.3">
      <c r="A6" s="35">
        <v>1000006</v>
      </c>
      <c r="B6" s="12" t="s">
        <v>4</v>
      </c>
      <c r="C6" s="12"/>
      <c r="D6" s="47">
        <v>500</v>
      </c>
      <c r="E6" s="254"/>
      <c r="F6" s="28">
        <v>50</v>
      </c>
      <c r="G6" s="28"/>
      <c r="H6" s="28"/>
      <c r="I6" s="28"/>
      <c r="J6" s="28"/>
      <c r="K6" s="28"/>
      <c r="L6" s="28">
        <v>100</v>
      </c>
      <c r="M6" s="28"/>
      <c r="N6" s="28"/>
      <c r="O6" s="28"/>
      <c r="P6" s="418">
        <f t="shared" si="0"/>
        <v>150</v>
      </c>
    </row>
    <row r="7" spans="1:16" ht="16.5" thickBot="1" x14ac:dyDescent="0.3">
      <c r="A7" s="35">
        <v>1000007</v>
      </c>
      <c r="B7" s="12" t="s">
        <v>5</v>
      </c>
      <c r="C7" s="12"/>
      <c r="D7" s="47">
        <v>100</v>
      </c>
      <c r="E7" s="254"/>
      <c r="F7" s="28"/>
      <c r="G7" s="28"/>
      <c r="H7" s="28">
        <v>100</v>
      </c>
      <c r="I7" s="28"/>
      <c r="J7" s="28">
        <v>50</v>
      </c>
      <c r="K7" s="28"/>
      <c r="L7" s="28"/>
      <c r="M7" s="28"/>
      <c r="N7" s="28">
        <v>50</v>
      </c>
      <c r="O7" s="28"/>
      <c r="P7" s="418">
        <f t="shared" si="0"/>
        <v>200</v>
      </c>
    </row>
    <row r="8" spans="1:16" ht="16.5" thickBot="1" x14ac:dyDescent="0.3">
      <c r="A8" s="35">
        <v>1000008</v>
      </c>
      <c r="B8" s="12" t="s">
        <v>7</v>
      </c>
      <c r="C8" s="12"/>
      <c r="D8" s="47">
        <v>80</v>
      </c>
      <c r="E8" s="254"/>
      <c r="F8" s="28">
        <v>50</v>
      </c>
      <c r="G8" s="28"/>
      <c r="H8" s="28"/>
      <c r="I8" s="28"/>
      <c r="J8" s="28"/>
      <c r="K8" s="28"/>
      <c r="L8" s="28"/>
      <c r="M8" s="28"/>
      <c r="N8" s="28"/>
      <c r="O8" s="28"/>
      <c r="P8" s="418">
        <f t="shared" si="0"/>
        <v>50</v>
      </c>
    </row>
    <row r="9" spans="1:16" ht="16.5" thickBot="1" x14ac:dyDescent="0.3">
      <c r="A9" s="35">
        <v>1000001</v>
      </c>
      <c r="B9" s="12" t="s">
        <v>8</v>
      </c>
      <c r="C9" s="12"/>
      <c r="D9" s="47">
        <v>5</v>
      </c>
      <c r="E9" s="254"/>
      <c r="F9" s="28">
        <v>2</v>
      </c>
      <c r="G9" s="28"/>
      <c r="H9" s="28">
        <v>2</v>
      </c>
      <c r="I9" s="28"/>
      <c r="J9" s="28">
        <v>2</v>
      </c>
      <c r="K9" s="28"/>
      <c r="L9" s="28">
        <v>2</v>
      </c>
      <c r="M9" s="28"/>
      <c r="N9" s="28">
        <v>2</v>
      </c>
      <c r="O9" s="28"/>
      <c r="P9" s="418">
        <f t="shared" si="0"/>
        <v>10</v>
      </c>
    </row>
    <row r="10" spans="1:16" ht="16.5" thickBot="1" x14ac:dyDescent="0.3">
      <c r="A10" s="35">
        <v>1000002</v>
      </c>
      <c r="B10" s="12" t="s">
        <v>9</v>
      </c>
      <c r="C10" s="12"/>
      <c r="D10" s="47">
        <v>1</v>
      </c>
      <c r="E10" s="254"/>
      <c r="F10" s="28"/>
      <c r="G10" s="28"/>
      <c r="H10" s="28">
        <v>1</v>
      </c>
      <c r="I10" s="28"/>
      <c r="J10" s="28"/>
      <c r="K10" s="28"/>
      <c r="L10" s="28"/>
      <c r="M10" s="28"/>
      <c r="N10" s="28">
        <v>1</v>
      </c>
      <c r="O10" s="28"/>
      <c r="P10" s="418">
        <f t="shared" si="0"/>
        <v>2</v>
      </c>
    </row>
    <row r="11" spans="1:16" ht="16.5" thickBot="1" x14ac:dyDescent="0.3">
      <c r="A11" s="35">
        <v>1000004</v>
      </c>
      <c r="B11" s="12" t="s">
        <v>10</v>
      </c>
      <c r="C11" s="12"/>
      <c r="D11" s="47">
        <v>3</v>
      </c>
      <c r="E11" s="254"/>
      <c r="F11" s="28">
        <v>2</v>
      </c>
      <c r="G11" s="28"/>
      <c r="H11" s="28">
        <v>2</v>
      </c>
      <c r="I11" s="28"/>
      <c r="J11" s="28">
        <v>2</v>
      </c>
      <c r="K11" s="28"/>
      <c r="L11" s="28">
        <v>2</v>
      </c>
      <c r="M11" s="28"/>
      <c r="N11" s="28">
        <v>2</v>
      </c>
      <c r="O11" s="28"/>
      <c r="P11" s="418">
        <f t="shared" si="0"/>
        <v>10</v>
      </c>
    </row>
    <row r="12" spans="1:16" ht="16.5" thickBot="1" x14ac:dyDescent="0.3">
      <c r="A12" s="35">
        <v>1000054</v>
      </c>
      <c r="B12" s="12" t="s">
        <v>12</v>
      </c>
      <c r="C12" s="12"/>
      <c r="D12" s="47">
        <v>35</v>
      </c>
      <c r="E12" s="254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6.5" thickBot="1" x14ac:dyDescent="0.3">
      <c r="A13" s="35">
        <v>1000070</v>
      </c>
      <c r="B13" s="12" t="s">
        <v>13</v>
      </c>
      <c r="C13" s="12"/>
      <c r="D13" s="47">
        <v>0</v>
      </c>
      <c r="E13" s="254"/>
      <c r="F13" s="28">
        <v>1</v>
      </c>
      <c r="G13" s="28"/>
      <c r="H13" s="28"/>
      <c r="I13" s="28"/>
      <c r="J13" s="28"/>
      <c r="K13" s="28"/>
      <c r="L13" s="28">
        <v>1</v>
      </c>
      <c r="M13" s="28"/>
      <c r="N13" s="28"/>
      <c r="O13" s="28"/>
      <c r="P13" s="418">
        <f t="shared" si="0"/>
        <v>2</v>
      </c>
    </row>
    <row r="14" spans="1:16" ht="16.5" thickBot="1" x14ac:dyDescent="0.3">
      <c r="A14" s="35">
        <v>1000017</v>
      </c>
      <c r="B14" s="12" t="s">
        <v>14</v>
      </c>
      <c r="C14" s="12"/>
      <c r="D14" s="47">
        <v>50</v>
      </c>
      <c r="E14" s="254"/>
      <c r="F14" s="28">
        <v>5</v>
      </c>
      <c r="G14" s="28"/>
      <c r="H14" s="28">
        <v>5</v>
      </c>
      <c r="I14" s="28"/>
      <c r="J14" s="28">
        <v>5</v>
      </c>
      <c r="K14" s="28"/>
      <c r="L14" s="28">
        <v>5</v>
      </c>
      <c r="M14" s="28"/>
      <c r="N14" s="28">
        <v>5</v>
      </c>
      <c r="O14" s="28"/>
      <c r="P14" s="418">
        <f t="shared" si="0"/>
        <v>25</v>
      </c>
    </row>
    <row r="15" spans="1:16" ht="16.5" thickBot="1" x14ac:dyDescent="0.3">
      <c r="A15" s="35">
        <v>1000016</v>
      </c>
      <c r="B15" s="12" t="s">
        <v>15</v>
      </c>
      <c r="C15" s="12"/>
      <c r="D15" s="47">
        <v>5</v>
      </c>
      <c r="E15" s="254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6.5" thickBot="1" x14ac:dyDescent="0.3">
      <c r="A16" s="35">
        <v>1000049</v>
      </c>
      <c r="B16" s="13" t="s">
        <v>21</v>
      </c>
      <c r="C16" s="13"/>
      <c r="D16" s="47">
        <v>1</v>
      </c>
      <c r="E16" s="254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6.5" thickBot="1" x14ac:dyDescent="0.3">
      <c r="A17" s="35">
        <v>1000050</v>
      </c>
      <c r="B17" s="12" t="s">
        <v>22</v>
      </c>
      <c r="C17" s="12"/>
      <c r="D17" s="47">
        <v>1</v>
      </c>
      <c r="E17" s="254"/>
      <c r="F17" s="28"/>
      <c r="G17" s="28"/>
      <c r="H17" s="28">
        <v>1</v>
      </c>
      <c r="I17" s="28"/>
      <c r="J17" s="28"/>
      <c r="K17" s="28"/>
      <c r="L17" s="28"/>
      <c r="M17" s="28"/>
      <c r="N17" s="28"/>
      <c r="O17" s="28"/>
      <c r="P17" s="418">
        <f t="shared" si="0"/>
        <v>1</v>
      </c>
    </row>
    <row r="18" spans="1:16" ht="16.5" thickBot="1" x14ac:dyDescent="0.3">
      <c r="A18" s="35">
        <v>1000031</v>
      </c>
      <c r="B18" s="14" t="s">
        <v>25</v>
      </c>
      <c r="C18" s="14"/>
      <c r="D18" s="47">
        <v>2</v>
      </c>
      <c r="E18" s="25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6.5" thickBot="1" x14ac:dyDescent="0.3">
      <c r="A19" s="35">
        <v>1000026</v>
      </c>
      <c r="B19" s="12" t="s">
        <v>31</v>
      </c>
      <c r="C19" s="12"/>
      <c r="D19" s="47">
        <v>1</v>
      </c>
      <c r="E19" s="254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6.5" thickBot="1" x14ac:dyDescent="0.3">
      <c r="A20" s="35">
        <v>1000025</v>
      </c>
      <c r="B20" s="12" t="s">
        <v>32</v>
      </c>
      <c r="C20" s="12"/>
      <c r="D20" s="47">
        <v>6</v>
      </c>
      <c r="E20" s="254"/>
      <c r="F20" s="28"/>
      <c r="G20" s="28"/>
      <c r="H20" s="28"/>
      <c r="I20" s="28"/>
      <c r="J20" s="28"/>
      <c r="K20" s="28"/>
      <c r="L20" s="28">
        <v>5</v>
      </c>
      <c r="M20" s="28"/>
      <c r="N20" s="28"/>
      <c r="O20" s="28"/>
      <c r="P20" s="418">
        <f t="shared" si="0"/>
        <v>5</v>
      </c>
    </row>
    <row r="21" spans="1:16" ht="16.5" thickBot="1" x14ac:dyDescent="0.3">
      <c r="A21" s="35">
        <v>1000100</v>
      </c>
      <c r="B21" s="13" t="s">
        <v>34</v>
      </c>
      <c r="C21" s="13"/>
      <c r="D21" s="47">
        <v>0</v>
      </c>
      <c r="E21" s="254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6.5" thickBot="1" x14ac:dyDescent="0.3">
      <c r="A22" s="35">
        <v>1000082</v>
      </c>
      <c r="B22" s="13" t="s">
        <v>37</v>
      </c>
      <c r="C22" s="13"/>
      <c r="D22" s="47">
        <v>90</v>
      </c>
      <c r="E22" s="254"/>
      <c r="F22" s="28"/>
      <c r="G22" s="28"/>
      <c r="H22" s="28"/>
      <c r="I22" s="28"/>
      <c r="J22" s="28">
        <v>8</v>
      </c>
      <c r="K22" s="28"/>
      <c r="L22" s="28"/>
      <c r="M22" s="28"/>
      <c r="N22" s="28">
        <v>8</v>
      </c>
      <c r="O22" s="28"/>
      <c r="P22" s="418">
        <f t="shared" si="0"/>
        <v>16</v>
      </c>
    </row>
    <row r="23" spans="1:16" ht="16.5" thickBot="1" x14ac:dyDescent="0.3">
      <c r="A23" s="35">
        <v>1000084</v>
      </c>
      <c r="B23" s="13" t="s">
        <v>38</v>
      </c>
      <c r="C23" s="13"/>
      <c r="D23" s="47">
        <v>40</v>
      </c>
      <c r="E23" s="254"/>
      <c r="F23" s="28">
        <v>4</v>
      </c>
      <c r="G23" s="28"/>
      <c r="H23" s="28">
        <v>4</v>
      </c>
      <c r="I23" s="28"/>
      <c r="J23" s="28">
        <v>4</v>
      </c>
      <c r="K23" s="28"/>
      <c r="L23" s="28">
        <v>4</v>
      </c>
      <c r="M23" s="28"/>
      <c r="N23" s="28">
        <v>4</v>
      </c>
      <c r="O23" s="28"/>
      <c r="P23" s="418">
        <f t="shared" si="0"/>
        <v>20</v>
      </c>
    </row>
    <row r="24" spans="1:16" ht="16.5" thickBot="1" x14ac:dyDescent="0.3">
      <c r="A24" s="35">
        <v>1000146</v>
      </c>
      <c r="B24" s="13" t="s">
        <v>39</v>
      </c>
      <c r="C24" s="13"/>
      <c r="D24" s="47">
        <v>27</v>
      </c>
      <c r="E24" s="254"/>
      <c r="F24" s="28">
        <v>10</v>
      </c>
      <c r="G24" s="28"/>
      <c r="H24" s="28">
        <v>10</v>
      </c>
      <c r="I24" s="28"/>
      <c r="J24" s="28">
        <v>10</v>
      </c>
      <c r="K24" s="28"/>
      <c r="L24" s="28">
        <v>10</v>
      </c>
      <c r="M24" s="28"/>
      <c r="N24" s="28">
        <v>10</v>
      </c>
      <c r="O24" s="28"/>
      <c r="P24" s="418">
        <f t="shared" si="0"/>
        <v>50</v>
      </c>
    </row>
    <row r="25" spans="1:16" ht="16.5" thickBot="1" x14ac:dyDescent="0.3">
      <c r="A25" s="35">
        <v>10248</v>
      </c>
      <c r="B25" s="13" t="s">
        <v>183</v>
      </c>
      <c r="C25" s="13"/>
      <c r="D25" s="47">
        <v>0</v>
      </c>
      <c r="E25" s="254"/>
      <c r="F25" s="28"/>
      <c r="G25" s="28"/>
      <c r="H25" s="28">
        <v>3</v>
      </c>
      <c r="I25" s="28"/>
      <c r="J25" s="28"/>
      <c r="K25" s="28"/>
      <c r="L25" s="28"/>
      <c r="M25" s="28"/>
      <c r="N25" s="28"/>
      <c r="O25" s="28"/>
      <c r="P25" s="418">
        <f t="shared" si="0"/>
        <v>3</v>
      </c>
    </row>
    <row r="26" spans="1:16" ht="16.5" thickBot="1" x14ac:dyDescent="0.3">
      <c r="A26" s="35">
        <v>1000090</v>
      </c>
      <c r="B26" s="13" t="s">
        <v>40</v>
      </c>
      <c r="C26" s="13"/>
      <c r="D26" s="47">
        <v>1</v>
      </c>
      <c r="E26" s="254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6.5" thickBot="1" x14ac:dyDescent="0.3">
      <c r="A27" s="35">
        <v>1000052</v>
      </c>
      <c r="B27" s="13" t="s">
        <v>41</v>
      </c>
      <c r="C27" s="13"/>
      <c r="D27" s="47">
        <v>3</v>
      </c>
      <c r="E27" s="254"/>
      <c r="F27" s="28">
        <v>1</v>
      </c>
      <c r="G27" s="28"/>
      <c r="H27" s="28"/>
      <c r="I27" s="28"/>
      <c r="J27" s="28"/>
      <c r="K27" s="28"/>
      <c r="L27" s="28"/>
      <c r="M27" s="28"/>
      <c r="N27" s="28">
        <v>2</v>
      </c>
      <c r="O27" s="28"/>
      <c r="P27" s="418">
        <f t="shared" si="0"/>
        <v>3</v>
      </c>
    </row>
    <row r="28" spans="1:16" ht="16.5" thickBot="1" x14ac:dyDescent="0.3">
      <c r="A28" s="35">
        <v>1000089</v>
      </c>
      <c r="B28" s="13" t="s">
        <v>42</v>
      </c>
      <c r="C28" s="13"/>
      <c r="D28" s="47">
        <v>3</v>
      </c>
      <c r="E28" s="254"/>
      <c r="F28" s="28">
        <v>2</v>
      </c>
      <c r="G28" s="28"/>
      <c r="H28" s="28"/>
      <c r="I28" s="28"/>
      <c r="J28" s="28"/>
      <c r="K28" s="28"/>
      <c r="L28" s="28"/>
      <c r="M28" s="28"/>
      <c r="N28" s="28">
        <v>2</v>
      </c>
      <c r="O28" s="28"/>
      <c r="P28" s="418">
        <f t="shared" si="0"/>
        <v>4</v>
      </c>
    </row>
    <row r="29" spans="1:16" ht="16.5" thickBot="1" x14ac:dyDescent="0.3">
      <c r="A29" s="35">
        <v>1000051</v>
      </c>
      <c r="B29" s="13" t="s">
        <v>43</v>
      </c>
      <c r="C29" s="13"/>
      <c r="D29" s="47">
        <v>2</v>
      </c>
      <c r="E29" s="254"/>
      <c r="F29" s="28"/>
      <c r="G29" s="28"/>
      <c r="H29" s="28">
        <v>1</v>
      </c>
      <c r="I29" s="28"/>
      <c r="J29" s="28"/>
      <c r="K29" s="28"/>
      <c r="L29" s="28"/>
      <c r="M29" s="28"/>
      <c r="N29" s="28"/>
      <c r="O29" s="28"/>
      <c r="P29" s="418">
        <f t="shared" si="0"/>
        <v>1</v>
      </c>
    </row>
    <row r="30" spans="1:16" ht="16.5" thickBot="1" x14ac:dyDescent="0.3">
      <c r="A30" s="35">
        <v>1000048</v>
      </c>
      <c r="B30" s="13" t="s">
        <v>45</v>
      </c>
      <c r="C30" s="13"/>
      <c r="D30" s="47">
        <v>0</v>
      </c>
      <c r="E30" s="254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6.5" thickBot="1" x14ac:dyDescent="0.3">
      <c r="A31" s="35">
        <v>1000076</v>
      </c>
      <c r="B31" s="13" t="s">
        <v>46</v>
      </c>
      <c r="C31" s="13"/>
      <c r="D31" s="47">
        <v>0</v>
      </c>
      <c r="E31" s="254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6.5" thickBot="1" x14ac:dyDescent="0.3">
      <c r="A32" s="35">
        <v>1000075</v>
      </c>
      <c r="B32" s="13" t="s">
        <v>47</v>
      </c>
      <c r="C32" s="13"/>
      <c r="D32" s="47">
        <v>0</v>
      </c>
      <c r="E32" s="254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6.5" thickBot="1" x14ac:dyDescent="0.3">
      <c r="A33" s="35">
        <v>10233</v>
      </c>
      <c r="B33" s="13" t="s">
        <v>55</v>
      </c>
      <c r="C33" s="13"/>
      <c r="D33" s="47">
        <v>0</v>
      </c>
      <c r="E33" s="254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6.5" thickBot="1" x14ac:dyDescent="0.3">
      <c r="A34" s="35">
        <v>1000033</v>
      </c>
      <c r="B34" s="13" t="s">
        <v>27</v>
      </c>
      <c r="C34" s="13"/>
      <c r="D34" s="47"/>
      <c r="E34" s="254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6.5" thickBot="1" x14ac:dyDescent="0.3">
      <c r="A35" s="35">
        <v>1000067</v>
      </c>
      <c r="B35" s="13" t="s">
        <v>11</v>
      </c>
      <c r="C35" s="13"/>
      <c r="D35" s="47"/>
      <c r="E35" s="254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6.5" thickBot="1" x14ac:dyDescent="0.3">
      <c r="A36" s="35">
        <v>1000029</v>
      </c>
      <c r="B36" s="13" t="s">
        <v>30</v>
      </c>
      <c r="C36" s="13"/>
      <c r="D36" s="47"/>
      <c r="E36" s="254"/>
      <c r="F36" s="28"/>
      <c r="G36" s="28"/>
      <c r="H36" s="28"/>
      <c r="I36" s="28"/>
      <c r="J36" s="28">
        <v>1</v>
      </c>
      <c r="K36" s="28"/>
      <c r="L36" s="28"/>
      <c r="M36" s="28"/>
      <c r="N36" s="28"/>
      <c r="O36" s="28"/>
      <c r="P36" s="418">
        <f t="shared" si="0"/>
        <v>1</v>
      </c>
    </row>
    <row r="37" spans="1:16" ht="16.5" thickBot="1" x14ac:dyDescent="0.3">
      <c r="A37" s="35">
        <v>1000043</v>
      </c>
      <c r="B37" s="13" t="s">
        <v>84</v>
      </c>
      <c r="C37" s="13"/>
      <c r="D37" s="47"/>
      <c r="E37" s="254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6.5" thickBot="1" x14ac:dyDescent="0.3">
      <c r="A38" s="35">
        <v>1000073</v>
      </c>
      <c r="B38" s="13" t="s">
        <v>36</v>
      </c>
      <c r="C38" s="13"/>
      <c r="D38" s="47"/>
      <c r="E38" s="254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6.5" thickBot="1" x14ac:dyDescent="0.3">
      <c r="A39" s="35">
        <v>1000142</v>
      </c>
      <c r="B39" s="13" t="s">
        <v>54</v>
      </c>
      <c r="C39" s="13"/>
      <c r="D39" s="47"/>
      <c r="E39" s="254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6.5" thickBot="1" x14ac:dyDescent="0.3">
      <c r="A40" s="35">
        <v>1000147</v>
      </c>
      <c r="B40" s="13" t="s">
        <v>52</v>
      </c>
      <c r="C40" s="13"/>
      <c r="D40" s="47"/>
      <c r="E40" s="254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6.5" thickBot="1" x14ac:dyDescent="0.3">
      <c r="A41" s="35">
        <v>1000101</v>
      </c>
      <c r="B41" s="13" t="s">
        <v>35</v>
      </c>
      <c r="C41" s="13"/>
      <c r="D41" s="47"/>
      <c r="E41" s="254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6.5" thickBot="1" x14ac:dyDescent="0.3">
      <c r="A42" s="35">
        <v>10000102</v>
      </c>
      <c r="B42" s="13" t="s">
        <v>2</v>
      </c>
      <c r="C42" s="13"/>
      <c r="D42" s="47"/>
      <c r="E42" s="254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6.5" thickBot="1" x14ac:dyDescent="0.3">
      <c r="A43" s="35">
        <v>1000045</v>
      </c>
      <c r="B43" s="13" t="s">
        <v>23</v>
      </c>
      <c r="C43" s="13"/>
      <c r="D43" s="47"/>
      <c r="E43" s="254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6.5" thickBot="1" x14ac:dyDescent="0.3">
      <c r="A44" s="35">
        <v>10211</v>
      </c>
      <c r="B44" s="13" t="s">
        <v>3</v>
      </c>
      <c r="C44" s="13"/>
      <c r="D44" s="47"/>
      <c r="E44" s="254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6.5" thickBot="1" x14ac:dyDescent="0.3">
      <c r="A45" s="35">
        <v>10249</v>
      </c>
      <c r="B45" s="13" t="s">
        <v>181</v>
      </c>
      <c r="C45" s="13"/>
      <c r="D45" s="47"/>
      <c r="E45" s="254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6.5" thickBot="1" x14ac:dyDescent="0.3">
      <c r="A46" s="35">
        <v>1000433</v>
      </c>
      <c r="B46" s="13" t="s">
        <v>210</v>
      </c>
      <c r="C46" s="13"/>
      <c r="D46" s="47"/>
      <c r="E46" s="254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6.5" thickBot="1" x14ac:dyDescent="0.3">
      <c r="A47" s="35">
        <v>1000057</v>
      </c>
      <c r="B47" s="13" t="s">
        <v>70</v>
      </c>
      <c r="C47" s="13"/>
      <c r="D47" s="47"/>
      <c r="E47" s="254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6.5" thickBot="1" x14ac:dyDescent="0.3">
      <c r="A48" s="35">
        <v>1000472</v>
      </c>
      <c r="B48" s="13" t="s">
        <v>222</v>
      </c>
      <c r="C48" s="13"/>
      <c r="D48" s="47"/>
      <c r="E48" s="254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6.5" thickBot="1" x14ac:dyDescent="0.3">
      <c r="A49" s="35">
        <v>1000214</v>
      </c>
      <c r="B49" s="13" t="s">
        <v>49</v>
      </c>
      <c r="C49" s="13"/>
      <c r="D49" s="47"/>
      <c r="E49" s="254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6.5" thickBot="1" x14ac:dyDescent="0.3">
      <c r="A50" s="35">
        <v>1000064</v>
      </c>
      <c r="B50" s="13" t="s">
        <v>64</v>
      </c>
      <c r="C50" s="13"/>
      <c r="D50" s="47"/>
      <c r="E50" s="254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6.5" thickBot="1" x14ac:dyDescent="0.3">
      <c r="A51" s="35">
        <v>1000412</v>
      </c>
      <c r="B51" s="13" t="s">
        <v>195</v>
      </c>
      <c r="C51" s="13"/>
      <c r="D51" s="47"/>
      <c r="E51" s="254"/>
      <c r="F51" s="28"/>
      <c r="G51" s="28"/>
      <c r="H51" s="28">
        <v>1</v>
      </c>
      <c r="I51" s="28"/>
      <c r="J51" s="28"/>
      <c r="K51" s="28"/>
      <c r="L51" s="28"/>
      <c r="M51" s="28"/>
      <c r="N51" s="28"/>
      <c r="O51" s="28"/>
      <c r="P51" s="418">
        <f t="shared" si="0"/>
        <v>1</v>
      </c>
    </row>
    <row r="52" spans="1:16" s="27" customFormat="1" thickBot="1" x14ac:dyDescent="0.3">
      <c r="A52" s="35">
        <v>1000436</v>
      </c>
      <c r="B52" s="13" t="s">
        <v>276</v>
      </c>
      <c r="C52" s="13"/>
      <c r="D52" s="47"/>
      <c r="E52" s="254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6.5" thickBot="1" x14ac:dyDescent="0.3">
      <c r="A53" s="35">
        <v>1000550</v>
      </c>
      <c r="B53" s="13" t="s">
        <v>277</v>
      </c>
      <c r="C53" s="13"/>
      <c r="D53" s="47"/>
      <c r="E53" s="254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6.5" thickBot="1" x14ac:dyDescent="0.3">
      <c r="A54" s="35">
        <v>1000551</v>
      </c>
      <c r="B54" s="13" t="s">
        <v>278</v>
      </c>
      <c r="C54" s="13"/>
      <c r="D54" s="47"/>
      <c r="E54" s="254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s="27" customFormat="1" thickBot="1" x14ac:dyDescent="0.3">
      <c r="A55" s="35">
        <v>1000552</v>
      </c>
      <c r="B55" s="12" t="s">
        <v>279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s="27" customFormat="1" thickBot="1" x14ac:dyDescent="0.3">
      <c r="A56" s="243">
        <v>1000080</v>
      </c>
      <c r="B56" s="251" t="s">
        <v>275</v>
      </c>
      <c r="C56" s="215"/>
      <c r="D56" s="38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6.5" thickBot="1" x14ac:dyDescent="0.3">
      <c r="A57" s="35">
        <v>1000033</v>
      </c>
      <c r="B57" s="12" t="s">
        <v>28</v>
      </c>
      <c r="D57" s="38"/>
      <c r="F57" s="28">
        <v>1</v>
      </c>
      <c r="G57" s="28"/>
      <c r="H57" s="28"/>
      <c r="I57" s="28"/>
      <c r="J57" s="28">
        <v>1</v>
      </c>
      <c r="K57" s="28"/>
      <c r="L57" s="28"/>
      <c r="M57" s="28"/>
      <c r="N57" s="28"/>
      <c r="O57" s="28"/>
      <c r="P57" s="418">
        <f t="shared" si="0"/>
        <v>2</v>
      </c>
    </row>
    <row r="58" spans="1:16" ht="16.5" thickBot="1" x14ac:dyDescent="0.3">
      <c r="A58" s="35"/>
      <c r="B58" s="12"/>
      <c r="D58" s="3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</sheetData>
  <mergeCells count="2">
    <mergeCell ref="A1:B2"/>
    <mergeCell ref="F1:J2"/>
  </mergeCells>
  <phoneticPr fontId="108" type="noConversion"/>
  <pageMargins left="0.11811023622047244" right="0.31496062992125984" top="0.15748031496062992" bottom="0" header="0.31496062992125984" footer="0.19685039370078741"/>
  <pageSetup paperSize="9" scale="62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B0F2-2B2B-49D6-9823-63BC765CCFCE}">
  <sheetPr>
    <tabColor theme="7" tint="-0.249977111117893"/>
    <pageSetUpPr fitToPage="1"/>
  </sheetPr>
  <dimension ref="A1:S54"/>
  <sheetViews>
    <sheetView zoomScale="70" zoomScaleNormal="70" workbookViewId="0">
      <selection activeCell="U28" sqref="U28"/>
    </sheetView>
  </sheetViews>
  <sheetFormatPr baseColWidth="10" defaultColWidth="10.875" defaultRowHeight="15" x14ac:dyDescent="0.25"/>
  <cols>
    <col min="1" max="1" width="10.2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6.875" style="27" customWidth="1"/>
    <col min="10" max="10" width="9.125" style="27" bestFit="1" customWidth="1"/>
    <col min="11" max="11" width="7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7.375" style="27" customWidth="1"/>
    <col min="16" max="16384" width="10.875" style="27"/>
  </cols>
  <sheetData>
    <row r="1" spans="1:19" ht="17.25" customHeight="1" x14ac:dyDescent="0.45">
      <c r="A1" s="686" t="s">
        <v>157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9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9" s="3" customFormat="1" ht="25.5" customHeight="1" thickBot="1" x14ac:dyDescent="0.3">
      <c r="A3" s="5"/>
      <c r="B3" s="5" t="s">
        <v>458</v>
      </c>
      <c r="C3" s="18"/>
      <c r="D3" s="18"/>
      <c r="S3" s="3" t="s">
        <v>336</v>
      </c>
    </row>
    <row r="4" spans="1:19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9" ht="15.75" thickBot="1" x14ac:dyDescent="0.3">
      <c r="A5" s="30">
        <v>10000015</v>
      </c>
      <c r="B5" s="11" t="s">
        <v>1</v>
      </c>
      <c r="C5" s="41"/>
      <c r="D5" s="48">
        <v>1</v>
      </c>
      <c r="F5" s="586" t="s">
        <v>336</v>
      </c>
      <c r="G5" s="586" t="s">
        <v>336</v>
      </c>
      <c r="H5" s="586" t="s">
        <v>336</v>
      </c>
      <c r="I5" s="586" t="s">
        <v>336</v>
      </c>
      <c r="J5" s="586">
        <v>5</v>
      </c>
      <c r="K5" s="586" t="s">
        <v>336</v>
      </c>
      <c r="L5" s="586" t="s">
        <v>336</v>
      </c>
      <c r="M5" s="586" t="s">
        <v>336</v>
      </c>
      <c r="N5" s="586" t="s">
        <v>336</v>
      </c>
      <c r="O5" s="586" t="s">
        <v>336</v>
      </c>
      <c r="P5" s="605">
        <f t="shared" ref="P5:P54" si="0">SUM(F5:O5)</f>
        <v>5</v>
      </c>
    </row>
    <row r="6" spans="1:19" ht="15.75" thickBot="1" x14ac:dyDescent="0.3">
      <c r="A6" s="35">
        <v>1000006</v>
      </c>
      <c r="B6" s="12" t="s">
        <v>4</v>
      </c>
      <c r="C6" s="41"/>
      <c r="D6" s="47">
        <v>200</v>
      </c>
      <c r="F6" s="586" t="s">
        <v>336</v>
      </c>
      <c r="G6" s="586" t="s">
        <v>336</v>
      </c>
      <c r="H6" s="586">
        <v>50</v>
      </c>
      <c r="I6" s="586" t="s">
        <v>336</v>
      </c>
      <c r="J6" s="586" t="s">
        <v>336</v>
      </c>
      <c r="K6" s="586" t="s">
        <v>336</v>
      </c>
      <c r="L6" s="586">
        <v>100</v>
      </c>
      <c r="M6" s="586" t="s">
        <v>336</v>
      </c>
      <c r="N6" s="586">
        <v>100</v>
      </c>
      <c r="O6" s="586" t="s">
        <v>336</v>
      </c>
      <c r="P6" s="605">
        <f t="shared" si="0"/>
        <v>250</v>
      </c>
    </row>
    <row r="7" spans="1:19" ht="15.75" thickBot="1" x14ac:dyDescent="0.3">
      <c r="A7" s="35">
        <v>1000007</v>
      </c>
      <c r="B7" s="12" t="s">
        <v>5</v>
      </c>
      <c r="C7" s="41"/>
      <c r="D7" s="47">
        <v>200</v>
      </c>
      <c r="F7" s="586" t="s">
        <v>336</v>
      </c>
      <c r="G7" s="586" t="s">
        <v>336</v>
      </c>
      <c r="H7" s="586">
        <v>50</v>
      </c>
      <c r="I7" s="586" t="s">
        <v>336</v>
      </c>
      <c r="J7" s="586" t="s">
        <v>336</v>
      </c>
      <c r="K7" s="586" t="s">
        <v>336</v>
      </c>
      <c r="L7" s="586">
        <v>100</v>
      </c>
      <c r="M7" s="586" t="s">
        <v>336</v>
      </c>
      <c r="N7" s="586">
        <v>100</v>
      </c>
      <c r="O7" s="586" t="s">
        <v>336</v>
      </c>
      <c r="P7" s="605">
        <f t="shared" si="0"/>
        <v>250</v>
      </c>
    </row>
    <row r="8" spans="1:19" ht="15.75" thickBot="1" x14ac:dyDescent="0.3">
      <c r="A8" s="35">
        <v>1000001</v>
      </c>
      <c r="B8" s="12" t="s">
        <v>8</v>
      </c>
      <c r="C8" s="41"/>
      <c r="D8" s="47">
        <v>4</v>
      </c>
      <c r="F8" s="586">
        <v>3</v>
      </c>
      <c r="G8" s="586" t="s">
        <v>336</v>
      </c>
      <c r="H8" s="586" t="s">
        <v>336</v>
      </c>
      <c r="I8" s="586" t="s">
        <v>336</v>
      </c>
      <c r="J8" s="586" t="s">
        <v>336</v>
      </c>
      <c r="K8" s="586" t="s">
        <v>336</v>
      </c>
      <c r="L8" s="586">
        <v>3</v>
      </c>
      <c r="M8" s="586" t="s">
        <v>336</v>
      </c>
      <c r="N8" s="586" t="s">
        <v>336</v>
      </c>
      <c r="O8" s="586" t="s">
        <v>336</v>
      </c>
      <c r="P8" s="605">
        <f t="shared" si="0"/>
        <v>6</v>
      </c>
    </row>
    <row r="9" spans="1:19" ht="15.75" thickBot="1" x14ac:dyDescent="0.3">
      <c r="A9" s="35">
        <v>1000002</v>
      </c>
      <c r="B9" s="12" t="s">
        <v>9</v>
      </c>
      <c r="C9" s="41"/>
      <c r="D9" s="47">
        <v>1</v>
      </c>
      <c r="F9" s="586" t="s">
        <v>336</v>
      </c>
      <c r="G9" s="586" t="s">
        <v>336</v>
      </c>
      <c r="H9" s="586">
        <v>2</v>
      </c>
      <c r="I9" s="586" t="s">
        <v>336</v>
      </c>
      <c r="J9" s="586" t="s">
        <v>336</v>
      </c>
      <c r="K9" s="586" t="s">
        <v>336</v>
      </c>
      <c r="L9" s="586" t="s">
        <v>336</v>
      </c>
      <c r="M9" s="586" t="s">
        <v>336</v>
      </c>
      <c r="N9" s="586" t="s">
        <v>336</v>
      </c>
      <c r="O9" s="586" t="s">
        <v>336</v>
      </c>
      <c r="P9" s="605">
        <f t="shared" si="0"/>
        <v>2</v>
      </c>
    </row>
    <row r="10" spans="1:19" ht="15.75" thickBot="1" x14ac:dyDescent="0.3">
      <c r="A10" s="35">
        <v>1000004</v>
      </c>
      <c r="B10" s="12" t="s">
        <v>10</v>
      </c>
      <c r="C10" s="41"/>
      <c r="D10" s="47">
        <v>2</v>
      </c>
      <c r="F10" s="586">
        <v>3</v>
      </c>
      <c r="G10" s="586" t="s">
        <v>336</v>
      </c>
      <c r="H10" s="586" t="s">
        <v>336</v>
      </c>
      <c r="I10" s="586" t="s">
        <v>336</v>
      </c>
      <c r="J10" s="586" t="s">
        <v>336</v>
      </c>
      <c r="K10" s="586" t="s">
        <v>336</v>
      </c>
      <c r="L10" s="586">
        <v>3</v>
      </c>
      <c r="M10" s="586" t="s">
        <v>336</v>
      </c>
      <c r="N10" s="586" t="s">
        <v>336</v>
      </c>
      <c r="O10" s="586" t="s">
        <v>336</v>
      </c>
      <c r="P10" s="605">
        <f t="shared" si="0"/>
        <v>6</v>
      </c>
    </row>
    <row r="11" spans="1:19" ht="15.75" thickBot="1" x14ac:dyDescent="0.3">
      <c r="A11" s="35">
        <v>1000067</v>
      </c>
      <c r="B11" s="12" t="s">
        <v>11</v>
      </c>
      <c r="C11" s="41"/>
      <c r="D11" s="47">
        <v>1</v>
      </c>
      <c r="F11" s="586" t="s">
        <v>336</v>
      </c>
      <c r="G11" s="586" t="s">
        <v>336</v>
      </c>
      <c r="H11" s="586">
        <v>2</v>
      </c>
      <c r="I11" s="586" t="s">
        <v>336</v>
      </c>
      <c r="J11" s="586">
        <v>1</v>
      </c>
      <c r="K11" s="586" t="s">
        <v>336</v>
      </c>
      <c r="L11" s="586" t="s">
        <v>336</v>
      </c>
      <c r="M11" s="586" t="s">
        <v>336</v>
      </c>
      <c r="N11" s="586" t="s">
        <v>336</v>
      </c>
      <c r="O11" s="586" t="s">
        <v>336</v>
      </c>
      <c r="P11" s="605">
        <f t="shared" si="0"/>
        <v>3</v>
      </c>
    </row>
    <row r="12" spans="1:19" ht="15.75" thickBot="1" x14ac:dyDescent="0.3">
      <c r="A12" s="35">
        <v>1000054</v>
      </c>
      <c r="B12" s="12" t="s">
        <v>12</v>
      </c>
      <c r="C12" s="41"/>
      <c r="D12" s="47">
        <v>30</v>
      </c>
      <c r="F12" s="586">
        <v>25</v>
      </c>
      <c r="G12" s="586" t="s">
        <v>336</v>
      </c>
      <c r="H12" s="586">
        <v>25</v>
      </c>
      <c r="I12" s="586" t="s">
        <v>336</v>
      </c>
      <c r="J12" s="586" t="s">
        <v>336</v>
      </c>
      <c r="K12" s="586" t="s">
        <v>336</v>
      </c>
      <c r="L12" s="586">
        <v>25</v>
      </c>
      <c r="M12" s="586" t="s">
        <v>336</v>
      </c>
      <c r="N12" s="586">
        <v>25</v>
      </c>
      <c r="O12" s="586" t="s">
        <v>336</v>
      </c>
      <c r="P12" s="605">
        <f t="shared" si="0"/>
        <v>100</v>
      </c>
    </row>
    <row r="13" spans="1:19" ht="15.75" thickBot="1" x14ac:dyDescent="0.3">
      <c r="A13" s="35">
        <v>1000070</v>
      </c>
      <c r="B13" s="12" t="s">
        <v>13</v>
      </c>
      <c r="C13" s="41"/>
      <c r="D13" s="47">
        <v>1</v>
      </c>
      <c r="F13" s="586" t="s">
        <v>336</v>
      </c>
      <c r="G13" s="586" t="s">
        <v>336</v>
      </c>
      <c r="H13" s="586" t="s">
        <v>336</v>
      </c>
      <c r="I13" s="586" t="s">
        <v>336</v>
      </c>
      <c r="J13" s="586" t="s">
        <v>336</v>
      </c>
      <c r="K13" s="586" t="s">
        <v>336</v>
      </c>
      <c r="L13" s="586" t="s">
        <v>336</v>
      </c>
      <c r="M13" s="586" t="s">
        <v>336</v>
      </c>
      <c r="N13" s="586" t="s">
        <v>336</v>
      </c>
      <c r="O13" s="586" t="s">
        <v>336</v>
      </c>
      <c r="P13" s="585">
        <f t="shared" si="0"/>
        <v>0</v>
      </c>
    </row>
    <row r="14" spans="1:19" ht="15.75" thickBot="1" x14ac:dyDescent="0.3">
      <c r="A14" s="35">
        <v>1000017</v>
      </c>
      <c r="B14" s="12" t="s">
        <v>14</v>
      </c>
      <c r="C14" s="41"/>
      <c r="D14" s="47">
        <v>10</v>
      </c>
      <c r="F14" s="586">
        <v>25</v>
      </c>
      <c r="G14" s="586" t="s">
        <v>336</v>
      </c>
      <c r="H14" s="586">
        <v>25</v>
      </c>
      <c r="I14" s="586" t="s">
        <v>336</v>
      </c>
      <c r="J14" s="586">
        <v>25</v>
      </c>
      <c r="K14" s="586" t="s">
        <v>336</v>
      </c>
      <c r="L14" s="586">
        <v>25</v>
      </c>
      <c r="M14" s="586" t="s">
        <v>336</v>
      </c>
      <c r="N14" s="586">
        <v>25</v>
      </c>
      <c r="O14" s="586" t="s">
        <v>336</v>
      </c>
      <c r="P14" s="605">
        <f t="shared" si="0"/>
        <v>125</v>
      </c>
    </row>
    <row r="15" spans="1:19" ht="15.75" thickBot="1" x14ac:dyDescent="0.3">
      <c r="A15" s="35">
        <v>1000016</v>
      </c>
      <c r="B15" s="12" t="s">
        <v>15</v>
      </c>
      <c r="C15" s="41"/>
      <c r="D15" s="47">
        <v>5</v>
      </c>
      <c r="F15" s="586" t="s">
        <v>336</v>
      </c>
      <c r="G15" s="586" t="s">
        <v>336</v>
      </c>
      <c r="H15" s="586" t="s">
        <v>336</v>
      </c>
      <c r="I15" s="586" t="s">
        <v>336</v>
      </c>
      <c r="J15" s="586" t="s">
        <v>336</v>
      </c>
      <c r="K15" s="586" t="s">
        <v>336</v>
      </c>
      <c r="L15" s="586" t="s">
        <v>336</v>
      </c>
      <c r="M15" s="586" t="s">
        <v>336</v>
      </c>
      <c r="N15" s="586" t="s">
        <v>336</v>
      </c>
      <c r="O15" s="586" t="s">
        <v>336</v>
      </c>
      <c r="P15" s="585">
        <f t="shared" si="0"/>
        <v>0</v>
      </c>
    </row>
    <row r="16" spans="1:19" ht="15.75" thickBot="1" x14ac:dyDescent="0.3">
      <c r="A16" s="35">
        <v>1000041</v>
      </c>
      <c r="B16" s="13" t="s">
        <v>16</v>
      </c>
      <c r="C16" s="41"/>
      <c r="D16" s="47">
        <v>2</v>
      </c>
      <c r="F16" s="586" t="s">
        <v>336</v>
      </c>
      <c r="G16" s="586" t="s">
        <v>336</v>
      </c>
      <c r="H16" s="586" t="s">
        <v>336</v>
      </c>
      <c r="I16" s="586" t="s">
        <v>336</v>
      </c>
      <c r="J16" s="586" t="s">
        <v>336</v>
      </c>
      <c r="K16" s="586" t="s">
        <v>336</v>
      </c>
      <c r="L16" s="586" t="s">
        <v>336</v>
      </c>
      <c r="M16" s="586" t="s">
        <v>336</v>
      </c>
      <c r="N16" s="586">
        <v>5</v>
      </c>
      <c r="O16" s="586" t="s">
        <v>336</v>
      </c>
      <c r="P16" s="605">
        <f t="shared" si="0"/>
        <v>5</v>
      </c>
    </row>
    <row r="17" spans="1:16" ht="15.75" thickBot="1" x14ac:dyDescent="0.3">
      <c r="A17" s="35">
        <v>1000009</v>
      </c>
      <c r="B17" s="12" t="s">
        <v>19</v>
      </c>
      <c r="C17" s="41"/>
      <c r="D17" s="47">
        <v>1</v>
      </c>
      <c r="F17" s="586" t="s">
        <v>336</v>
      </c>
      <c r="G17" s="586" t="s">
        <v>336</v>
      </c>
      <c r="H17" s="586" t="s">
        <v>336</v>
      </c>
      <c r="I17" s="586" t="s">
        <v>336</v>
      </c>
      <c r="J17" s="586" t="s">
        <v>336</v>
      </c>
      <c r="K17" s="586" t="s">
        <v>336</v>
      </c>
      <c r="L17" s="586" t="s">
        <v>336</v>
      </c>
      <c r="M17" s="586" t="s">
        <v>336</v>
      </c>
      <c r="N17" s="586" t="s">
        <v>336</v>
      </c>
      <c r="O17" s="586" t="s">
        <v>336</v>
      </c>
      <c r="P17" s="585">
        <f t="shared" si="0"/>
        <v>0</v>
      </c>
    </row>
    <row r="18" spans="1:16" ht="15.75" thickBot="1" x14ac:dyDescent="0.3">
      <c r="A18" s="35">
        <v>1000049</v>
      </c>
      <c r="B18" s="14" t="s">
        <v>21</v>
      </c>
      <c r="C18" s="41"/>
      <c r="D18" s="47">
        <v>1</v>
      </c>
      <c r="F18" s="586">
        <v>2</v>
      </c>
      <c r="G18" s="586" t="s">
        <v>336</v>
      </c>
      <c r="H18" s="586" t="s">
        <v>336</v>
      </c>
      <c r="I18" s="586" t="s">
        <v>336</v>
      </c>
      <c r="J18" s="586" t="s">
        <v>336</v>
      </c>
      <c r="K18" s="586" t="s">
        <v>336</v>
      </c>
      <c r="L18" s="586" t="s">
        <v>336</v>
      </c>
      <c r="M18" s="586" t="s">
        <v>336</v>
      </c>
      <c r="N18" s="586" t="s">
        <v>336</v>
      </c>
      <c r="O18" s="586" t="s">
        <v>336</v>
      </c>
      <c r="P18" s="605">
        <f t="shared" si="0"/>
        <v>2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586">
        <v>2</v>
      </c>
      <c r="G19" s="586" t="s">
        <v>336</v>
      </c>
      <c r="H19" s="586" t="s">
        <v>336</v>
      </c>
      <c r="I19" s="586" t="s">
        <v>336</v>
      </c>
      <c r="J19" s="586" t="s">
        <v>336</v>
      </c>
      <c r="K19" s="586" t="s">
        <v>336</v>
      </c>
      <c r="L19" s="586" t="s">
        <v>336</v>
      </c>
      <c r="M19" s="586" t="s">
        <v>336</v>
      </c>
      <c r="N19" s="586" t="s">
        <v>336</v>
      </c>
      <c r="O19" s="586" t="s">
        <v>336</v>
      </c>
      <c r="P19" s="605">
        <f t="shared" si="0"/>
        <v>2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1</v>
      </c>
      <c r="F20" s="586" t="s">
        <v>336</v>
      </c>
      <c r="G20" s="586" t="s">
        <v>336</v>
      </c>
      <c r="H20" s="586" t="s">
        <v>336</v>
      </c>
      <c r="I20" s="586" t="s">
        <v>336</v>
      </c>
      <c r="J20" s="586" t="s">
        <v>336</v>
      </c>
      <c r="K20" s="586" t="s">
        <v>336</v>
      </c>
      <c r="L20" s="586">
        <v>2</v>
      </c>
      <c r="M20" s="586" t="s">
        <v>336</v>
      </c>
      <c r="N20" s="586" t="s">
        <v>336</v>
      </c>
      <c r="O20" s="586" t="s">
        <v>336</v>
      </c>
      <c r="P20" s="605">
        <f t="shared" si="0"/>
        <v>2</v>
      </c>
    </row>
    <row r="21" spans="1:16" ht="15.75" thickBot="1" x14ac:dyDescent="0.3">
      <c r="A21" s="35">
        <v>1000033</v>
      </c>
      <c r="B21" s="12" t="s">
        <v>27</v>
      </c>
      <c r="C21" s="41"/>
      <c r="D21" s="47">
        <v>5</v>
      </c>
      <c r="F21" s="586" t="s">
        <v>336</v>
      </c>
      <c r="G21" s="586" t="s">
        <v>336</v>
      </c>
      <c r="H21" s="586" t="s">
        <v>336</v>
      </c>
      <c r="I21" s="586" t="s">
        <v>336</v>
      </c>
      <c r="J21" s="586" t="s">
        <v>336</v>
      </c>
      <c r="K21" s="586" t="s">
        <v>336</v>
      </c>
      <c r="L21" s="586" t="s">
        <v>336</v>
      </c>
      <c r="M21" s="586" t="s">
        <v>336</v>
      </c>
      <c r="N21" s="586" t="s">
        <v>336</v>
      </c>
      <c r="O21" s="586" t="s">
        <v>336</v>
      </c>
      <c r="P21" s="585">
        <f t="shared" si="0"/>
        <v>0</v>
      </c>
    </row>
    <row r="22" spans="1:16" ht="15.75" thickBot="1" x14ac:dyDescent="0.3">
      <c r="A22" s="35">
        <v>1000090</v>
      </c>
      <c r="B22" s="12" t="s">
        <v>40</v>
      </c>
      <c r="C22" s="41"/>
      <c r="D22" s="47">
        <v>1</v>
      </c>
      <c r="F22" s="586">
        <v>2</v>
      </c>
      <c r="G22" s="586" t="s">
        <v>336</v>
      </c>
      <c r="H22" s="586">
        <v>2</v>
      </c>
      <c r="I22" s="586" t="s">
        <v>336</v>
      </c>
      <c r="J22" s="586">
        <v>2</v>
      </c>
      <c r="K22" s="586" t="s">
        <v>336</v>
      </c>
      <c r="L22" s="586">
        <v>2</v>
      </c>
      <c r="M22" s="586" t="s">
        <v>336</v>
      </c>
      <c r="N22" s="586">
        <v>2</v>
      </c>
      <c r="O22" s="586" t="s">
        <v>336</v>
      </c>
      <c r="P22" s="605">
        <f t="shared" si="0"/>
        <v>10</v>
      </c>
    </row>
    <row r="23" spans="1:16" ht="15.75" thickBot="1" x14ac:dyDescent="0.3">
      <c r="A23" s="35">
        <v>1000052</v>
      </c>
      <c r="B23" s="12" t="s">
        <v>41</v>
      </c>
      <c r="C23" s="41"/>
      <c r="D23" s="47">
        <v>5</v>
      </c>
      <c r="F23" s="586">
        <v>3</v>
      </c>
      <c r="G23" s="586" t="s">
        <v>336</v>
      </c>
      <c r="H23" s="586" t="s">
        <v>336</v>
      </c>
      <c r="I23" s="586" t="s">
        <v>336</v>
      </c>
      <c r="J23" s="586">
        <v>3</v>
      </c>
      <c r="K23" s="586" t="s">
        <v>336</v>
      </c>
      <c r="L23" s="586">
        <v>3</v>
      </c>
      <c r="M23" s="586" t="s">
        <v>336</v>
      </c>
      <c r="N23" s="586">
        <v>3</v>
      </c>
      <c r="O23" s="586" t="s">
        <v>336</v>
      </c>
      <c r="P23" s="605">
        <f t="shared" si="0"/>
        <v>12</v>
      </c>
    </row>
    <row r="24" spans="1:16" ht="15.75" thickBot="1" x14ac:dyDescent="0.3">
      <c r="A24" s="35">
        <v>1000089</v>
      </c>
      <c r="B24" s="12" t="s">
        <v>42</v>
      </c>
      <c r="C24" s="41"/>
      <c r="D24" s="47">
        <v>5</v>
      </c>
      <c r="F24" s="586">
        <v>3</v>
      </c>
      <c r="G24" s="586" t="s">
        <v>336</v>
      </c>
      <c r="H24" s="586" t="s">
        <v>336</v>
      </c>
      <c r="I24" s="586" t="s">
        <v>336</v>
      </c>
      <c r="J24" s="586">
        <v>3</v>
      </c>
      <c r="K24" s="586" t="s">
        <v>336</v>
      </c>
      <c r="L24" s="586">
        <v>3</v>
      </c>
      <c r="M24" s="586" t="s">
        <v>336</v>
      </c>
      <c r="N24" s="586">
        <v>3</v>
      </c>
      <c r="O24" s="586" t="s">
        <v>336</v>
      </c>
      <c r="P24" s="605">
        <f t="shared" si="0"/>
        <v>12</v>
      </c>
    </row>
    <row r="25" spans="1:16" ht="15.75" thickBot="1" x14ac:dyDescent="0.3">
      <c r="A25" s="35">
        <v>1000051</v>
      </c>
      <c r="B25" s="12" t="s">
        <v>43</v>
      </c>
      <c r="C25" s="41"/>
      <c r="D25" s="47">
        <v>1</v>
      </c>
      <c r="F25" s="586" t="s">
        <v>336</v>
      </c>
      <c r="G25" s="586" t="s">
        <v>336</v>
      </c>
      <c r="H25" s="586" t="s">
        <v>336</v>
      </c>
      <c r="I25" s="586" t="s">
        <v>336</v>
      </c>
      <c r="J25" s="586" t="s">
        <v>336</v>
      </c>
      <c r="K25" s="586" t="s">
        <v>336</v>
      </c>
      <c r="L25" s="586" t="s">
        <v>336</v>
      </c>
      <c r="M25" s="586" t="s">
        <v>336</v>
      </c>
      <c r="N25" s="586" t="s">
        <v>336</v>
      </c>
      <c r="O25" s="586" t="s">
        <v>336</v>
      </c>
      <c r="P25" s="585">
        <f t="shared" si="0"/>
        <v>0</v>
      </c>
    </row>
    <row r="26" spans="1:16" ht="15.75" thickBot="1" x14ac:dyDescent="0.3">
      <c r="A26" s="35">
        <v>1000147</v>
      </c>
      <c r="B26" s="12" t="s">
        <v>52</v>
      </c>
      <c r="C26" s="41"/>
      <c r="D26" s="47">
        <v>1</v>
      </c>
      <c r="F26" s="586" t="s">
        <v>336</v>
      </c>
      <c r="G26" s="586" t="s">
        <v>336</v>
      </c>
      <c r="H26" s="586" t="s">
        <v>336</v>
      </c>
      <c r="I26" s="586" t="s">
        <v>336</v>
      </c>
      <c r="J26" s="586" t="s">
        <v>336</v>
      </c>
      <c r="K26" s="586" t="s">
        <v>336</v>
      </c>
      <c r="L26" s="586" t="s">
        <v>336</v>
      </c>
      <c r="M26" s="586" t="s">
        <v>336</v>
      </c>
      <c r="N26" s="586" t="s">
        <v>336</v>
      </c>
      <c r="O26" s="586" t="s">
        <v>336</v>
      </c>
      <c r="P26" s="585">
        <f t="shared" si="0"/>
        <v>0</v>
      </c>
    </row>
    <row r="27" spans="1:16" ht="15.75" thickBot="1" x14ac:dyDescent="0.3">
      <c r="A27" s="35">
        <v>1000412</v>
      </c>
      <c r="B27" s="12" t="s">
        <v>195</v>
      </c>
      <c r="C27" s="41"/>
      <c r="D27" s="47">
        <v>0</v>
      </c>
      <c r="F27" s="586" t="s">
        <v>336</v>
      </c>
      <c r="G27" s="586" t="s">
        <v>336</v>
      </c>
      <c r="H27" s="586" t="s">
        <v>336</v>
      </c>
      <c r="I27" s="586" t="s">
        <v>336</v>
      </c>
      <c r="J27" s="586" t="s">
        <v>336</v>
      </c>
      <c r="K27" s="586" t="s">
        <v>336</v>
      </c>
      <c r="L27" s="586" t="s">
        <v>336</v>
      </c>
      <c r="M27" s="586" t="s">
        <v>336</v>
      </c>
      <c r="N27" s="586" t="s">
        <v>336</v>
      </c>
      <c r="O27" s="586" t="s">
        <v>336</v>
      </c>
      <c r="P27" s="585">
        <f t="shared" si="0"/>
        <v>0</v>
      </c>
    </row>
    <row r="28" spans="1:16" s="15" customFormat="1" ht="15.95" customHeight="1" thickBot="1" x14ac:dyDescent="0.3">
      <c r="A28" s="35">
        <v>1000085</v>
      </c>
      <c r="B28" s="12" t="s">
        <v>50</v>
      </c>
      <c r="C28" s="41"/>
      <c r="D28" s="47">
        <v>0</v>
      </c>
      <c r="E28" s="27"/>
      <c r="F28" s="586" t="s">
        <v>336</v>
      </c>
      <c r="G28" s="586" t="s">
        <v>336</v>
      </c>
      <c r="H28" s="586" t="s">
        <v>336</v>
      </c>
      <c r="I28" s="586" t="s">
        <v>336</v>
      </c>
      <c r="J28" s="586" t="s">
        <v>336</v>
      </c>
      <c r="K28" s="586" t="s">
        <v>336</v>
      </c>
      <c r="L28" s="586" t="s">
        <v>336</v>
      </c>
      <c r="M28" s="586" t="s">
        <v>336</v>
      </c>
      <c r="N28" s="586" t="s">
        <v>336</v>
      </c>
      <c r="O28" s="586" t="s">
        <v>336</v>
      </c>
      <c r="P28" s="585">
        <f t="shared" si="0"/>
        <v>0</v>
      </c>
    </row>
    <row r="29" spans="1:16" ht="15.75" thickBot="1" x14ac:dyDescent="0.3">
      <c r="A29" s="35">
        <v>1000048</v>
      </c>
      <c r="B29" s="13" t="s">
        <v>45</v>
      </c>
      <c r="C29" s="41"/>
      <c r="D29" s="47">
        <v>0</v>
      </c>
      <c r="F29" s="586" t="s">
        <v>336</v>
      </c>
      <c r="G29" s="586" t="s">
        <v>336</v>
      </c>
      <c r="H29" s="586" t="s">
        <v>336</v>
      </c>
      <c r="I29" s="586" t="s">
        <v>336</v>
      </c>
      <c r="J29" s="586" t="s">
        <v>336</v>
      </c>
      <c r="K29" s="586" t="s">
        <v>336</v>
      </c>
      <c r="L29" s="586" t="s">
        <v>336</v>
      </c>
      <c r="M29" s="586" t="s">
        <v>336</v>
      </c>
      <c r="N29" s="586" t="s">
        <v>336</v>
      </c>
      <c r="O29" s="586" t="s">
        <v>336</v>
      </c>
      <c r="P29" s="585">
        <f t="shared" si="0"/>
        <v>0</v>
      </c>
    </row>
    <row r="30" spans="1:16" ht="15.75" thickBot="1" x14ac:dyDescent="0.3">
      <c r="A30" s="35">
        <v>1000076</v>
      </c>
      <c r="B30" s="12" t="s">
        <v>46</v>
      </c>
      <c r="C30" s="41"/>
      <c r="D30" s="47"/>
      <c r="F30" s="586" t="s">
        <v>336</v>
      </c>
      <c r="G30" s="586" t="s">
        <v>336</v>
      </c>
      <c r="H30" s="586" t="s">
        <v>336</v>
      </c>
      <c r="I30" s="586" t="s">
        <v>336</v>
      </c>
      <c r="J30" s="586" t="s">
        <v>336</v>
      </c>
      <c r="K30" s="586" t="s">
        <v>336</v>
      </c>
      <c r="L30" s="586" t="s">
        <v>336</v>
      </c>
      <c r="M30" s="586" t="s">
        <v>336</v>
      </c>
      <c r="N30" s="586" t="s">
        <v>336</v>
      </c>
      <c r="O30" s="586" t="s">
        <v>336</v>
      </c>
      <c r="P30" s="585">
        <f t="shared" si="0"/>
        <v>0</v>
      </c>
    </row>
    <row r="31" spans="1:16" ht="15.75" thickBot="1" x14ac:dyDescent="0.3">
      <c r="A31" s="35">
        <v>1000008</v>
      </c>
      <c r="B31" s="12" t="s">
        <v>7</v>
      </c>
      <c r="C31" s="41"/>
      <c r="D31" s="47"/>
      <c r="F31" s="586" t="s">
        <v>336</v>
      </c>
      <c r="G31" s="586" t="s">
        <v>336</v>
      </c>
      <c r="H31" s="586" t="s">
        <v>336</v>
      </c>
      <c r="I31" s="586" t="s">
        <v>336</v>
      </c>
      <c r="J31" s="586" t="s">
        <v>336</v>
      </c>
      <c r="K31" s="586" t="s">
        <v>336</v>
      </c>
      <c r="L31" s="586" t="s">
        <v>336</v>
      </c>
      <c r="M31" s="586" t="s">
        <v>336</v>
      </c>
      <c r="N31" s="586" t="s">
        <v>336</v>
      </c>
      <c r="O31" s="586" t="s">
        <v>336</v>
      </c>
      <c r="P31" s="585">
        <f t="shared" si="0"/>
        <v>0</v>
      </c>
    </row>
    <row r="32" spans="1:16" ht="15.75" thickBot="1" x14ac:dyDescent="0.3">
      <c r="A32" s="35">
        <v>1000214</v>
      </c>
      <c r="B32" s="12" t="s">
        <v>49</v>
      </c>
      <c r="C32" s="41"/>
      <c r="D32" s="47"/>
      <c r="F32" s="586" t="s">
        <v>336</v>
      </c>
      <c r="G32" s="586" t="s">
        <v>336</v>
      </c>
      <c r="H32" s="586" t="s">
        <v>336</v>
      </c>
      <c r="I32" s="586" t="s">
        <v>336</v>
      </c>
      <c r="J32" s="586" t="s">
        <v>336</v>
      </c>
      <c r="K32" s="586" t="s">
        <v>336</v>
      </c>
      <c r="L32" s="586" t="s">
        <v>336</v>
      </c>
      <c r="M32" s="586" t="s">
        <v>336</v>
      </c>
      <c r="N32" s="586" t="s">
        <v>336</v>
      </c>
      <c r="O32" s="586" t="s">
        <v>336</v>
      </c>
      <c r="P32" s="585">
        <f t="shared" si="0"/>
        <v>0</v>
      </c>
    </row>
    <row r="33" spans="1:16" ht="15.75" thickBot="1" x14ac:dyDescent="0.3">
      <c r="A33" s="35">
        <v>1000029</v>
      </c>
      <c r="B33" s="12" t="s">
        <v>30</v>
      </c>
      <c r="C33" s="41"/>
      <c r="D33" s="47"/>
      <c r="F33" s="586" t="s">
        <v>336</v>
      </c>
      <c r="G33" s="586" t="s">
        <v>336</v>
      </c>
      <c r="H33" s="586" t="s">
        <v>336</v>
      </c>
      <c r="I33" s="586" t="s">
        <v>336</v>
      </c>
      <c r="J33" s="586" t="s">
        <v>336</v>
      </c>
      <c r="K33" s="586" t="s">
        <v>336</v>
      </c>
      <c r="L33" s="586" t="s">
        <v>336</v>
      </c>
      <c r="M33" s="586" t="s">
        <v>336</v>
      </c>
      <c r="N33" s="586" t="s">
        <v>336</v>
      </c>
      <c r="O33" s="586" t="s">
        <v>336</v>
      </c>
      <c r="P33" s="585">
        <f t="shared" si="0"/>
        <v>0</v>
      </c>
    </row>
    <row r="34" spans="1:16" ht="15.75" thickBot="1" x14ac:dyDescent="0.3">
      <c r="A34" s="35">
        <v>1000057</v>
      </c>
      <c r="B34" s="12" t="s">
        <v>70</v>
      </c>
      <c r="C34" s="41"/>
      <c r="D34" s="47"/>
      <c r="F34" s="586" t="s">
        <v>336</v>
      </c>
      <c r="G34" s="586" t="s">
        <v>336</v>
      </c>
      <c r="H34" s="586" t="s">
        <v>336</v>
      </c>
      <c r="I34" s="586" t="s">
        <v>336</v>
      </c>
      <c r="J34" s="586" t="s">
        <v>336</v>
      </c>
      <c r="K34" s="586" t="s">
        <v>336</v>
      </c>
      <c r="L34" s="586" t="s">
        <v>336</v>
      </c>
      <c r="M34" s="586" t="s">
        <v>336</v>
      </c>
      <c r="N34" s="586" t="s">
        <v>336</v>
      </c>
      <c r="O34" s="586" t="s">
        <v>336</v>
      </c>
      <c r="P34" s="585">
        <f t="shared" si="0"/>
        <v>0</v>
      </c>
    </row>
    <row r="35" spans="1:16" ht="15.75" thickBot="1" x14ac:dyDescent="0.3">
      <c r="A35" s="35">
        <v>1000082</v>
      </c>
      <c r="B35" s="12" t="s">
        <v>37</v>
      </c>
      <c r="C35" s="41"/>
      <c r="D35" s="47"/>
      <c r="F35" s="586" t="s">
        <v>336</v>
      </c>
      <c r="G35" s="586" t="s">
        <v>336</v>
      </c>
      <c r="H35" s="586" t="s">
        <v>336</v>
      </c>
      <c r="I35" s="586" t="s">
        <v>336</v>
      </c>
      <c r="J35" s="586" t="s">
        <v>336</v>
      </c>
      <c r="K35" s="586" t="s">
        <v>336</v>
      </c>
      <c r="L35" s="586">
        <v>24</v>
      </c>
      <c r="M35" s="586" t="s">
        <v>336</v>
      </c>
      <c r="N35" s="586">
        <v>24</v>
      </c>
      <c r="O35" s="586" t="s">
        <v>336</v>
      </c>
      <c r="P35" s="605">
        <f t="shared" si="0"/>
        <v>48</v>
      </c>
    </row>
    <row r="36" spans="1:16" ht="15.75" thickBot="1" x14ac:dyDescent="0.3">
      <c r="A36" s="35">
        <v>1000449</v>
      </c>
      <c r="B36" s="12" t="s">
        <v>202</v>
      </c>
      <c r="C36" s="41"/>
      <c r="D36" s="47"/>
      <c r="F36" s="586" t="s">
        <v>336</v>
      </c>
      <c r="G36" s="586" t="s">
        <v>336</v>
      </c>
      <c r="H36" s="586" t="s">
        <v>336</v>
      </c>
      <c r="I36" s="586" t="s">
        <v>336</v>
      </c>
      <c r="J36" s="586" t="s">
        <v>336</v>
      </c>
      <c r="K36" s="586" t="s">
        <v>336</v>
      </c>
      <c r="L36" s="586" t="s">
        <v>336</v>
      </c>
      <c r="M36" s="586" t="s">
        <v>336</v>
      </c>
      <c r="N36" s="586" t="s">
        <v>336</v>
      </c>
      <c r="O36" s="586" t="s">
        <v>336</v>
      </c>
      <c r="P36" s="585">
        <f t="shared" si="0"/>
        <v>0</v>
      </c>
    </row>
    <row r="37" spans="1:16" ht="15.75" thickBot="1" x14ac:dyDescent="0.3">
      <c r="A37" s="35">
        <v>10000102</v>
      </c>
      <c r="B37" s="12" t="s">
        <v>2</v>
      </c>
      <c r="C37" s="41"/>
      <c r="D37" s="47"/>
      <c r="F37" s="586" t="s">
        <v>336</v>
      </c>
      <c r="G37" s="586" t="s">
        <v>336</v>
      </c>
      <c r="H37" s="586" t="s">
        <v>336</v>
      </c>
      <c r="I37" s="586" t="s">
        <v>336</v>
      </c>
      <c r="J37" s="586" t="s">
        <v>336</v>
      </c>
      <c r="K37" s="586" t="s">
        <v>336</v>
      </c>
      <c r="L37" s="586" t="s">
        <v>336</v>
      </c>
      <c r="M37" s="586" t="s">
        <v>336</v>
      </c>
      <c r="N37" s="586" t="s">
        <v>336</v>
      </c>
      <c r="O37" s="586" t="s">
        <v>336</v>
      </c>
      <c r="P37" s="585">
        <f t="shared" si="0"/>
        <v>0</v>
      </c>
    </row>
    <row r="38" spans="1:16" ht="15.75" thickBot="1" x14ac:dyDescent="0.3">
      <c r="A38" s="35">
        <v>1000142</v>
      </c>
      <c r="B38" s="12" t="s">
        <v>54</v>
      </c>
      <c r="C38" s="41"/>
      <c r="D38" s="47"/>
      <c r="F38" s="586">
        <v>1</v>
      </c>
      <c r="G38" s="586" t="s">
        <v>336</v>
      </c>
      <c r="H38" s="586" t="s">
        <v>336</v>
      </c>
      <c r="I38" s="586" t="s">
        <v>336</v>
      </c>
      <c r="J38" s="586" t="s">
        <v>336</v>
      </c>
      <c r="K38" s="586" t="s">
        <v>336</v>
      </c>
      <c r="L38" s="586" t="s">
        <v>336</v>
      </c>
      <c r="M38" s="586" t="s">
        <v>336</v>
      </c>
      <c r="N38" s="586" t="s">
        <v>336</v>
      </c>
      <c r="O38" s="586" t="s">
        <v>336</v>
      </c>
      <c r="P38" s="605">
        <f t="shared" si="0"/>
        <v>1</v>
      </c>
    </row>
    <row r="39" spans="1:16" ht="15.75" thickBot="1" x14ac:dyDescent="0.3">
      <c r="A39" s="35">
        <v>1000084</v>
      </c>
      <c r="B39" s="12" t="s">
        <v>38</v>
      </c>
      <c r="C39" s="41"/>
      <c r="D39" s="47"/>
      <c r="F39" s="586" t="s">
        <v>336</v>
      </c>
      <c r="G39" s="586" t="s">
        <v>336</v>
      </c>
      <c r="H39" s="586" t="s">
        <v>336</v>
      </c>
      <c r="I39" s="586" t="s">
        <v>336</v>
      </c>
      <c r="J39" s="586" t="s">
        <v>336</v>
      </c>
      <c r="K39" s="586" t="s">
        <v>336</v>
      </c>
      <c r="L39" s="586" t="s">
        <v>336</v>
      </c>
      <c r="M39" s="586" t="s">
        <v>336</v>
      </c>
      <c r="N39" s="586">
        <v>20</v>
      </c>
      <c r="O39" s="586" t="s">
        <v>336</v>
      </c>
      <c r="P39" s="605">
        <f t="shared" si="0"/>
        <v>20</v>
      </c>
    </row>
    <row r="40" spans="1:16" ht="15.75" thickBot="1" x14ac:dyDescent="0.3">
      <c r="A40" s="35">
        <v>1000439</v>
      </c>
      <c r="B40" s="12" t="s">
        <v>193</v>
      </c>
      <c r="C40" s="41"/>
      <c r="D40" s="47"/>
      <c r="F40" s="586" t="s">
        <v>336</v>
      </c>
      <c r="G40" s="586" t="s">
        <v>336</v>
      </c>
      <c r="H40" s="586" t="s">
        <v>336</v>
      </c>
      <c r="I40" s="586" t="s">
        <v>336</v>
      </c>
      <c r="J40" s="586" t="s">
        <v>336</v>
      </c>
      <c r="K40" s="586" t="s">
        <v>336</v>
      </c>
      <c r="L40" s="586" t="s">
        <v>336</v>
      </c>
      <c r="M40" s="586" t="s">
        <v>336</v>
      </c>
      <c r="N40" s="586" t="s">
        <v>336</v>
      </c>
      <c r="O40" s="586" t="s">
        <v>336</v>
      </c>
      <c r="P40" s="585">
        <f t="shared" si="0"/>
        <v>0</v>
      </c>
    </row>
    <row r="41" spans="1:16" ht="15.75" thickBot="1" x14ac:dyDescent="0.3">
      <c r="A41" s="35">
        <v>1000101</v>
      </c>
      <c r="B41" s="12" t="s">
        <v>35</v>
      </c>
      <c r="C41" s="41"/>
      <c r="D41" s="47"/>
      <c r="F41" s="586" t="s">
        <v>336</v>
      </c>
      <c r="G41" s="586" t="s">
        <v>336</v>
      </c>
      <c r="H41" s="586" t="s">
        <v>336</v>
      </c>
      <c r="I41" s="586" t="s">
        <v>336</v>
      </c>
      <c r="J41" s="586" t="s">
        <v>336</v>
      </c>
      <c r="K41" s="586" t="s">
        <v>336</v>
      </c>
      <c r="L41" s="586" t="s">
        <v>336</v>
      </c>
      <c r="M41" s="586" t="s">
        <v>336</v>
      </c>
      <c r="N41" s="586" t="s">
        <v>336</v>
      </c>
      <c r="O41" s="586" t="s">
        <v>336</v>
      </c>
      <c r="P41" s="585">
        <f t="shared" si="0"/>
        <v>0</v>
      </c>
    </row>
    <row r="42" spans="1:16" ht="15.75" thickBot="1" x14ac:dyDescent="0.3">
      <c r="A42" s="35">
        <v>10248</v>
      </c>
      <c r="B42" s="12" t="s">
        <v>183</v>
      </c>
      <c r="C42" s="41"/>
      <c r="D42" s="47"/>
      <c r="F42" s="586" t="s">
        <v>336</v>
      </c>
      <c r="G42" s="586" t="s">
        <v>336</v>
      </c>
      <c r="H42" s="586" t="s">
        <v>336</v>
      </c>
      <c r="I42" s="586" t="s">
        <v>336</v>
      </c>
      <c r="J42" s="586" t="s">
        <v>336</v>
      </c>
      <c r="K42" s="586" t="s">
        <v>336</v>
      </c>
      <c r="L42" s="586" t="s">
        <v>336</v>
      </c>
      <c r="M42" s="586" t="s">
        <v>336</v>
      </c>
      <c r="N42" s="586" t="s">
        <v>336</v>
      </c>
      <c r="O42" s="586" t="s">
        <v>336</v>
      </c>
      <c r="P42" s="585">
        <f t="shared" si="0"/>
        <v>0</v>
      </c>
    </row>
    <row r="43" spans="1:16" ht="15.75" thickBot="1" x14ac:dyDescent="0.3">
      <c r="A43" s="35">
        <v>1000075</v>
      </c>
      <c r="B43" s="12" t="s">
        <v>47</v>
      </c>
      <c r="C43" s="41"/>
      <c r="D43" s="47"/>
      <c r="F43" s="586" t="s">
        <v>336</v>
      </c>
      <c r="G43" s="586" t="s">
        <v>336</v>
      </c>
      <c r="H43" s="586" t="s">
        <v>336</v>
      </c>
      <c r="I43" s="586" t="s">
        <v>336</v>
      </c>
      <c r="J43" s="586" t="s">
        <v>336</v>
      </c>
      <c r="K43" s="586" t="s">
        <v>336</v>
      </c>
      <c r="L43" s="586" t="s">
        <v>336</v>
      </c>
      <c r="M43" s="586" t="s">
        <v>336</v>
      </c>
      <c r="N43" s="586" t="s">
        <v>336</v>
      </c>
      <c r="O43" s="586" t="s">
        <v>336</v>
      </c>
      <c r="P43" s="585">
        <f t="shared" si="0"/>
        <v>0</v>
      </c>
    </row>
    <row r="44" spans="1:16" ht="15.75" thickBot="1" x14ac:dyDescent="0.3">
      <c r="A44" s="35">
        <v>1000092</v>
      </c>
      <c r="B44" s="12" t="s">
        <v>51</v>
      </c>
      <c r="C44" s="41"/>
      <c r="D44" s="47"/>
      <c r="F44" s="586" t="s">
        <v>336</v>
      </c>
      <c r="G44" s="586" t="s">
        <v>336</v>
      </c>
      <c r="H44" s="586" t="s">
        <v>336</v>
      </c>
      <c r="I44" s="586" t="s">
        <v>336</v>
      </c>
      <c r="J44" s="586" t="s">
        <v>336</v>
      </c>
      <c r="K44" s="586" t="s">
        <v>336</v>
      </c>
      <c r="L44" s="586" t="s">
        <v>336</v>
      </c>
      <c r="M44" s="586" t="s">
        <v>336</v>
      </c>
      <c r="N44" s="586" t="s">
        <v>336</v>
      </c>
      <c r="O44" s="586" t="s">
        <v>336</v>
      </c>
      <c r="P44" s="585">
        <f t="shared" si="0"/>
        <v>0</v>
      </c>
    </row>
    <row r="45" spans="1:16" ht="15.75" thickBot="1" x14ac:dyDescent="0.3">
      <c r="A45" s="35">
        <v>1000025</v>
      </c>
      <c r="B45" s="12" t="s">
        <v>32</v>
      </c>
      <c r="C45" s="41"/>
      <c r="D45" s="47"/>
      <c r="F45" s="586" t="s">
        <v>336</v>
      </c>
      <c r="G45" s="586" t="s">
        <v>336</v>
      </c>
      <c r="H45" s="586" t="s">
        <v>336</v>
      </c>
      <c r="I45" s="586" t="s">
        <v>336</v>
      </c>
      <c r="J45" s="586" t="s">
        <v>336</v>
      </c>
      <c r="K45" s="586" t="s">
        <v>336</v>
      </c>
      <c r="L45" s="586" t="s">
        <v>336</v>
      </c>
      <c r="M45" s="586" t="s">
        <v>336</v>
      </c>
      <c r="N45" s="586" t="s">
        <v>336</v>
      </c>
      <c r="O45" s="586" t="s">
        <v>336</v>
      </c>
      <c r="P45" s="585">
        <f t="shared" si="0"/>
        <v>0</v>
      </c>
    </row>
    <row r="46" spans="1:16" ht="15.75" thickBot="1" x14ac:dyDescent="0.3">
      <c r="A46" s="35">
        <v>1000036</v>
      </c>
      <c r="B46" s="12" t="s">
        <v>75</v>
      </c>
      <c r="C46" s="41"/>
      <c r="D46" s="47"/>
      <c r="F46" s="586" t="s">
        <v>336</v>
      </c>
      <c r="G46" s="586" t="s">
        <v>336</v>
      </c>
      <c r="H46" s="586" t="s">
        <v>336</v>
      </c>
      <c r="I46" s="586" t="s">
        <v>336</v>
      </c>
      <c r="J46" s="586" t="s">
        <v>336</v>
      </c>
      <c r="K46" s="586" t="s">
        <v>336</v>
      </c>
      <c r="L46" s="586" t="s">
        <v>336</v>
      </c>
      <c r="M46" s="586" t="s">
        <v>336</v>
      </c>
      <c r="N46" s="586" t="s">
        <v>336</v>
      </c>
      <c r="O46" s="586" t="s">
        <v>336</v>
      </c>
      <c r="P46" s="585">
        <f t="shared" si="0"/>
        <v>0</v>
      </c>
    </row>
    <row r="47" spans="1:16" ht="15.75" thickBot="1" x14ac:dyDescent="0.3">
      <c r="A47" s="35">
        <v>1000037</v>
      </c>
      <c r="B47" s="12" t="s">
        <v>76</v>
      </c>
      <c r="C47" s="41"/>
      <c r="D47" s="47"/>
      <c r="F47" s="586" t="s">
        <v>336</v>
      </c>
      <c r="G47" s="586" t="s">
        <v>336</v>
      </c>
      <c r="H47" s="586" t="s">
        <v>336</v>
      </c>
      <c r="I47" s="586" t="s">
        <v>336</v>
      </c>
      <c r="J47" s="586" t="s">
        <v>336</v>
      </c>
      <c r="K47" s="586" t="s">
        <v>336</v>
      </c>
      <c r="L47" s="586" t="s">
        <v>336</v>
      </c>
      <c r="M47" s="586" t="s">
        <v>336</v>
      </c>
      <c r="N47" s="586" t="s">
        <v>336</v>
      </c>
      <c r="O47" s="586" t="s">
        <v>336</v>
      </c>
      <c r="P47" s="585">
        <f t="shared" si="0"/>
        <v>0</v>
      </c>
    </row>
    <row r="48" spans="1:16" ht="15.75" thickBot="1" x14ac:dyDescent="0.3">
      <c r="A48" s="35">
        <v>1000436</v>
      </c>
      <c r="B48" s="12" t="s">
        <v>276</v>
      </c>
      <c r="C48" s="41"/>
      <c r="D48" s="47"/>
      <c r="F48" s="586" t="s">
        <v>336</v>
      </c>
      <c r="G48" s="586" t="s">
        <v>336</v>
      </c>
      <c r="H48" s="586" t="s">
        <v>336</v>
      </c>
      <c r="I48" s="586" t="s">
        <v>336</v>
      </c>
      <c r="J48" s="586" t="s">
        <v>336</v>
      </c>
      <c r="K48" s="586" t="s">
        <v>336</v>
      </c>
      <c r="L48" s="586" t="s">
        <v>336</v>
      </c>
      <c r="M48" s="586" t="s">
        <v>336</v>
      </c>
      <c r="N48" s="586" t="s">
        <v>336</v>
      </c>
      <c r="O48" s="586" t="s">
        <v>336</v>
      </c>
      <c r="P48" s="585">
        <f t="shared" si="0"/>
        <v>0</v>
      </c>
    </row>
    <row r="49" spans="1:16" ht="15.75" thickBot="1" x14ac:dyDescent="0.3">
      <c r="A49" s="35">
        <v>1000550</v>
      </c>
      <c r="B49" s="12" t="s">
        <v>277</v>
      </c>
      <c r="C49" s="41"/>
      <c r="D49" s="47"/>
      <c r="F49" s="586" t="s">
        <v>336</v>
      </c>
      <c r="G49" s="586" t="s">
        <v>336</v>
      </c>
      <c r="H49" s="586" t="s">
        <v>336</v>
      </c>
      <c r="I49" s="586" t="s">
        <v>336</v>
      </c>
      <c r="J49" s="586" t="s">
        <v>336</v>
      </c>
      <c r="K49" s="586" t="s">
        <v>336</v>
      </c>
      <c r="L49" s="586" t="s">
        <v>336</v>
      </c>
      <c r="M49" s="586" t="s">
        <v>336</v>
      </c>
      <c r="N49" s="586" t="s">
        <v>336</v>
      </c>
      <c r="O49" s="586" t="s">
        <v>336</v>
      </c>
      <c r="P49" s="585">
        <f t="shared" si="0"/>
        <v>0</v>
      </c>
    </row>
    <row r="50" spans="1:16" ht="15.75" thickBot="1" x14ac:dyDescent="0.3">
      <c r="A50" s="35">
        <v>1000551</v>
      </c>
      <c r="B50" s="12" t="s">
        <v>278</v>
      </c>
      <c r="C50" s="41"/>
      <c r="D50" s="47"/>
      <c r="F50" s="586" t="s">
        <v>336</v>
      </c>
      <c r="G50" s="586" t="s">
        <v>336</v>
      </c>
      <c r="H50" s="586" t="s">
        <v>336</v>
      </c>
      <c r="I50" s="586" t="s">
        <v>336</v>
      </c>
      <c r="J50" s="586" t="s">
        <v>336</v>
      </c>
      <c r="K50" s="586" t="s">
        <v>336</v>
      </c>
      <c r="L50" s="586" t="s">
        <v>336</v>
      </c>
      <c r="M50" s="586" t="s">
        <v>336</v>
      </c>
      <c r="N50" s="586" t="s">
        <v>336</v>
      </c>
      <c r="O50" s="586" t="s">
        <v>336</v>
      </c>
      <c r="P50" s="585">
        <f t="shared" si="0"/>
        <v>0</v>
      </c>
    </row>
    <row r="51" spans="1:16" ht="15.75" thickBot="1" x14ac:dyDescent="0.3">
      <c r="A51" s="35">
        <v>1000552</v>
      </c>
      <c r="B51" s="12" t="s">
        <v>279</v>
      </c>
      <c r="C51" s="41"/>
      <c r="D51" s="47"/>
      <c r="F51" s="586" t="s">
        <v>336</v>
      </c>
      <c r="G51" s="586" t="s">
        <v>336</v>
      </c>
      <c r="H51" s="586" t="s">
        <v>336</v>
      </c>
      <c r="I51" s="586" t="s">
        <v>336</v>
      </c>
      <c r="J51" s="586" t="s">
        <v>336</v>
      </c>
      <c r="K51" s="586" t="s">
        <v>336</v>
      </c>
      <c r="L51" s="586" t="s">
        <v>336</v>
      </c>
      <c r="M51" s="586" t="s">
        <v>336</v>
      </c>
      <c r="N51" s="586" t="s">
        <v>336</v>
      </c>
      <c r="O51" s="586" t="s">
        <v>336</v>
      </c>
      <c r="P51" s="585">
        <f t="shared" si="0"/>
        <v>0</v>
      </c>
    </row>
    <row r="52" spans="1:16" s="200" customFormat="1" ht="15.75" thickBot="1" x14ac:dyDescent="0.3">
      <c r="A52" s="38">
        <v>1000080</v>
      </c>
      <c r="B52" s="17" t="s">
        <v>275</v>
      </c>
      <c r="C52" s="41"/>
      <c r="D52" s="46"/>
      <c r="E52" s="27"/>
      <c r="F52" s="586" t="s">
        <v>336</v>
      </c>
      <c r="G52" s="586" t="s">
        <v>336</v>
      </c>
      <c r="H52" s="586" t="s">
        <v>336</v>
      </c>
      <c r="I52" s="586" t="s">
        <v>336</v>
      </c>
      <c r="J52" s="586" t="s">
        <v>336</v>
      </c>
      <c r="K52" s="586" t="s">
        <v>336</v>
      </c>
      <c r="L52" s="586" t="s">
        <v>336</v>
      </c>
      <c r="M52" s="586" t="s">
        <v>336</v>
      </c>
      <c r="N52" s="586" t="s">
        <v>336</v>
      </c>
      <c r="O52" s="586" t="s">
        <v>336</v>
      </c>
      <c r="P52" s="585">
        <f t="shared" si="0"/>
        <v>0</v>
      </c>
    </row>
    <row r="53" spans="1:16" ht="15.75" thickBot="1" x14ac:dyDescent="0.3">
      <c r="A53" s="35">
        <v>1000035</v>
      </c>
      <c r="B53" s="55" t="s">
        <v>29</v>
      </c>
      <c r="D53" s="46"/>
      <c r="F53" s="586" t="s">
        <v>336</v>
      </c>
      <c r="G53" s="586" t="s">
        <v>336</v>
      </c>
      <c r="H53" s="586" t="s">
        <v>336</v>
      </c>
      <c r="I53" s="586" t="s">
        <v>336</v>
      </c>
      <c r="J53" s="586" t="s">
        <v>336</v>
      </c>
      <c r="K53" s="586" t="s">
        <v>336</v>
      </c>
      <c r="L53" s="586" t="s">
        <v>336</v>
      </c>
      <c r="M53" s="586" t="s">
        <v>336</v>
      </c>
      <c r="N53" s="586" t="s">
        <v>336</v>
      </c>
      <c r="O53" s="586" t="s">
        <v>336</v>
      </c>
      <c r="P53" s="585">
        <f t="shared" si="0"/>
        <v>0</v>
      </c>
    </row>
    <row r="54" spans="1:16" ht="15.75" thickBot="1" x14ac:dyDescent="0.3">
      <c r="A54" s="35">
        <v>1000034</v>
      </c>
      <c r="B54" s="12" t="s">
        <v>28</v>
      </c>
      <c r="D54" s="46"/>
      <c r="F54" s="586" t="s">
        <v>336</v>
      </c>
      <c r="G54" s="586" t="s">
        <v>336</v>
      </c>
      <c r="H54" s="586" t="s">
        <v>336</v>
      </c>
      <c r="I54" s="586" t="s">
        <v>336</v>
      </c>
      <c r="J54" s="586" t="s">
        <v>336</v>
      </c>
      <c r="K54" s="586" t="s">
        <v>336</v>
      </c>
      <c r="L54" s="586" t="s">
        <v>336</v>
      </c>
      <c r="M54" s="586" t="s">
        <v>336</v>
      </c>
      <c r="N54" s="586" t="s">
        <v>336</v>
      </c>
      <c r="O54" s="586" t="s">
        <v>336</v>
      </c>
      <c r="P54" s="585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2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B667-A147-4F42-AFE6-11D9149ECBC5}">
  <sheetPr>
    <tabColor theme="7" tint="-0.249977111117893"/>
    <pageSetUpPr fitToPage="1"/>
  </sheetPr>
  <dimension ref="A1:R40"/>
  <sheetViews>
    <sheetView zoomScale="85" zoomScaleNormal="85" workbookViewId="0">
      <selection activeCell="U38" sqref="U38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6.25" style="27" customWidth="1"/>
    <col min="10" max="10" width="9.125" style="27" bestFit="1" customWidth="1"/>
    <col min="11" max="11" width="5.625" style="27" customWidth="1"/>
    <col min="12" max="12" width="9.125" style="27" bestFit="1" customWidth="1"/>
    <col min="13" max="13" width="5.375" style="27" customWidth="1"/>
    <col min="14" max="14" width="9.125" style="27" bestFit="1" customWidth="1"/>
    <col min="15" max="15" width="6.125" style="27" customWidth="1"/>
    <col min="16" max="16384" width="10.875" style="27"/>
  </cols>
  <sheetData>
    <row r="1" spans="1:16" ht="17.25" customHeight="1" x14ac:dyDescent="0.45">
      <c r="A1" s="686" t="s">
        <v>162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459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35</v>
      </c>
      <c r="F5" s="28">
        <v>50</v>
      </c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40" si="0">SUM(F5:O5)</f>
        <v>50</v>
      </c>
    </row>
    <row r="6" spans="1:16" ht="15.75" thickBot="1" x14ac:dyDescent="0.3">
      <c r="A6" s="35">
        <v>1000007</v>
      </c>
      <c r="B6" s="12" t="s">
        <v>5</v>
      </c>
      <c r="C6" s="41"/>
      <c r="D6" s="47">
        <v>35</v>
      </c>
      <c r="F6" s="28">
        <v>50</v>
      </c>
      <c r="G6" s="28"/>
      <c r="H6" s="28"/>
      <c r="I6" s="28"/>
      <c r="J6" s="28"/>
      <c r="K6" s="28"/>
      <c r="L6" s="28"/>
      <c r="M6" s="28"/>
      <c r="N6" s="28"/>
      <c r="O6" s="28"/>
      <c r="P6" s="418">
        <f t="shared" si="0"/>
        <v>50</v>
      </c>
    </row>
    <row r="7" spans="1:16" ht="15.75" thickBot="1" x14ac:dyDescent="0.3">
      <c r="A7" s="35">
        <v>1000001</v>
      </c>
      <c r="B7" s="12" t="s">
        <v>8</v>
      </c>
      <c r="C7" s="41"/>
      <c r="D7" s="47">
        <v>1</v>
      </c>
      <c r="F7" s="28">
        <v>2</v>
      </c>
      <c r="G7" s="28"/>
      <c r="H7" s="28"/>
      <c r="I7" s="28"/>
      <c r="J7" s="28">
        <v>2</v>
      </c>
      <c r="K7" s="28"/>
      <c r="L7" s="28"/>
      <c r="M7" s="28"/>
      <c r="N7" s="28">
        <v>2</v>
      </c>
      <c r="O7" s="28"/>
      <c r="P7" s="418">
        <f t="shared" si="0"/>
        <v>6</v>
      </c>
    </row>
    <row r="8" spans="1:16" ht="15.75" thickBot="1" x14ac:dyDescent="0.3">
      <c r="A8" s="35">
        <v>1000004</v>
      </c>
      <c r="B8" s="12" t="s">
        <v>10</v>
      </c>
      <c r="C8" s="41"/>
      <c r="D8" s="47">
        <v>1</v>
      </c>
      <c r="F8" s="28">
        <v>2</v>
      </c>
      <c r="G8" s="28"/>
      <c r="H8" s="28"/>
      <c r="I8" s="28"/>
      <c r="J8" s="28">
        <v>2</v>
      </c>
      <c r="K8" s="28"/>
      <c r="L8" s="28"/>
      <c r="M8" s="28"/>
      <c r="N8" s="28">
        <v>2</v>
      </c>
      <c r="O8" s="28"/>
      <c r="P8" s="418">
        <f t="shared" si="0"/>
        <v>6</v>
      </c>
    </row>
    <row r="9" spans="1:16" ht="15.75" thickBot="1" x14ac:dyDescent="0.3">
      <c r="A9" s="35">
        <v>1000067</v>
      </c>
      <c r="B9" s="12" t="s">
        <v>11</v>
      </c>
      <c r="C9" s="41"/>
      <c r="D9" s="47">
        <v>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418">
        <f t="shared" si="0"/>
        <v>0</v>
      </c>
    </row>
    <row r="10" spans="1:16" ht="15.75" thickBot="1" x14ac:dyDescent="0.3">
      <c r="A10" s="35">
        <v>1000054</v>
      </c>
      <c r="B10" s="12" t="s">
        <v>12</v>
      </c>
      <c r="C10" s="41"/>
      <c r="D10" s="47">
        <v>10</v>
      </c>
      <c r="F10" s="28">
        <v>5</v>
      </c>
      <c r="G10" s="28"/>
      <c r="H10" s="28">
        <v>5</v>
      </c>
      <c r="I10" s="28"/>
      <c r="J10" s="28"/>
      <c r="K10" s="28"/>
      <c r="L10" s="28"/>
      <c r="M10" s="28"/>
      <c r="N10" s="28"/>
      <c r="O10" s="28"/>
      <c r="P10" s="418">
        <f t="shared" si="0"/>
        <v>10</v>
      </c>
    </row>
    <row r="11" spans="1:16" ht="15.75" thickBot="1" x14ac:dyDescent="0.3">
      <c r="A11" s="35">
        <v>1000017</v>
      </c>
      <c r="B11" s="12" t="s">
        <v>14</v>
      </c>
      <c r="C11" s="41"/>
      <c r="D11" s="47">
        <v>10</v>
      </c>
      <c r="F11" s="28">
        <v>5</v>
      </c>
      <c r="G11" s="28"/>
      <c r="H11" s="28">
        <v>5</v>
      </c>
      <c r="I11" s="28"/>
      <c r="J11" s="28"/>
      <c r="K11" s="28"/>
      <c r="L11" s="28"/>
      <c r="M11" s="28"/>
      <c r="N11" s="28"/>
      <c r="O11" s="28"/>
      <c r="P11" s="418">
        <f t="shared" si="0"/>
        <v>10</v>
      </c>
    </row>
    <row r="12" spans="1:16" ht="15.75" thickBot="1" x14ac:dyDescent="0.3">
      <c r="A12" s="35">
        <v>1000016</v>
      </c>
      <c r="B12" s="12" t="s">
        <v>15</v>
      </c>
      <c r="C12" s="41"/>
      <c r="D12" s="47">
        <v>5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1000049</v>
      </c>
      <c r="B13" s="12" t="s">
        <v>21</v>
      </c>
      <c r="C13" s="41"/>
      <c r="D13" s="47">
        <v>0</v>
      </c>
      <c r="F13" s="28"/>
      <c r="G13" s="28"/>
      <c r="H13" s="28"/>
      <c r="I13" s="28"/>
      <c r="J13" s="28">
        <v>2</v>
      </c>
      <c r="K13" s="28"/>
      <c r="L13" s="28"/>
      <c r="M13" s="28"/>
      <c r="N13" s="28"/>
      <c r="O13" s="28"/>
      <c r="P13" s="418">
        <f t="shared" si="0"/>
        <v>2</v>
      </c>
    </row>
    <row r="14" spans="1:16" ht="15.75" thickBot="1" x14ac:dyDescent="0.3">
      <c r="A14" s="35">
        <v>1000050</v>
      </c>
      <c r="B14" s="12" t="s">
        <v>22</v>
      </c>
      <c r="C14" s="41"/>
      <c r="D14" s="47">
        <v>1</v>
      </c>
      <c r="F14" s="28"/>
      <c r="G14" s="28"/>
      <c r="H14" s="28"/>
      <c r="I14" s="28"/>
      <c r="J14" s="28">
        <v>2</v>
      </c>
      <c r="K14" s="28"/>
      <c r="L14" s="28"/>
      <c r="M14" s="28"/>
      <c r="N14" s="28"/>
      <c r="O14" s="28"/>
      <c r="P14" s="418">
        <f t="shared" si="0"/>
        <v>2</v>
      </c>
    </row>
    <row r="15" spans="1:16" ht="15.75" thickBot="1" x14ac:dyDescent="0.3">
      <c r="A15" s="35">
        <v>1000027</v>
      </c>
      <c r="B15" s="12" t="s">
        <v>33</v>
      </c>
      <c r="C15" s="41"/>
      <c r="D15" s="47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10248</v>
      </c>
      <c r="B16" s="12" t="s">
        <v>183</v>
      </c>
      <c r="C16" s="41"/>
      <c r="D16" s="47">
        <v>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8" ht="15.75" thickBot="1" x14ac:dyDescent="0.3">
      <c r="A17" s="35">
        <v>1000052</v>
      </c>
      <c r="B17" s="12" t="s">
        <v>41</v>
      </c>
      <c r="C17" s="41"/>
      <c r="D17" s="47">
        <v>1</v>
      </c>
      <c r="F17" s="28"/>
      <c r="G17" s="28"/>
      <c r="H17" s="28">
        <v>2</v>
      </c>
      <c r="I17" s="28"/>
      <c r="J17" s="28"/>
      <c r="K17" s="28"/>
      <c r="L17" s="28"/>
      <c r="M17" s="28"/>
      <c r="N17" s="28">
        <v>2</v>
      </c>
      <c r="O17" s="28"/>
      <c r="P17" s="418">
        <f t="shared" si="0"/>
        <v>4</v>
      </c>
    </row>
    <row r="18" spans="1:18" ht="15.75" thickBot="1" x14ac:dyDescent="0.3">
      <c r="A18" s="35">
        <v>1000089</v>
      </c>
      <c r="B18" s="12" t="s">
        <v>42</v>
      </c>
      <c r="C18" s="41"/>
      <c r="D18" s="47">
        <v>1</v>
      </c>
      <c r="F18" s="28">
        <v>2</v>
      </c>
      <c r="G18" s="28"/>
      <c r="H18" s="28">
        <v>2</v>
      </c>
      <c r="I18" s="28"/>
      <c r="J18" s="28"/>
      <c r="K18" s="28"/>
      <c r="L18" s="28"/>
      <c r="M18" s="28"/>
      <c r="N18" s="28">
        <v>2</v>
      </c>
      <c r="O18" s="28"/>
      <c r="P18" s="418">
        <f t="shared" si="0"/>
        <v>6</v>
      </c>
    </row>
    <row r="19" spans="1:18" ht="15.75" thickBot="1" x14ac:dyDescent="0.3">
      <c r="A19" s="35">
        <v>1000076</v>
      </c>
      <c r="B19" s="12" t="s">
        <v>46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8" ht="15.75" thickBot="1" x14ac:dyDescent="0.3">
      <c r="A20" s="35">
        <v>1000070</v>
      </c>
      <c r="B20" s="12" t="s">
        <v>13</v>
      </c>
      <c r="C20" s="41"/>
      <c r="D20" s="4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8" s="15" customFormat="1" ht="15.95" customHeight="1" thickBot="1" x14ac:dyDescent="0.3">
      <c r="A21" s="35">
        <v>1000008</v>
      </c>
      <c r="B21" s="12" t="s">
        <v>7</v>
      </c>
      <c r="C21" s="41"/>
      <c r="D21" s="4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8" ht="15.75" thickBot="1" x14ac:dyDescent="0.3">
      <c r="A22" s="35">
        <v>1000033</v>
      </c>
      <c r="B22" s="12" t="s">
        <v>27</v>
      </c>
      <c r="C22" s="41"/>
      <c r="D22" s="4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8" ht="15.75" thickBot="1" x14ac:dyDescent="0.3">
      <c r="A23" s="35">
        <v>1000101</v>
      </c>
      <c r="B23" s="12" t="s">
        <v>35</v>
      </c>
      <c r="C23" s="41"/>
      <c r="D23" s="4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8" ht="15.75" thickBot="1" x14ac:dyDescent="0.3">
      <c r="A24" s="35">
        <v>1000214</v>
      </c>
      <c r="B24" s="12" t="s">
        <v>49</v>
      </c>
      <c r="C24" s="41"/>
      <c r="D24" s="4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8" ht="15.75" thickBot="1" x14ac:dyDescent="0.3">
      <c r="A25" s="35">
        <v>1000439</v>
      </c>
      <c r="B25" s="12" t="s">
        <v>193</v>
      </c>
      <c r="C25" s="41"/>
      <c r="D25" s="4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8" ht="15.75" thickBot="1" x14ac:dyDescent="0.3">
      <c r="A26" s="35">
        <v>1000084</v>
      </c>
      <c r="B26" s="12" t="s">
        <v>38</v>
      </c>
      <c r="C26" s="41"/>
      <c r="D26" s="4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  <c r="R26" s="589" t="s">
        <v>336</v>
      </c>
    </row>
    <row r="27" spans="1:18" ht="15.75" thickBot="1" x14ac:dyDescent="0.3">
      <c r="A27" s="35">
        <v>1000045</v>
      </c>
      <c r="B27" s="12" t="s">
        <v>23</v>
      </c>
      <c r="C27" s="41"/>
      <c r="D27" s="4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8" ht="15.75" thickBot="1" x14ac:dyDescent="0.3">
      <c r="A28" s="35">
        <v>10248</v>
      </c>
      <c r="B28" s="12" t="s">
        <v>183</v>
      </c>
      <c r="C28" s="41"/>
      <c r="D28" s="4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8" ht="15.75" thickBot="1" x14ac:dyDescent="0.3">
      <c r="A29" s="35">
        <v>1000029</v>
      </c>
      <c r="B29" s="12" t="s">
        <v>30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8" ht="15.75" thickBot="1" x14ac:dyDescent="0.3">
      <c r="A30" s="35">
        <v>1000030</v>
      </c>
      <c r="B30" s="12" t="s">
        <v>24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8" ht="15.75" thickBot="1" x14ac:dyDescent="0.3">
      <c r="A31" s="35">
        <v>1000383</v>
      </c>
      <c r="B31" s="12" t="s">
        <v>264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8" ht="15.75" thickBot="1" x14ac:dyDescent="0.3">
      <c r="A32" s="35">
        <v>1000100</v>
      </c>
      <c r="B32" s="12" t="s">
        <v>34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1000025</v>
      </c>
      <c r="B33" s="12" t="s">
        <v>32</v>
      </c>
      <c r="C33" s="41"/>
      <c r="D33" s="47"/>
      <c r="F33" s="28"/>
      <c r="G33" s="28"/>
      <c r="H33" s="28">
        <v>5</v>
      </c>
      <c r="I33" s="28"/>
      <c r="J33" s="28"/>
      <c r="K33" s="28"/>
      <c r="L33" s="28"/>
      <c r="M33" s="28"/>
      <c r="N33" s="28"/>
      <c r="O33" s="28"/>
      <c r="P33" s="418">
        <f t="shared" si="0"/>
        <v>5</v>
      </c>
    </row>
    <row r="34" spans="1:16" ht="16.5" thickBot="1" x14ac:dyDescent="0.3">
      <c r="A34" s="36">
        <v>1000080</v>
      </c>
      <c r="B34" s="12" t="s">
        <v>275</v>
      </c>
      <c r="C34"/>
      <c r="D34" s="35"/>
      <c r="E34" s="215"/>
      <c r="F34" s="28">
        <v>24</v>
      </c>
      <c r="G34" s="28"/>
      <c r="H34" s="28"/>
      <c r="I34" s="28"/>
      <c r="J34" s="28">
        <v>24</v>
      </c>
      <c r="K34" s="28"/>
      <c r="L34" s="28"/>
      <c r="M34" s="28"/>
      <c r="N34" s="28">
        <v>24</v>
      </c>
      <c r="O34" s="28"/>
      <c r="P34" s="418">
        <f t="shared" si="0"/>
        <v>72</v>
      </c>
    </row>
    <row r="35" spans="1:16" ht="16.5" thickBot="1" x14ac:dyDescent="0.3">
      <c r="A35" s="36">
        <v>1000436</v>
      </c>
      <c r="B35" s="12" t="s">
        <v>276</v>
      </c>
      <c r="C35"/>
      <c r="D35" s="35"/>
      <c r="E35" s="215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6.5" thickBot="1" x14ac:dyDescent="0.3">
      <c r="A36" s="36">
        <v>1000550</v>
      </c>
      <c r="B36" s="12" t="s">
        <v>277</v>
      </c>
      <c r="C36"/>
      <c r="D36" s="35"/>
      <c r="E36" s="215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6.5" thickBot="1" x14ac:dyDescent="0.3">
      <c r="A37" s="36">
        <v>1000551</v>
      </c>
      <c r="B37" s="12" t="s">
        <v>278</v>
      </c>
      <c r="C37"/>
      <c r="D37" s="35"/>
      <c r="E37" s="215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6.5" thickBot="1" x14ac:dyDescent="0.3">
      <c r="A38" s="35">
        <v>1000552</v>
      </c>
      <c r="B38" s="12" t="s">
        <v>279</v>
      </c>
      <c r="C38"/>
      <c r="D38" s="38"/>
      <c r="E38" s="215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1000048</v>
      </c>
      <c r="B39" s="13" t="s">
        <v>45</v>
      </c>
      <c r="D39" s="3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1000033</v>
      </c>
      <c r="B40" s="12" t="s">
        <v>28</v>
      </c>
      <c r="D40" s="3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81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8B93-A959-4B78-9D65-33710AFDF734}">
  <sheetPr>
    <tabColor theme="7" tint="-0.249977111117893"/>
    <pageSetUpPr fitToPage="1"/>
  </sheetPr>
  <dimension ref="A1:P63"/>
  <sheetViews>
    <sheetView topLeftCell="A28" zoomScale="70" zoomScaleNormal="70" workbookViewId="0">
      <selection activeCell="R53" sqref="R53"/>
    </sheetView>
  </sheetViews>
  <sheetFormatPr baseColWidth="10" defaultColWidth="10.875" defaultRowHeight="15" x14ac:dyDescent="0.25"/>
  <cols>
    <col min="1" max="1" width="10.25" style="27" bestFit="1" customWidth="1"/>
    <col min="2" max="2" width="41.25" style="27" bestFit="1" customWidth="1"/>
    <col min="3" max="3" width="1.5" style="27" customWidth="1"/>
    <col min="4" max="4" width="8.375" style="27" bestFit="1" customWidth="1"/>
    <col min="5" max="5" width="1.5" style="27" customWidth="1"/>
    <col min="6" max="6" width="9.125" style="27" bestFit="1" customWidth="1"/>
    <col min="7" max="7" width="6.25" style="27" customWidth="1"/>
    <col min="8" max="8" width="9.125" style="27" bestFit="1" customWidth="1"/>
    <col min="9" max="9" width="7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7" style="27" customWidth="1"/>
    <col min="16" max="16" width="10.5" style="27" customWidth="1"/>
    <col min="17" max="16384" width="10.875" style="27"/>
  </cols>
  <sheetData>
    <row r="1" spans="1:16" ht="15" customHeight="1" x14ac:dyDescent="0.45">
      <c r="A1" s="686" t="s">
        <v>137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 s="2"/>
      <c r="M1" s="2"/>
    </row>
    <row r="2" spans="1:16" s="3" customFormat="1" ht="30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  <c r="L2" s="2"/>
      <c r="M2" s="2"/>
    </row>
    <row r="3" spans="1:16" s="3" customFormat="1" ht="24.75" customHeight="1" thickBot="1" x14ac:dyDescent="0.3">
      <c r="A3" s="5"/>
      <c r="B3" s="5" t="s">
        <v>382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10000102</v>
      </c>
      <c r="B5" s="11" t="s">
        <v>2</v>
      </c>
      <c r="C5" s="41"/>
      <c r="D5" s="48"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250</v>
      </c>
      <c r="F6" s="28">
        <v>100</v>
      </c>
      <c r="G6" s="28"/>
      <c r="H6" s="28">
        <v>150</v>
      </c>
      <c r="I6" s="28"/>
      <c r="J6" s="28">
        <v>150</v>
      </c>
      <c r="K6" s="28"/>
      <c r="L6" s="28">
        <v>300</v>
      </c>
      <c r="M6" s="28"/>
      <c r="N6" s="28"/>
      <c r="O6" s="28"/>
      <c r="P6" s="418">
        <f t="shared" ref="P6:P63" si="0">SUM(F6:O6)</f>
        <v>700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150</v>
      </c>
      <c r="F7" s="28">
        <v>100</v>
      </c>
      <c r="G7" s="28"/>
      <c r="H7" s="28">
        <v>150</v>
      </c>
      <c r="I7" s="28"/>
      <c r="J7" s="28">
        <v>100</v>
      </c>
      <c r="K7" s="28"/>
      <c r="L7" s="28">
        <v>200</v>
      </c>
      <c r="M7" s="28"/>
      <c r="N7" s="28"/>
      <c r="O7" s="28"/>
      <c r="P7" s="418">
        <f t="shared" si="0"/>
        <v>550</v>
      </c>
    </row>
    <row r="8" spans="1:16" ht="15.75" thickBot="1" x14ac:dyDescent="0.3">
      <c r="A8" s="35">
        <v>1000008</v>
      </c>
      <c r="B8" s="12" t="s">
        <v>7</v>
      </c>
      <c r="C8" s="41"/>
      <c r="D8" s="47">
        <v>60</v>
      </c>
      <c r="F8" s="28"/>
      <c r="G8" s="28"/>
      <c r="H8" s="28"/>
      <c r="I8" s="28"/>
      <c r="J8" s="28">
        <v>50</v>
      </c>
      <c r="K8" s="28"/>
      <c r="L8" s="28">
        <v>100</v>
      </c>
      <c r="M8" s="28"/>
      <c r="N8" s="28"/>
      <c r="O8" s="28"/>
      <c r="P8" s="418">
        <f t="shared" si="0"/>
        <v>150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7</v>
      </c>
      <c r="F9" s="28">
        <v>2</v>
      </c>
      <c r="G9" s="28"/>
      <c r="H9" s="28">
        <v>3</v>
      </c>
      <c r="I9" s="28"/>
      <c r="J9" s="28">
        <v>3</v>
      </c>
      <c r="K9" s="28"/>
      <c r="L9" s="28">
        <v>5</v>
      </c>
      <c r="M9" s="28"/>
      <c r="N9" s="28"/>
      <c r="O9" s="28"/>
      <c r="P9" s="418">
        <f t="shared" si="0"/>
        <v>13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2</v>
      </c>
      <c r="F10" s="28"/>
      <c r="G10" s="28"/>
      <c r="H10" s="28">
        <v>1</v>
      </c>
      <c r="I10" s="28"/>
      <c r="J10" s="28"/>
      <c r="K10" s="28"/>
      <c r="L10" s="28"/>
      <c r="M10" s="28"/>
      <c r="N10" s="28"/>
      <c r="O10" s="28"/>
      <c r="P10" s="418">
        <f t="shared" si="0"/>
        <v>1</v>
      </c>
    </row>
    <row r="11" spans="1:16" ht="15.75" thickBot="1" x14ac:dyDescent="0.3">
      <c r="A11" s="35">
        <v>1000067</v>
      </c>
      <c r="B11" s="12" t="s">
        <v>11</v>
      </c>
      <c r="C11" s="41"/>
      <c r="D11" s="47">
        <v>0</v>
      </c>
      <c r="F11" s="28">
        <v>1</v>
      </c>
      <c r="G11" s="28"/>
      <c r="H11" s="28">
        <v>1</v>
      </c>
      <c r="I11" s="28"/>
      <c r="J11" s="28"/>
      <c r="K11" s="28"/>
      <c r="L11" s="28"/>
      <c r="M11" s="28"/>
      <c r="N11" s="28"/>
      <c r="O11" s="28"/>
      <c r="P11" s="418">
        <f t="shared" si="0"/>
        <v>2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40</v>
      </c>
      <c r="F12" s="28"/>
      <c r="G12" s="28"/>
      <c r="H12" s="28">
        <v>10</v>
      </c>
      <c r="I12" s="28"/>
      <c r="J12" s="28">
        <v>15</v>
      </c>
      <c r="K12" s="28"/>
      <c r="L12" s="28">
        <v>20</v>
      </c>
      <c r="M12" s="28"/>
      <c r="N12" s="28"/>
      <c r="O12" s="28"/>
      <c r="P12" s="418">
        <f t="shared" si="0"/>
        <v>45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2</v>
      </c>
      <c r="F13" s="28">
        <v>1</v>
      </c>
      <c r="G13" s="28"/>
      <c r="H13" s="28">
        <v>2</v>
      </c>
      <c r="I13" s="28"/>
      <c r="J13" s="28"/>
      <c r="K13" s="28"/>
      <c r="L13" s="28">
        <v>1</v>
      </c>
      <c r="M13" s="28"/>
      <c r="N13" s="28"/>
      <c r="O13" s="28"/>
      <c r="P13" s="418">
        <f t="shared" si="0"/>
        <v>4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40</v>
      </c>
      <c r="F14" s="28">
        <v>5</v>
      </c>
      <c r="G14" s="28"/>
      <c r="H14" s="28">
        <v>10</v>
      </c>
      <c r="I14" s="28"/>
      <c r="J14" s="28">
        <v>15</v>
      </c>
      <c r="K14" s="28"/>
      <c r="L14" s="28">
        <v>20</v>
      </c>
      <c r="M14" s="28"/>
      <c r="N14" s="28"/>
      <c r="O14" s="28"/>
      <c r="P14" s="418">
        <f t="shared" si="0"/>
        <v>50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3</v>
      </c>
      <c r="F15" s="28"/>
      <c r="G15" s="28"/>
      <c r="H15" s="28">
        <v>5</v>
      </c>
      <c r="I15" s="28"/>
      <c r="J15" s="28"/>
      <c r="K15" s="28"/>
      <c r="L15" s="28">
        <v>5</v>
      </c>
      <c r="M15" s="28"/>
      <c r="N15" s="28"/>
      <c r="O15" s="28"/>
      <c r="P15" s="418">
        <f t="shared" si="0"/>
        <v>10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3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1000049</v>
      </c>
      <c r="B17" s="12" t="s">
        <v>21</v>
      </c>
      <c r="C17" s="41"/>
      <c r="D17" s="47">
        <v>1</v>
      </c>
      <c r="F17" s="28">
        <v>1</v>
      </c>
      <c r="G17" s="28"/>
      <c r="H17" s="28">
        <v>1</v>
      </c>
      <c r="I17" s="28"/>
      <c r="J17" s="28">
        <v>1</v>
      </c>
      <c r="K17" s="28"/>
      <c r="L17" s="28">
        <v>1</v>
      </c>
      <c r="M17" s="28"/>
      <c r="N17" s="28"/>
      <c r="O17" s="28"/>
      <c r="P17" s="418">
        <f t="shared" si="0"/>
        <v>4</v>
      </c>
    </row>
    <row r="18" spans="1:16" ht="15.75" thickBot="1" x14ac:dyDescent="0.3">
      <c r="A18" s="35">
        <v>1000050</v>
      </c>
      <c r="B18" s="14" t="s">
        <v>22</v>
      </c>
      <c r="C18" s="41"/>
      <c r="D18" s="47">
        <v>2</v>
      </c>
      <c r="F18" s="28">
        <v>1</v>
      </c>
      <c r="G18" s="28"/>
      <c r="H18" s="28">
        <v>1</v>
      </c>
      <c r="I18" s="28"/>
      <c r="J18" s="28">
        <v>1</v>
      </c>
      <c r="K18" s="28"/>
      <c r="L18" s="28">
        <v>1</v>
      </c>
      <c r="M18" s="28"/>
      <c r="N18" s="28"/>
      <c r="O18" s="28"/>
      <c r="P18" s="418">
        <f t="shared" si="0"/>
        <v>4</v>
      </c>
    </row>
    <row r="19" spans="1:16" ht="15.75" thickBot="1" x14ac:dyDescent="0.3">
      <c r="A19" s="35">
        <v>1000045</v>
      </c>
      <c r="B19" s="12" t="s">
        <v>23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1000030</v>
      </c>
      <c r="B20" s="12" t="s">
        <v>24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1000031</v>
      </c>
      <c r="B21" s="12" t="s">
        <v>25</v>
      </c>
      <c r="C21" s="41"/>
      <c r="D21" s="47">
        <v>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1000029</v>
      </c>
      <c r="B22" s="12" t="s">
        <v>30</v>
      </c>
      <c r="C22" s="41"/>
      <c r="D22" s="47">
        <v>0</v>
      </c>
      <c r="F22" s="28">
        <v>1</v>
      </c>
      <c r="G22" s="28"/>
      <c r="H22" s="28">
        <v>1</v>
      </c>
      <c r="I22" s="28"/>
      <c r="J22" s="28"/>
      <c r="K22" s="28"/>
      <c r="L22" s="28"/>
      <c r="M22" s="28"/>
      <c r="N22" s="28"/>
      <c r="O22" s="28"/>
      <c r="P22" s="418">
        <f t="shared" si="0"/>
        <v>2</v>
      </c>
    </row>
    <row r="23" spans="1:16" ht="15.75" thickBot="1" x14ac:dyDescent="0.3">
      <c r="A23" s="35">
        <v>1000025</v>
      </c>
      <c r="B23" s="12" t="s">
        <v>32</v>
      </c>
      <c r="C23" s="41"/>
      <c r="D23" s="47">
        <v>5</v>
      </c>
      <c r="F23" s="28"/>
      <c r="G23" s="28"/>
      <c r="H23" s="28">
        <v>5</v>
      </c>
      <c r="I23" s="28"/>
      <c r="J23" s="28"/>
      <c r="K23" s="28"/>
      <c r="L23" s="28"/>
      <c r="M23" s="28"/>
      <c r="N23" s="28"/>
      <c r="O23" s="28"/>
      <c r="P23" s="418">
        <f t="shared" si="0"/>
        <v>5</v>
      </c>
    </row>
    <row r="24" spans="1:16" ht="15.75" thickBot="1" x14ac:dyDescent="0.3">
      <c r="A24" s="35">
        <v>1000027</v>
      </c>
      <c r="B24" s="12" t="s">
        <v>33</v>
      </c>
      <c r="C24" s="41"/>
      <c r="D24" s="47">
        <v>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1000100</v>
      </c>
      <c r="B25" s="12" t="s">
        <v>34</v>
      </c>
      <c r="C25" s="41"/>
      <c r="D25" s="47">
        <v>1</v>
      </c>
      <c r="E25" s="15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44">
        <v>1000073</v>
      </c>
      <c r="B26" s="13" t="s">
        <v>36</v>
      </c>
      <c r="C26" s="41"/>
      <c r="D26" s="45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44">
        <v>1000082</v>
      </c>
      <c r="B27" s="13" t="s">
        <v>37</v>
      </c>
      <c r="C27" s="41"/>
      <c r="D27" s="45">
        <v>100</v>
      </c>
      <c r="F27" s="28">
        <v>8</v>
      </c>
      <c r="G27" s="28"/>
      <c r="H27" s="28">
        <v>16</v>
      </c>
      <c r="I27" s="28"/>
      <c r="J27" s="28">
        <v>24</v>
      </c>
      <c r="K27" s="28"/>
      <c r="L27" s="28">
        <v>64</v>
      </c>
      <c r="M27" s="28"/>
      <c r="N27" s="28"/>
      <c r="O27" s="28"/>
      <c r="P27" s="418">
        <f t="shared" si="0"/>
        <v>112</v>
      </c>
    </row>
    <row r="28" spans="1:16" ht="15.75" thickBot="1" x14ac:dyDescent="0.3">
      <c r="A28" s="44">
        <v>1000084</v>
      </c>
      <c r="B28" s="13" t="s">
        <v>38</v>
      </c>
      <c r="C28" s="41"/>
      <c r="D28" s="45">
        <v>6</v>
      </c>
      <c r="F28" s="28">
        <v>8</v>
      </c>
      <c r="G28" s="28"/>
      <c r="H28" s="28">
        <v>12</v>
      </c>
      <c r="I28" s="28"/>
      <c r="J28" s="28">
        <v>12</v>
      </c>
      <c r="K28" s="28"/>
      <c r="L28" s="28">
        <v>32</v>
      </c>
      <c r="M28" s="28"/>
      <c r="N28" s="28"/>
      <c r="O28" s="28"/>
      <c r="P28" s="418">
        <f t="shared" si="0"/>
        <v>64</v>
      </c>
    </row>
    <row r="29" spans="1:16" ht="15.75" thickBot="1" x14ac:dyDescent="0.3">
      <c r="A29" s="44">
        <v>1000486</v>
      </c>
      <c r="B29" s="13" t="s">
        <v>263</v>
      </c>
      <c r="C29" s="41"/>
      <c r="D29" s="45">
        <v>10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44">
        <v>10248</v>
      </c>
      <c r="B30" s="13" t="s">
        <v>183</v>
      </c>
      <c r="C30" s="41"/>
      <c r="D30" s="45">
        <v>0</v>
      </c>
      <c r="F30" s="28">
        <v>3</v>
      </c>
      <c r="G30" s="28"/>
      <c r="H30" s="28">
        <v>3</v>
      </c>
      <c r="I30" s="28"/>
      <c r="J30" s="28">
        <v>3</v>
      </c>
      <c r="K30" s="28"/>
      <c r="L30" s="28">
        <v>3</v>
      </c>
      <c r="M30" s="28"/>
      <c r="N30" s="28"/>
      <c r="O30" s="28"/>
      <c r="P30" s="418">
        <f t="shared" si="0"/>
        <v>12</v>
      </c>
    </row>
    <row r="31" spans="1:16" ht="15.75" thickBot="1" x14ac:dyDescent="0.3">
      <c r="A31" s="44">
        <v>1000090</v>
      </c>
      <c r="B31" s="13" t="s">
        <v>40</v>
      </c>
      <c r="C31" s="41"/>
      <c r="D31" s="45">
        <v>7</v>
      </c>
      <c r="F31" s="28"/>
      <c r="G31" s="28"/>
      <c r="H31" s="28"/>
      <c r="I31" s="28"/>
      <c r="J31" s="28"/>
      <c r="K31" s="28"/>
      <c r="L31" s="28">
        <v>8</v>
      </c>
      <c r="M31" s="28"/>
      <c r="N31" s="28"/>
      <c r="O31" s="28"/>
      <c r="P31" s="418">
        <f t="shared" si="0"/>
        <v>8</v>
      </c>
    </row>
    <row r="32" spans="1:16" ht="15.75" thickBot="1" x14ac:dyDescent="0.3">
      <c r="A32" s="44">
        <v>1000052</v>
      </c>
      <c r="B32" s="13" t="s">
        <v>41</v>
      </c>
      <c r="C32" s="41"/>
      <c r="D32" s="45">
        <v>4</v>
      </c>
      <c r="F32" s="28">
        <v>2</v>
      </c>
      <c r="G32" s="28"/>
      <c r="H32" s="28">
        <v>3</v>
      </c>
      <c r="I32" s="28"/>
      <c r="J32" s="28">
        <v>3</v>
      </c>
      <c r="K32" s="28"/>
      <c r="L32" s="28">
        <v>4</v>
      </c>
      <c r="M32" s="28"/>
      <c r="N32" s="28"/>
      <c r="O32" s="28"/>
      <c r="P32" s="418">
        <f t="shared" si="0"/>
        <v>12</v>
      </c>
    </row>
    <row r="33" spans="1:16" ht="15.75" thickBot="1" x14ac:dyDescent="0.3">
      <c r="A33" s="44">
        <v>1000089</v>
      </c>
      <c r="B33" s="13" t="s">
        <v>42</v>
      </c>
      <c r="C33" s="41"/>
      <c r="D33" s="45">
        <v>4</v>
      </c>
      <c r="F33" s="28">
        <v>2</v>
      </c>
      <c r="G33" s="28"/>
      <c r="H33" s="28">
        <v>3</v>
      </c>
      <c r="I33" s="28"/>
      <c r="J33" s="28">
        <v>3</v>
      </c>
      <c r="K33" s="28"/>
      <c r="L33" s="28">
        <v>4</v>
      </c>
      <c r="M33" s="28"/>
      <c r="N33" s="28"/>
      <c r="O33" s="28"/>
      <c r="P33" s="418">
        <f t="shared" si="0"/>
        <v>12</v>
      </c>
    </row>
    <row r="34" spans="1:16" ht="15.75" thickBot="1" x14ac:dyDescent="0.3">
      <c r="A34" s="44">
        <v>1000051</v>
      </c>
      <c r="B34" s="13" t="s">
        <v>43</v>
      </c>
      <c r="C34" s="41"/>
      <c r="D34" s="45">
        <v>1</v>
      </c>
      <c r="F34" s="28"/>
      <c r="G34" s="28"/>
      <c r="H34" s="28">
        <v>1</v>
      </c>
      <c r="I34" s="28"/>
      <c r="J34" s="28">
        <v>1</v>
      </c>
      <c r="K34" s="28"/>
      <c r="L34" s="28">
        <v>1</v>
      </c>
      <c r="M34" s="28"/>
      <c r="N34" s="28"/>
      <c r="O34" s="28"/>
      <c r="P34" s="418">
        <f t="shared" si="0"/>
        <v>3</v>
      </c>
    </row>
    <row r="35" spans="1:16" ht="15.75" thickBot="1" x14ac:dyDescent="0.3">
      <c r="A35" s="44">
        <v>1000042</v>
      </c>
      <c r="B35" s="13" t="s">
        <v>44</v>
      </c>
      <c r="C35" s="41"/>
      <c r="D35" s="45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44">
        <v>1000048</v>
      </c>
      <c r="B36" s="13" t="s">
        <v>45</v>
      </c>
      <c r="C36" s="41"/>
      <c r="D36" s="45">
        <v>1</v>
      </c>
      <c r="F36" s="28"/>
      <c r="G36" s="28"/>
      <c r="H36" s="28"/>
      <c r="I36" s="28"/>
      <c r="J36" s="28"/>
      <c r="K36" s="28"/>
      <c r="L36" s="28">
        <v>1</v>
      </c>
      <c r="M36" s="28"/>
      <c r="N36" s="28"/>
      <c r="O36" s="28"/>
      <c r="P36" s="418">
        <f t="shared" si="0"/>
        <v>1</v>
      </c>
    </row>
    <row r="37" spans="1:16" ht="15.75" thickBot="1" x14ac:dyDescent="0.3">
      <c r="A37" s="44">
        <v>1000147</v>
      </c>
      <c r="B37" s="13" t="s">
        <v>52</v>
      </c>
      <c r="C37" s="41"/>
      <c r="D37" s="45"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44">
        <v>10233</v>
      </c>
      <c r="B38" s="13" t="s">
        <v>55</v>
      </c>
      <c r="C38" s="41"/>
      <c r="D38" s="45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44">
        <v>1000107</v>
      </c>
      <c r="B39" s="13" t="s">
        <v>60</v>
      </c>
      <c r="C39" s="41"/>
      <c r="D39" s="45">
        <v>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44">
        <v>1000057</v>
      </c>
      <c r="B40" s="13" t="s">
        <v>70</v>
      </c>
      <c r="C40" s="41"/>
      <c r="D40" s="45">
        <v>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44">
        <v>1000117</v>
      </c>
      <c r="B41" s="13" t="s">
        <v>80</v>
      </c>
      <c r="C41" s="41"/>
      <c r="D41" s="45">
        <v>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44">
        <v>1000062</v>
      </c>
      <c r="B42" s="13" t="s">
        <v>66</v>
      </c>
      <c r="C42" s="41"/>
      <c r="D42" s="45">
        <v>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44">
        <v>10000015</v>
      </c>
      <c r="B43" s="24" t="s">
        <v>1</v>
      </c>
      <c r="C43" s="41"/>
      <c r="D43" s="45">
        <v>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72">
        <v>1000142</v>
      </c>
      <c r="B44" s="68" t="s">
        <v>54</v>
      </c>
      <c r="C44" s="41"/>
      <c r="D44" s="4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72">
        <v>1000214</v>
      </c>
      <c r="B45" s="68" t="s">
        <v>49</v>
      </c>
      <c r="C45" s="41"/>
      <c r="D45" s="45"/>
      <c r="F45" s="28"/>
      <c r="G45" s="28"/>
      <c r="H45" s="28">
        <v>1</v>
      </c>
      <c r="I45" s="28"/>
      <c r="J45" s="28"/>
      <c r="K45" s="28"/>
      <c r="L45" s="28"/>
      <c r="M45" s="28"/>
      <c r="N45" s="28"/>
      <c r="O45" s="28"/>
      <c r="P45" s="418">
        <f t="shared" si="0"/>
        <v>1</v>
      </c>
    </row>
    <row r="46" spans="1:16" ht="15.75" thickBot="1" x14ac:dyDescent="0.3">
      <c r="A46" s="72">
        <v>1000075</v>
      </c>
      <c r="B46" s="68" t="s">
        <v>47</v>
      </c>
      <c r="C46" s="41"/>
      <c r="D46" s="45"/>
      <c r="F46" s="28"/>
      <c r="G46" s="28"/>
      <c r="H46" s="28"/>
      <c r="I46" s="28"/>
      <c r="J46" s="28"/>
      <c r="K46" s="28"/>
      <c r="L46" s="28">
        <v>1</v>
      </c>
      <c r="M46" s="28"/>
      <c r="N46" s="28"/>
      <c r="O46" s="28"/>
      <c r="P46" s="418">
        <f t="shared" si="0"/>
        <v>1</v>
      </c>
    </row>
    <row r="47" spans="1:16" ht="15.75" thickBot="1" x14ac:dyDescent="0.3">
      <c r="A47" s="72">
        <v>1000087</v>
      </c>
      <c r="B47" s="68" t="s">
        <v>69</v>
      </c>
      <c r="C47" s="41"/>
      <c r="D47" s="45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72">
        <v>1000033</v>
      </c>
      <c r="B48" s="68" t="s">
        <v>27</v>
      </c>
      <c r="C48" s="41"/>
      <c r="D48" s="45"/>
      <c r="F48" s="28"/>
      <c r="G48" s="28"/>
      <c r="H48" s="28">
        <v>1</v>
      </c>
      <c r="I48" s="28"/>
      <c r="J48" s="28"/>
      <c r="K48" s="28"/>
      <c r="L48" s="28"/>
      <c r="M48" s="28"/>
      <c r="N48" s="28"/>
      <c r="O48" s="28"/>
      <c r="P48" s="418">
        <f t="shared" si="0"/>
        <v>1</v>
      </c>
    </row>
    <row r="49" spans="1:16" ht="15.75" thickBot="1" x14ac:dyDescent="0.3">
      <c r="A49" s="35">
        <v>1000004</v>
      </c>
      <c r="B49" s="12" t="s">
        <v>10</v>
      </c>
      <c r="C49" s="41"/>
      <c r="D49" s="45"/>
      <c r="F49" s="28">
        <v>2</v>
      </c>
      <c r="G49" s="28"/>
      <c r="H49" s="28">
        <v>2</v>
      </c>
      <c r="I49" s="28"/>
      <c r="J49" s="28">
        <v>2</v>
      </c>
      <c r="K49" s="28"/>
      <c r="L49" s="28">
        <v>3</v>
      </c>
      <c r="M49" s="28"/>
      <c r="N49" s="28"/>
      <c r="O49" s="28"/>
      <c r="P49" s="418">
        <f t="shared" si="0"/>
        <v>9</v>
      </c>
    </row>
    <row r="50" spans="1:16" ht="15.75" thickBot="1" x14ac:dyDescent="0.3">
      <c r="A50" s="35">
        <v>1000009</v>
      </c>
      <c r="B50" s="12" t="s">
        <v>19</v>
      </c>
      <c r="C50" s="41"/>
      <c r="D50" s="45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10000015</v>
      </c>
      <c r="B51" s="12" t="s">
        <v>1</v>
      </c>
      <c r="C51" s="41"/>
      <c r="D51" s="45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1000034</v>
      </c>
      <c r="B52" s="12" t="s">
        <v>28</v>
      </c>
      <c r="C52" s="41"/>
      <c r="D52" s="4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10249</v>
      </c>
      <c r="B53" s="12" t="s">
        <v>181</v>
      </c>
      <c r="C53" s="41"/>
      <c r="D53" s="4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1000092</v>
      </c>
      <c r="B54" s="12" t="s">
        <v>51</v>
      </c>
      <c r="C54" s="41"/>
      <c r="D54" s="45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1000439</v>
      </c>
      <c r="B55" s="12" t="s">
        <v>193</v>
      </c>
      <c r="C55" s="41"/>
      <c r="D55" s="45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1000080</v>
      </c>
      <c r="B56" s="12" t="s">
        <v>275</v>
      </c>
      <c r="C56" s="41"/>
      <c r="D56" s="4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35">
        <v>1000436</v>
      </c>
      <c r="B57" s="12" t="s">
        <v>276</v>
      </c>
      <c r="C57" s="41"/>
      <c r="D57" s="45"/>
      <c r="F57" s="28"/>
      <c r="G57" s="28"/>
      <c r="H57" s="28">
        <v>10</v>
      </c>
      <c r="I57" s="28"/>
      <c r="J57" s="28"/>
      <c r="K57" s="28"/>
      <c r="L57" s="28"/>
      <c r="M57" s="28"/>
      <c r="N57" s="28"/>
      <c r="O57" s="28"/>
      <c r="P57" s="418">
        <f t="shared" si="0"/>
        <v>10</v>
      </c>
    </row>
    <row r="58" spans="1:16" ht="15.75" thickBot="1" x14ac:dyDescent="0.3">
      <c r="A58" s="35">
        <v>1000550</v>
      </c>
      <c r="B58" s="12" t="s">
        <v>277</v>
      </c>
      <c r="C58" s="41"/>
      <c r="D58" s="45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35">
        <v>1000551</v>
      </c>
      <c r="B59" s="12" t="s">
        <v>278</v>
      </c>
      <c r="C59" s="41"/>
      <c r="D59" s="45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  <row r="60" spans="1:16" s="200" customFormat="1" ht="15.75" thickBot="1" x14ac:dyDescent="0.3">
      <c r="A60" s="38">
        <v>1000552</v>
      </c>
      <c r="B60" s="17" t="s">
        <v>279</v>
      </c>
      <c r="C60" s="41"/>
      <c r="D60" s="46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si="0"/>
        <v>0</v>
      </c>
    </row>
    <row r="61" spans="1:16" ht="15.75" thickBot="1" x14ac:dyDescent="0.3">
      <c r="A61" s="35">
        <v>1000101</v>
      </c>
      <c r="B61" s="12" t="s">
        <v>35</v>
      </c>
      <c r="D61" s="46"/>
      <c r="F61" s="28"/>
      <c r="G61" s="28"/>
      <c r="H61" s="28">
        <v>1</v>
      </c>
      <c r="I61" s="28"/>
      <c r="J61" s="28"/>
      <c r="K61" s="28"/>
      <c r="L61" s="28"/>
      <c r="M61" s="28"/>
      <c r="N61" s="28"/>
      <c r="O61" s="28"/>
      <c r="P61" s="418">
        <f t="shared" si="0"/>
        <v>1</v>
      </c>
    </row>
    <row r="62" spans="1:16" ht="15.75" thickBot="1" x14ac:dyDescent="0.3">
      <c r="A62" s="269">
        <v>1000036</v>
      </c>
      <c r="B62" s="267" t="s">
        <v>75</v>
      </c>
      <c r="D62" s="46"/>
      <c r="F62" s="28"/>
      <c r="G62" s="28"/>
      <c r="H62" s="28"/>
      <c r="I62" s="28"/>
      <c r="J62" s="28">
        <v>1</v>
      </c>
      <c r="K62" s="28"/>
      <c r="L62" s="28"/>
      <c r="M62" s="28"/>
      <c r="N62" s="28"/>
      <c r="O62" s="28"/>
      <c r="P62" s="418">
        <f t="shared" si="0"/>
        <v>1</v>
      </c>
    </row>
    <row r="63" spans="1:16" ht="15.75" thickBot="1" x14ac:dyDescent="0.3">
      <c r="A63" s="269"/>
      <c r="B63" s="656" t="s">
        <v>490</v>
      </c>
      <c r="D63" s="46"/>
      <c r="F63" s="28"/>
      <c r="G63" s="28"/>
      <c r="H63" s="28">
        <v>1</v>
      </c>
      <c r="I63" s="657" t="s">
        <v>485</v>
      </c>
      <c r="J63" s="28"/>
      <c r="K63" s="28"/>
      <c r="L63" s="28">
        <v>1</v>
      </c>
      <c r="M63" s="657" t="s">
        <v>485</v>
      </c>
      <c r="N63" s="28"/>
      <c r="O63" s="28"/>
      <c r="P63" s="418">
        <f t="shared" si="0"/>
        <v>2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4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C68B-BD8D-47BF-B230-DF43919A6491}">
  <sheetPr>
    <tabColor theme="7" tint="-0.249977111117893"/>
    <pageSetUpPr fitToPage="1"/>
  </sheetPr>
  <dimension ref="A1:S55"/>
  <sheetViews>
    <sheetView topLeftCell="A21" zoomScale="80" zoomScaleNormal="80" workbookViewId="0">
      <selection activeCell="Q52" sqref="Q52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6.37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" style="27" customWidth="1"/>
    <col min="14" max="14" width="9.125" style="27" bestFit="1" customWidth="1"/>
    <col min="15" max="15" width="6.25" style="27" customWidth="1"/>
    <col min="16" max="16384" width="10.875" style="27"/>
  </cols>
  <sheetData>
    <row r="1" spans="1:19" ht="15" customHeight="1" x14ac:dyDescent="0.45">
      <c r="A1" s="686" t="s">
        <v>272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9" s="3" customFormat="1" ht="16.5" customHeight="1" thickBot="1" x14ac:dyDescent="0.5">
      <c r="A2" s="688"/>
      <c r="B2" s="689"/>
      <c r="C2" s="18"/>
      <c r="D2" s="428" t="s">
        <v>379</v>
      </c>
      <c r="F2" s="754"/>
      <c r="G2" s="755"/>
      <c r="H2" s="755"/>
      <c r="I2" s="755"/>
      <c r="J2" s="756"/>
      <c r="K2" s="2"/>
    </row>
    <row r="3" spans="1:19" s="3" customFormat="1" ht="28.5" customHeight="1" thickBot="1" x14ac:dyDescent="0.3">
      <c r="A3" s="5"/>
      <c r="B3" s="5" t="s">
        <v>383</v>
      </c>
      <c r="C3" s="18"/>
      <c r="D3" s="4"/>
    </row>
    <row r="4" spans="1:19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9" x14ac:dyDescent="0.25">
      <c r="A5" s="30">
        <v>1000006</v>
      </c>
      <c r="B5" s="11" t="s">
        <v>4</v>
      </c>
      <c r="C5" s="41"/>
      <c r="D5" s="48">
        <v>20</v>
      </c>
      <c r="F5" s="567"/>
      <c r="G5" s="567"/>
      <c r="H5" s="567">
        <v>50</v>
      </c>
      <c r="I5" s="567"/>
      <c r="J5" s="567"/>
      <c r="K5" s="567"/>
      <c r="L5" s="567">
        <v>50</v>
      </c>
      <c r="M5" s="567"/>
      <c r="N5" s="567"/>
      <c r="O5" s="567"/>
      <c r="P5" s="588">
        <f t="shared" ref="P5:P55" si="0">SUM(F5:O5)</f>
        <v>100</v>
      </c>
    </row>
    <row r="6" spans="1:19" x14ac:dyDescent="0.25">
      <c r="A6" s="35">
        <v>1000007</v>
      </c>
      <c r="B6" s="12" t="s">
        <v>5</v>
      </c>
      <c r="C6" s="41"/>
      <c r="D6" s="47">
        <v>40</v>
      </c>
      <c r="F6" s="567"/>
      <c r="G6" s="567"/>
      <c r="H6" s="567">
        <v>50</v>
      </c>
      <c r="I6" s="567"/>
      <c r="J6" s="567"/>
      <c r="K6" s="567"/>
      <c r="L6" s="567"/>
      <c r="M6" s="567"/>
      <c r="N6" s="567"/>
      <c r="O6" s="567"/>
      <c r="P6" s="588">
        <f t="shared" si="0"/>
        <v>50</v>
      </c>
    </row>
    <row r="7" spans="1:19" x14ac:dyDescent="0.25">
      <c r="A7" s="35">
        <v>1000001</v>
      </c>
      <c r="B7" s="12" t="s">
        <v>8</v>
      </c>
      <c r="C7" s="41"/>
      <c r="D7" s="47">
        <v>2</v>
      </c>
      <c r="F7" s="567"/>
      <c r="G7" s="567"/>
      <c r="H7" s="567">
        <v>3</v>
      </c>
      <c r="I7" s="567"/>
      <c r="J7" s="567"/>
      <c r="K7" s="567"/>
      <c r="L7" s="567">
        <v>3</v>
      </c>
      <c r="M7" s="567"/>
      <c r="N7" s="567"/>
      <c r="O7" s="567"/>
      <c r="P7" s="588">
        <f t="shared" si="0"/>
        <v>6</v>
      </c>
    </row>
    <row r="8" spans="1:19" x14ac:dyDescent="0.25">
      <c r="A8" s="35">
        <v>1000002</v>
      </c>
      <c r="B8" s="12" t="s">
        <v>9</v>
      </c>
      <c r="C8" s="41"/>
      <c r="D8" s="47">
        <v>1</v>
      </c>
      <c r="F8" s="567"/>
      <c r="G8" s="567"/>
      <c r="H8" s="567">
        <v>1</v>
      </c>
      <c r="I8" s="567"/>
      <c r="J8" s="567"/>
      <c r="K8" s="567"/>
      <c r="L8" s="567">
        <v>1</v>
      </c>
      <c r="M8" s="567"/>
      <c r="N8" s="567"/>
      <c r="O8" s="567"/>
      <c r="P8" s="588">
        <f t="shared" si="0"/>
        <v>2</v>
      </c>
    </row>
    <row r="9" spans="1:19" x14ac:dyDescent="0.25">
      <c r="A9" s="35">
        <v>1000067</v>
      </c>
      <c r="B9" s="12" t="s">
        <v>11</v>
      </c>
      <c r="C9" s="41"/>
      <c r="D9" s="47">
        <v>0</v>
      </c>
      <c r="F9" s="567"/>
      <c r="G9" s="567"/>
      <c r="H9" s="567">
        <v>1</v>
      </c>
      <c r="I9" s="567"/>
      <c r="J9" s="567"/>
      <c r="K9" s="567"/>
      <c r="L9" s="567"/>
      <c r="M9" s="567"/>
      <c r="N9" s="567"/>
      <c r="O9" s="567"/>
      <c r="P9" s="588">
        <f t="shared" si="0"/>
        <v>1</v>
      </c>
    </row>
    <row r="10" spans="1:19" x14ac:dyDescent="0.25">
      <c r="A10" s="35">
        <v>1000054</v>
      </c>
      <c r="B10" s="12" t="s">
        <v>12</v>
      </c>
      <c r="C10" s="41"/>
      <c r="D10" s="47">
        <v>10</v>
      </c>
      <c r="F10" s="567"/>
      <c r="G10" s="567"/>
      <c r="H10" s="567"/>
      <c r="I10" s="567"/>
      <c r="J10" s="567"/>
      <c r="K10" s="567"/>
      <c r="L10" s="567"/>
      <c r="M10" s="567"/>
      <c r="N10" s="567"/>
      <c r="O10" s="567"/>
      <c r="P10" s="587">
        <f t="shared" si="0"/>
        <v>0</v>
      </c>
    </row>
    <row r="11" spans="1:19" x14ac:dyDescent="0.25">
      <c r="A11" s="35">
        <v>1000070</v>
      </c>
      <c r="B11" s="12" t="s">
        <v>13</v>
      </c>
      <c r="C11" s="41"/>
      <c r="D11" s="47">
        <v>0</v>
      </c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87">
        <f t="shared" si="0"/>
        <v>0</v>
      </c>
      <c r="S11" s="15"/>
    </row>
    <row r="12" spans="1:19" x14ac:dyDescent="0.25">
      <c r="A12" s="35">
        <v>1000017</v>
      </c>
      <c r="B12" s="12" t="s">
        <v>14</v>
      </c>
      <c r="C12" s="41"/>
      <c r="D12" s="47">
        <v>5</v>
      </c>
      <c r="F12" s="567"/>
      <c r="G12" s="567"/>
      <c r="H12" s="567">
        <v>10</v>
      </c>
      <c r="I12" s="567"/>
      <c r="J12" s="567"/>
      <c r="K12" s="567"/>
      <c r="L12" s="567">
        <v>10</v>
      </c>
      <c r="M12" s="567"/>
      <c r="N12" s="567"/>
      <c r="O12" s="567"/>
      <c r="P12" s="588">
        <f t="shared" si="0"/>
        <v>20</v>
      </c>
    </row>
    <row r="13" spans="1:19" x14ac:dyDescent="0.25">
      <c r="A13" s="35">
        <v>1000016</v>
      </c>
      <c r="B13" s="12" t="s">
        <v>15</v>
      </c>
      <c r="C13" s="41"/>
      <c r="D13" s="47">
        <v>1</v>
      </c>
      <c r="F13" s="567"/>
      <c r="G13" s="567"/>
      <c r="H13" s="567"/>
      <c r="I13" s="567"/>
      <c r="J13" s="567"/>
      <c r="K13" s="567"/>
      <c r="L13" s="567"/>
      <c r="M13" s="567"/>
      <c r="N13" s="567"/>
      <c r="O13" s="567"/>
      <c r="P13" s="587">
        <f t="shared" si="0"/>
        <v>0</v>
      </c>
    </row>
    <row r="14" spans="1:19" x14ac:dyDescent="0.25">
      <c r="A14" s="35">
        <v>1000011</v>
      </c>
      <c r="B14" s="12" t="s">
        <v>18</v>
      </c>
      <c r="C14" s="41"/>
      <c r="D14" s="47">
        <v>1</v>
      </c>
      <c r="F14" s="567"/>
      <c r="G14" s="567"/>
      <c r="H14" s="567"/>
      <c r="I14" s="567"/>
      <c r="J14" s="567"/>
      <c r="K14" s="567"/>
      <c r="L14" s="567"/>
      <c r="M14" s="567"/>
      <c r="N14" s="567"/>
      <c r="O14" s="567"/>
      <c r="P14" s="587">
        <f t="shared" si="0"/>
        <v>0</v>
      </c>
    </row>
    <row r="15" spans="1:19" x14ac:dyDescent="0.25">
      <c r="A15" s="35">
        <v>1000050</v>
      </c>
      <c r="B15" s="12" t="s">
        <v>22</v>
      </c>
      <c r="C15" s="41"/>
      <c r="D15" s="47">
        <v>1</v>
      </c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87">
        <f t="shared" si="0"/>
        <v>0</v>
      </c>
    </row>
    <row r="16" spans="1:19" x14ac:dyDescent="0.25">
      <c r="A16" s="35">
        <v>1000031</v>
      </c>
      <c r="B16" s="12" t="s">
        <v>25</v>
      </c>
      <c r="C16" s="41"/>
      <c r="D16" s="47">
        <v>1</v>
      </c>
      <c r="F16" s="567"/>
      <c r="G16" s="567"/>
      <c r="H16" s="567"/>
      <c r="I16" s="567"/>
      <c r="J16" s="567"/>
      <c r="K16" s="567"/>
      <c r="L16" s="567"/>
      <c r="M16" s="567"/>
      <c r="N16" s="567"/>
      <c r="O16" s="567"/>
      <c r="P16" s="587">
        <f t="shared" si="0"/>
        <v>0</v>
      </c>
    </row>
    <row r="17" spans="1:16" x14ac:dyDescent="0.25">
      <c r="A17" s="35">
        <v>1000033</v>
      </c>
      <c r="B17" s="12" t="s">
        <v>27</v>
      </c>
      <c r="C17" s="41"/>
      <c r="D17" s="47">
        <v>0</v>
      </c>
      <c r="F17" s="567"/>
      <c r="G17" s="567"/>
      <c r="H17" s="567"/>
      <c r="I17" s="567"/>
      <c r="J17" s="567"/>
      <c r="K17" s="567"/>
      <c r="L17" s="567"/>
      <c r="M17" s="567"/>
      <c r="N17" s="567"/>
      <c r="O17" s="567"/>
      <c r="P17" s="587">
        <f t="shared" si="0"/>
        <v>0</v>
      </c>
    </row>
    <row r="18" spans="1:16" x14ac:dyDescent="0.25">
      <c r="A18" s="35">
        <v>1000027</v>
      </c>
      <c r="B18" s="12" t="s">
        <v>33</v>
      </c>
      <c r="C18" s="41"/>
      <c r="D18" s="47">
        <v>0.5</v>
      </c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87">
        <f t="shared" si="0"/>
        <v>0</v>
      </c>
    </row>
    <row r="19" spans="1:16" x14ac:dyDescent="0.25">
      <c r="A19" s="35">
        <v>1000146</v>
      </c>
      <c r="B19" s="12" t="s">
        <v>39</v>
      </c>
      <c r="C19" s="41"/>
      <c r="D19" s="47">
        <v>5</v>
      </c>
      <c r="F19" s="567"/>
      <c r="G19" s="567"/>
      <c r="H19" s="567">
        <v>10</v>
      </c>
      <c r="I19" s="567"/>
      <c r="J19" s="567"/>
      <c r="K19" s="567"/>
      <c r="L19" s="567">
        <v>10</v>
      </c>
      <c r="M19" s="567"/>
      <c r="N19" s="567"/>
      <c r="O19" s="567"/>
      <c r="P19" s="588">
        <f t="shared" si="0"/>
        <v>20</v>
      </c>
    </row>
    <row r="20" spans="1:16" x14ac:dyDescent="0.25">
      <c r="A20" s="35">
        <v>10248</v>
      </c>
      <c r="B20" s="12" t="s">
        <v>183</v>
      </c>
      <c r="C20" s="41"/>
      <c r="D20" s="47">
        <v>0</v>
      </c>
      <c r="F20" s="567"/>
      <c r="G20" s="567"/>
      <c r="H20" s="567">
        <v>9</v>
      </c>
      <c r="I20" s="567"/>
      <c r="J20" s="567"/>
      <c r="K20" s="567"/>
      <c r="L20" s="567"/>
      <c r="M20" s="567"/>
      <c r="N20" s="567"/>
      <c r="O20" s="567"/>
      <c r="P20" s="588">
        <f t="shared" si="0"/>
        <v>9</v>
      </c>
    </row>
    <row r="21" spans="1:16" x14ac:dyDescent="0.25">
      <c r="A21" s="35">
        <v>1000052</v>
      </c>
      <c r="B21" s="12" t="s">
        <v>41</v>
      </c>
      <c r="C21" s="41"/>
      <c r="D21" s="47">
        <v>1</v>
      </c>
      <c r="F21" s="567"/>
      <c r="G21" s="567"/>
      <c r="H21" s="567">
        <v>2</v>
      </c>
      <c r="I21" s="567"/>
      <c r="J21" s="567"/>
      <c r="K21" s="567"/>
      <c r="L21" s="567"/>
      <c r="M21" s="567"/>
      <c r="N21" s="567"/>
      <c r="O21" s="567"/>
      <c r="P21" s="588">
        <f t="shared" si="0"/>
        <v>2</v>
      </c>
    </row>
    <row r="22" spans="1:16" x14ac:dyDescent="0.25">
      <c r="A22" s="35">
        <v>1000089</v>
      </c>
      <c r="B22" s="12" t="s">
        <v>42</v>
      </c>
      <c r="C22" s="41"/>
      <c r="D22" s="47">
        <v>1</v>
      </c>
      <c r="F22" s="567"/>
      <c r="G22" s="567"/>
      <c r="H22" s="567">
        <v>2</v>
      </c>
      <c r="I22" s="567"/>
      <c r="J22" s="567"/>
      <c r="K22" s="567"/>
      <c r="L22" s="567"/>
      <c r="M22" s="567"/>
      <c r="N22" s="567"/>
      <c r="O22" s="567"/>
      <c r="P22" s="588">
        <f t="shared" si="0"/>
        <v>2</v>
      </c>
    </row>
    <row r="23" spans="1:16" x14ac:dyDescent="0.25">
      <c r="A23" s="35">
        <v>1000051</v>
      </c>
      <c r="B23" s="12" t="s">
        <v>43</v>
      </c>
      <c r="C23" s="41"/>
      <c r="D23" s="47">
        <v>1</v>
      </c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87">
        <f t="shared" si="0"/>
        <v>0</v>
      </c>
    </row>
    <row r="24" spans="1:16" x14ac:dyDescent="0.25">
      <c r="A24" s="35">
        <v>1000048</v>
      </c>
      <c r="B24" s="12" t="s">
        <v>45</v>
      </c>
      <c r="C24" s="41"/>
      <c r="D24" s="47">
        <v>0</v>
      </c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87">
        <f t="shared" si="0"/>
        <v>0</v>
      </c>
    </row>
    <row r="25" spans="1:16" x14ac:dyDescent="0.25">
      <c r="A25" s="35">
        <v>1000004</v>
      </c>
      <c r="B25" s="12" t="s">
        <v>10</v>
      </c>
      <c r="C25" s="41"/>
      <c r="D25" s="47">
        <v>2</v>
      </c>
      <c r="F25" s="567"/>
      <c r="G25" s="567"/>
      <c r="H25" s="567">
        <v>3</v>
      </c>
      <c r="I25" s="567"/>
      <c r="J25" s="567"/>
      <c r="K25" s="567"/>
      <c r="L25" s="567">
        <v>2</v>
      </c>
      <c r="M25" s="567"/>
      <c r="N25" s="567"/>
      <c r="O25" s="567"/>
      <c r="P25" s="588">
        <f t="shared" si="0"/>
        <v>5</v>
      </c>
    </row>
    <row r="26" spans="1:16" x14ac:dyDescent="0.25">
      <c r="A26" s="35">
        <v>1000030</v>
      </c>
      <c r="B26" s="12" t="s">
        <v>24</v>
      </c>
      <c r="C26" s="41"/>
      <c r="D26" s="47">
        <v>4</v>
      </c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87">
        <f t="shared" si="0"/>
        <v>0</v>
      </c>
    </row>
    <row r="27" spans="1:16" s="15" customFormat="1" ht="15.95" customHeight="1" x14ac:dyDescent="0.25">
      <c r="A27" s="35">
        <v>1000025</v>
      </c>
      <c r="B27" s="12" t="s">
        <v>32</v>
      </c>
      <c r="C27" s="41"/>
      <c r="D27" s="47"/>
      <c r="E27" s="2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87">
        <f t="shared" si="0"/>
        <v>0</v>
      </c>
    </row>
    <row r="28" spans="1:16" x14ac:dyDescent="0.25">
      <c r="A28" s="35">
        <v>10211</v>
      </c>
      <c r="B28" s="12" t="s">
        <v>3</v>
      </c>
      <c r="C28" s="41"/>
      <c r="D28" s="4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87">
        <f t="shared" si="0"/>
        <v>0</v>
      </c>
    </row>
    <row r="29" spans="1:16" x14ac:dyDescent="0.25">
      <c r="A29" s="35">
        <v>1000142</v>
      </c>
      <c r="B29" s="12" t="s">
        <v>54</v>
      </c>
      <c r="C29" s="41"/>
      <c r="D29" s="4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87">
        <f t="shared" si="0"/>
        <v>0</v>
      </c>
    </row>
    <row r="30" spans="1:16" x14ac:dyDescent="0.25">
      <c r="A30" s="35">
        <v>1000075</v>
      </c>
      <c r="B30" s="12" t="s">
        <v>47</v>
      </c>
      <c r="C30" s="41"/>
      <c r="D30" s="4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87">
        <f t="shared" si="0"/>
        <v>0</v>
      </c>
    </row>
    <row r="31" spans="1:16" x14ac:dyDescent="0.25">
      <c r="A31" s="35">
        <v>1000449</v>
      </c>
      <c r="B31" s="12" t="s">
        <v>202</v>
      </c>
      <c r="C31" s="41"/>
      <c r="D31" s="4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87">
        <f t="shared" si="0"/>
        <v>0</v>
      </c>
    </row>
    <row r="32" spans="1:16" x14ac:dyDescent="0.25">
      <c r="A32" s="35">
        <v>1000034</v>
      </c>
      <c r="B32" s="12" t="s">
        <v>28</v>
      </c>
      <c r="C32" s="41"/>
      <c r="D32" s="4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87">
        <f t="shared" si="0"/>
        <v>0</v>
      </c>
    </row>
    <row r="33" spans="1:16" x14ac:dyDescent="0.25">
      <c r="A33" s="35">
        <v>1000049</v>
      </c>
      <c r="B33" s="12" t="s">
        <v>21</v>
      </c>
      <c r="C33" s="41"/>
      <c r="D33" s="4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87">
        <f t="shared" si="0"/>
        <v>0</v>
      </c>
    </row>
    <row r="34" spans="1:16" x14ac:dyDescent="0.25">
      <c r="A34" s="35">
        <v>10000102</v>
      </c>
      <c r="B34" s="12" t="s">
        <v>2</v>
      </c>
      <c r="C34" s="41"/>
      <c r="D34" s="4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87">
        <f t="shared" si="0"/>
        <v>0</v>
      </c>
    </row>
    <row r="35" spans="1:16" x14ac:dyDescent="0.25">
      <c r="A35" s="35">
        <v>1000214</v>
      </c>
      <c r="B35" s="12" t="s">
        <v>49</v>
      </c>
      <c r="C35" s="41"/>
      <c r="D35" s="4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87">
        <f t="shared" si="0"/>
        <v>0</v>
      </c>
    </row>
    <row r="36" spans="1:16" x14ac:dyDescent="0.25">
      <c r="A36" s="35">
        <v>1000008</v>
      </c>
      <c r="B36" s="12" t="s">
        <v>7</v>
      </c>
      <c r="C36" s="41"/>
      <c r="D36" s="4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87">
        <f t="shared" si="0"/>
        <v>0</v>
      </c>
    </row>
    <row r="37" spans="1:16" x14ac:dyDescent="0.25">
      <c r="A37" s="35">
        <v>1000100</v>
      </c>
      <c r="B37" s="12" t="s">
        <v>34</v>
      </c>
      <c r="C37" s="41"/>
      <c r="D37" s="4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87">
        <f t="shared" si="0"/>
        <v>0</v>
      </c>
    </row>
    <row r="38" spans="1:16" x14ac:dyDescent="0.25">
      <c r="A38" s="35">
        <v>1000441</v>
      </c>
      <c r="B38" s="12" t="s">
        <v>204</v>
      </c>
      <c r="C38" s="41"/>
      <c r="D38" s="4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87">
        <f t="shared" si="0"/>
        <v>0</v>
      </c>
    </row>
    <row r="39" spans="1:16" x14ac:dyDescent="0.25">
      <c r="A39" s="35">
        <v>1000082</v>
      </c>
      <c r="B39" s="12" t="s">
        <v>37</v>
      </c>
      <c r="C39" s="41"/>
      <c r="D39" s="47"/>
      <c r="F39" s="567"/>
      <c r="G39" s="567"/>
      <c r="H39" s="567">
        <v>8</v>
      </c>
      <c r="I39" s="567"/>
      <c r="J39" s="567"/>
      <c r="K39" s="567"/>
      <c r="L39" s="567">
        <v>8</v>
      </c>
      <c r="M39" s="567"/>
      <c r="N39" s="567"/>
      <c r="O39" s="567"/>
      <c r="P39" s="588">
        <f t="shared" si="0"/>
        <v>16</v>
      </c>
    </row>
    <row r="40" spans="1:16" x14ac:dyDescent="0.25">
      <c r="A40" s="35">
        <v>1000084</v>
      </c>
      <c r="B40" s="12" t="s">
        <v>38</v>
      </c>
      <c r="C40" s="41"/>
      <c r="D40" s="4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87">
        <f t="shared" si="0"/>
        <v>0</v>
      </c>
    </row>
    <row r="41" spans="1:16" x14ac:dyDescent="0.25">
      <c r="A41" s="35">
        <v>1000043</v>
      </c>
      <c r="B41" s="12" t="s">
        <v>84</v>
      </c>
      <c r="C41" s="41"/>
      <c r="D41" s="4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87">
        <f t="shared" si="0"/>
        <v>0</v>
      </c>
    </row>
    <row r="42" spans="1:16" x14ac:dyDescent="0.25">
      <c r="A42" s="35">
        <v>1000073</v>
      </c>
      <c r="B42" s="12" t="s">
        <v>36</v>
      </c>
      <c r="C42" s="41"/>
      <c r="D42" s="4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87">
        <f t="shared" si="0"/>
        <v>0</v>
      </c>
    </row>
    <row r="43" spans="1:16" x14ac:dyDescent="0.25">
      <c r="A43" s="35">
        <v>1000383</v>
      </c>
      <c r="B43" s="12" t="s">
        <v>264</v>
      </c>
      <c r="C43" s="41"/>
      <c r="D43" s="4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87">
        <f t="shared" si="0"/>
        <v>0</v>
      </c>
    </row>
    <row r="44" spans="1:16" x14ac:dyDescent="0.25">
      <c r="A44" s="35">
        <v>1000486</v>
      </c>
      <c r="B44" s="12" t="s">
        <v>263</v>
      </c>
      <c r="C44" s="41"/>
      <c r="D44" s="4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87">
        <f t="shared" si="0"/>
        <v>0</v>
      </c>
    </row>
    <row r="45" spans="1:16" x14ac:dyDescent="0.25">
      <c r="A45" s="35">
        <v>1000036</v>
      </c>
      <c r="B45" s="12" t="s">
        <v>75</v>
      </c>
      <c r="C45" s="41"/>
      <c r="D45" s="4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87">
        <f t="shared" si="0"/>
        <v>0</v>
      </c>
    </row>
    <row r="46" spans="1:16" x14ac:dyDescent="0.25">
      <c r="A46" s="35">
        <v>1000465</v>
      </c>
      <c r="B46" s="12" t="s">
        <v>219</v>
      </c>
      <c r="C46" s="41"/>
      <c r="D46" s="4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87">
        <f t="shared" si="0"/>
        <v>0</v>
      </c>
    </row>
    <row r="47" spans="1:16" x14ac:dyDescent="0.25">
      <c r="A47" s="35">
        <v>1000533</v>
      </c>
      <c r="B47" s="12" t="s">
        <v>259</v>
      </c>
      <c r="C47" s="41"/>
      <c r="D47" s="4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87">
        <f t="shared" si="0"/>
        <v>0</v>
      </c>
    </row>
    <row r="48" spans="1:16" x14ac:dyDescent="0.25">
      <c r="A48" s="35">
        <v>1000436</v>
      </c>
      <c r="B48" s="12" t="s">
        <v>276</v>
      </c>
      <c r="C48" s="41"/>
      <c r="D48" s="4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87">
        <f t="shared" si="0"/>
        <v>0</v>
      </c>
    </row>
    <row r="49" spans="1:16" x14ac:dyDescent="0.25">
      <c r="A49" s="35">
        <v>1000550</v>
      </c>
      <c r="B49" s="12" t="s">
        <v>277</v>
      </c>
      <c r="C49" s="41"/>
      <c r="D49" s="4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87">
        <f t="shared" si="0"/>
        <v>0</v>
      </c>
    </row>
    <row r="50" spans="1:16" x14ac:dyDescent="0.25">
      <c r="A50" s="35">
        <v>1000551</v>
      </c>
      <c r="B50" s="12" t="s">
        <v>278</v>
      </c>
      <c r="C50" s="41"/>
      <c r="D50" s="4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87">
        <f t="shared" si="0"/>
        <v>0</v>
      </c>
    </row>
    <row r="51" spans="1:16" x14ac:dyDescent="0.25">
      <c r="A51" s="35">
        <v>1000552</v>
      </c>
      <c r="B51" s="12" t="s">
        <v>279</v>
      </c>
      <c r="C51" s="41"/>
      <c r="D51" s="4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87">
        <f t="shared" si="0"/>
        <v>0</v>
      </c>
    </row>
    <row r="52" spans="1:16" ht="15.75" thickBot="1" x14ac:dyDescent="0.3">
      <c r="A52" s="243">
        <v>1000080</v>
      </c>
      <c r="B52" s="251" t="s">
        <v>275</v>
      </c>
      <c r="C52" s="215"/>
      <c r="D52" s="38"/>
      <c r="E52" s="215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87">
        <f t="shared" si="0"/>
        <v>0</v>
      </c>
    </row>
    <row r="53" spans="1:16" ht="15.75" thickBot="1" x14ac:dyDescent="0.3">
      <c r="A53" s="35">
        <v>1000010</v>
      </c>
      <c r="B53" s="12" t="s">
        <v>17</v>
      </c>
      <c r="D53" s="38"/>
      <c r="F53" s="567"/>
      <c r="G53" s="567"/>
      <c r="H53" s="567">
        <v>1</v>
      </c>
      <c r="I53" s="567"/>
      <c r="J53" s="567"/>
      <c r="K53" s="567"/>
      <c r="L53" s="567"/>
      <c r="M53" s="567"/>
      <c r="N53" s="567"/>
      <c r="O53" s="567"/>
      <c r="P53" s="588">
        <f t="shared" si="0"/>
        <v>1</v>
      </c>
    </row>
    <row r="54" spans="1:16" ht="15.75" thickBot="1" x14ac:dyDescent="0.3">
      <c r="A54" s="30">
        <v>10000015</v>
      </c>
      <c r="B54" s="11" t="s">
        <v>1</v>
      </c>
      <c r="D54" s="38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87">
        <f t="shared" si="0"/>
        <v>0</v>
      </c>
    </row>
    <row r="55" spans="1:16" ht="15.75" thickBot="1" x14ac:dyDescent="0.3">
      <c r="A55" s="35">
        <v>1000205</v>
      </c>
      <c r="B55" s="12" t="s">
        <v>82</v>
      </c>
      <c r="D55" s="38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87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3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F135-EABC-487E-970E-A28F2B2D47EF}">
  <sheetPr>
    <tabColor theme="7" tint="-0.249977111117893"/>
    <pageSetUpPr fitToPage="1"/>
  </sheetPr>
  <dimension ref="A1:R51"/>
  <sheetViews>
    <sheetView topLeftCell="A21" zoomScale="85" zoomScaleNormal="85" workbookViewId="0">
      <selection activeCell="Q41" sqref="Q41"/>
    </sheetView>
  </sheetViews>
  <sheetFormatPr baseColWidth="10" defaultColWidth="10.875" defaultRowHeight="15" x14ac:dyDescent="0.25"/>
  <cols>
    <col min="1" max="1" width="8.125" style="27" bestFit="1" customWidth="1"/>
    <col min="2" max="2" width="36.87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625" style="27" customWidth="1"/>
    <col min="8" max="8" width="9.125" style="27" bestFit="1" customWidth="1"/>
    <col min="9" max="9" width="6.2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.375" style="27" customWidth="1"/>
    <col min="14" max="14" width="9.125" style="27" bestFit="1" customWidth="1"/>
    <col min="15" max="15" width="6.375" style="27" customWidth="1"/>
    <col min="16" max="16384" width="10.875" style="27"/>
  </cols>
  <sheetData>
    <row r="1" spans="1:16" ht="17.25" customHeight="1" x14ac:dyDescent="0.45">
      <c r="A1" s="686" t="s">
        <v>160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379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5" t="s">
        <v>384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646" t="s">
        <v>336</v>
      </c>
      <c r="B5" s="11" t="s">
        <v>1</v>
      </c>
      <c r="C5" s="41"/>
      <c r="D5" s="48">
        <v>3</v>
      </c>
      <c r="F5" s="28"/>
      <c r="G5" s="28"/>
      <c r="H5" s="28"/>
      <c r="I5" s="28"/>
      <c r="J5" s="28">
        <v>5</v>
      </c>
      <c r="K5" s="28"/>
      <c r="L5" s="28"/>
      <c r="M5" s="28"/>
      <c r="N5" s="28"/>
      <c r="O5" s="28"/>
      <c r="P5" s="418">
        <f t="shared" ref="P5:P51" si="0">SUM(F5:O5)</f>
        <v>5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200</v>
      </c>
      <c r="F7" s="28"/>
      <c r="G7" s="28"/>
      <c r="H7" s="28">
        <v>50</v>
      </c>
      <c r="I7" s="28"/>
      <c r="J7" s="28">
        <v>50</v>
      </c>
      <c r="K7" s="28"/>
      <c r="L7" s="28">
        <v>100</v>
      </c>
      <c r="M7" s="28"/>
      <c r="N7" s="28"/>
      <c r="O7" s="28"/>
      <c r="P7" s="418">
        <f t="shared" si="0"/>
        <v>200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100</v>
      </c>
      <c r="F8" s="28">
        <v>100</v>
      </c>
      <c r="G8" s="28"/>
      <c r="H8" s="28">
        <v>50</v>
      </c>
      <c r="I8" s="28"/>
      <c r="J8" s="28">
        <v>50</v>
      </c>
      <c r="K8" s="28"/>
      <c r="L8" s="28">
        <v>100</v>
      </c>
      <c r="M8" s="28"/>
      <c r="N8" s="28"/>
      <c r="O8" s="28"/>
      <c r="P8" s="418">
        <f t="shared" si="0"/>
        <v>300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/>
      <c r="G9" s="28"/>
      <c r="H9" s="28"/>
      <c r="I9" s="28"/>
      <c r="J9" s="28"/>
      <c r="K9" s="28"/>
      <c r="L9" s="28">
        <v>2</v>
      </c>
      <c r="M9" s="28"/>
      <c r="N9" s="28"/>
      <c r="O9" s="28"/>
      <c r="P9" s="418">
        <f t="shared" si="0"/>
        <v>2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2</v>
      </c>
      <c r="F11" s="28"/>
      <c r="G11" s="28"/>
      <c r="H11" s="28"/>
      <c r="I11" s="28"/>
      <c r="J11" s="28">
        <v>2</v>
      </c>
      <c r="K11" s="28"/>
      <c r="L11" s="28">
        <v>2</v>
      </c>
      <c r="M11" s="28"/>
      <c r="N11" s="28"/>
      <c r="O11" s="28"/>
      <c r="P11" s="418">
        <f t="shared" si="0"/>
        <v>4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1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40</v>
      </c>
      <c r="F13" s="28">
        <v>5</v>
      </c>
      <c r="G13" s="28"/>
      <c r="H13" s="28">
        <v>10</v>
      </c>
      <c r="I13" s="28"/>
      <c r="J13" s="28">
        <v>10</v>
      </c>
      <c r="K13" s="28"/>
      <c r="L13" s="28">
        <v>15</v>
      </c>
      <c r="M13" s="28"/>
      <c r="N13" s="28"/>
      <c r="O13" s="28"/>
      <c r="P13" s="418">
        <f t="shared" si="0"/>
        <v>40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20</v>
      </c>
      <c r="F14" s="28"/>
      <c r="G14" s="28"/>
      <c r="H14" s="28">
        <v>5</v>
      </c>
      <c r="I14" s="28"/>
      <c r="J14" s="28"/>
      <c r="K14" s="28"/>
      <c r="L14" s="28"/>
      <c r="M14" s="28"/>
      <c r="N14" s="28"/>
      <c r="O14" s="28"/>
      <c r="P14" s="418">
        <f t="shared" si="0"/>
        <v>5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28"/>
      <c r="G15" s="28"/>
      <c r="H15" s="28"/>
      <c r="I15" s="28"/>
      <c r="J15" s="28">
        <v>5</v>
      </c>
      <c r="K15" s="28"/>
      <c r="L15" s="28">
        <v>5</v>
      </c>
      <c r="M15" s="28"/>
      <c r="N15" s="28"/>
      <c r="O15" s="28"/>
      <c r="P15" s="418">
        <f t="shared" si="0"/>
        <v>10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2</v>
      </c>
      <c r="F16" s="28"/>
      <c r="G16" s="28"/>
      <c r="H16" s="28">
        <v>1</v>
      </c>
      <c r="I16" s="28"/>
      <c r="J16" s="28"/>
      <c r="K16" s="28"/>
      <c r="L16" s="28"/>
      <c r="M16" s="28"/>
      <c r="N16" s="28"/>
      <c r="O16" s="28"/>
      <c r="P16" s="418">
        <f t="shared" si="0"/>
        <v>1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2</v>
      </c>
      <c r="F17" s="28"/>
      <c r="G17" s="28"/>
      <c r="H17" s="28">
        <v>1</v>
      </c>
      <c r="I17" s="28"/>
      <c r="J17" s="28"/>
      <c r="K17" s="28"/>
      <c r="L17" s="28"/>
      <c r="M17" s="28"/>
      <c r="N17" s="28"/>
      <c r="O17" s="28"/>
      <c r="P17" s="418">
        <f t="shared" si="0"/>
        <v>1</v>
      </c>
    </row>
    <row r="18" spans="1:16" ht="15.75" thickBot="1" x14ac:dyDescent="0.3">
      <c r="A18" s="35">
        <v>1000045</v>
      </c>
      <c r="B18" s="12" t="s">
        <v>23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1000031</v>
      </c>
      <c r="B19" s="12" t="s">
        <v>25</v>
      </c>
      <c r="C19" s="41"/>
      <c r="D19" s="47">
        <v>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1000026</v>
      </c>
      <c r="B20" s="12" t="s">
        <v>31</v>
      </c>
      <c r="C20" s="41"/>
      <c r="D20" s="47">
        <v>3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1000025</v>
      </c>
      <c r="B21" s="12" t="s">
        <v>32</v>
      </c>
      <c r="C21" s="41"/>
      <c r="D21" s="47">
        <v>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1000100</v>
      </c>
      <c r="B22" s="12" t="s">
        <v>34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1000146</v>
      </c>
      <c r="B23" s="12" t="s">
        <v>39</v>
      </c>
      <c r="C23" s="41"/>
      <c r="D23" s="47">
        <v>40</v>
      </c>
      <c r="F23" s="28"/>
      <c r="G23" s="28"/>
      <c r="H23" s="28">
        <v>20</v>
      </c>
      <c r="I23" s="28"/>
      <c r="J23" s="28">
        <v>20</v>
      </c>
      <c r="K23" s="28"/>
      <c r="L23" s="28">
        <v>20</v>
      </c>
      <c r="M23" s="28"/>
      <c r="N23" s="28"/>
      <c r="O23" s="28"/>
      <c r="P23" s="418">
        <f t="shared" si="0"/>
        <v>60</v>
      </c>
    </row>
    <row r="24" spans="1:16" ht="15.75" thickBot="1" x14ac:dyDescent="0.3">
      <c r="A24" s="35">
        <v>1000090</v>
      </c>
      <c r="B24" s="12" t="s">
        <v>40</v>
      </c>
      <c r="C24" s="41"/>
      <c r="D24" s="47">
        <v>2</v>
      </c>
      <c r="F24" s="28"/>
      <c r="G24" s="28"/>
      <c r="H24" s="28"/>
      <c r="I24" s="28"/>
      <c r="J24" s="28">
        <v>4</v>
      </c>
      <c r="K24" s="28"/>
      <c r="L24" s="28">
        <v>4</v>
      </c>
      <c r="M24" s="28"/>
      <c r="N24" s="28"/>
      <c r="O24" s="28"/>
      <c r="P24" s="418">
        <f t="shared" si="0"/>
        <v>8</v>
      </c>
    </row>
    <row r="25" spans="1:16" ht="15.75" thickBot="1" x14ac:dyDescent="0.3">
      <c r="A25" s="35">
        <v>1000052</v>
      </c>
      <c r="B25" s="12" t="s">
        <v>41</v>
      </c>
      <c r="C25" s="41"/>
      <c r="D25" s="47">
        <v>4</v>
      </c>
      <c r="F25" s="28"/>
      <c r="G25" s="28"/>
      <c r="H25" s="28">
        <v>2</v>
      </c>
      <c r="I25" s="28"/>
      <c r="J25" s="28"/>
      <c r="K25" s="28"/>
      <c r="L25" s="28">
        <v>2</v>
      </c>
      <c r="M25" s="28"/>
      <c r="N25" s="28"/>
      <c r="O25" s="28"/>
      <c r="P25" s="418">
        <f t="shared" si="0"/>
        <v>4</v>
      </c>
    </row>
    <row r="26" spans="1:16" ht="15.75" thickBot="1" x14ac:dyDescent="0.3">
      <c r="A26" s="35">
        <v>1000089</v>
      </c>
      <c r="B26" s="12" t="s">
        <v>42</v>
      </c>
      <c r="C26" s="41"/>
      <c r="D26" s="47">
        <v>4</v>
      </c>
      <c r="F26" s="28">
        <v>2</v>
      </c>
      <c r="G26" s="28"/>
      <c r="H26" s="28">
        <v>2</v>
      </c>
      <c r="I26" s="28"/>
      <c r="J26" s="28">
        <v>2</v>
      </c>
      <c r="K26" s="28"/>
      <c r="L26" s="28">
        <v>4</v>
      </c>
      <c r="M26" s="28"/>
      <c r="N26" s="28"/>
      <c r="O26" s="28"/>
      <c r="P26" s="418">
        <f t="shared" si="0"/>
        <v>10</v>
      </c>
    </row>
    <row r="27" spans="1:16" ht="15.75" thickBot="1" x14ac:dyDescent="0.3">
      <c r="A27" s="35">
        <v>1000051</v>
      </c>
      <c r="B27" s="12" t="s">
        <v>43</v>
      </c>
      <c r="C27" s="41"/>
      <c r="D27" s="47">
        <v>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1000092</v>
      </c>
      <c r="B29" s="12" t="s">
        <v>51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1000142</v>
      </c>
      <c r="B30" s="12" t="s">
        <v>54</v>
      </c>
      <c r="C30" s="41"/>
      <c r="D30" s="47">
        <v>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1000117</v>
      </c>
      <c r="B31" s="12" t="s">
        <v>80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1000030</v>
      </c>
      <c r="B32" s="12" t="s">
        <v>24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8" ht="15.75" thickBot="1" x14ac:dyDescent="0.3">
      <c r="A33" s="35">
        <v>1000070</v>
      </c>
      <c r="B33" s="12" t="s">
        <v>13</v>
      </c>
      <c r="C33" s="41"/>
      <c r="D33" s="47"/>
      <c r="F33" s="28"/>
      <c r="G33" s="28"/>
      <c r="H33" s="28"/>
      <c r="I33" s="28"/>
      <c r="J33" s="28">
        <v>2</v>
      </c>
      <c r="K33" s="28"/>
      <c r="L33" s="28">
        <v>2</v>
      </c>
      <c r="M33" s="28"/>
      <c r="N33" s="28"/>
      <c r="O33" s="28"/>
      <c r="P33" s="418">
        <f t="shared" si="0"/>
        <v>4</v>
      </c>
    </row>
    <row r="34" spans="1:18" s="15" customFormat="1" ht="15.95" customHeight="1" thickBot="1" x14ac:dyDescent="0.3">
      <c r="A34" s="35">
        <v>1000033</v>
      </c>
      <c r="B34" s="12" t="s">
        <v>27</v>
      </c>
      <c r="C34" s="41"/>
      <c r="D34" s="47"/>
      <c r="E34" s="27"/>
      <c r="F34" s="28">
        <v>2</v>
      </c>
      <c r="G34" s="28"/>
      <c r="H34" s="28">
        <v>2</v>
      </c>
      <c r="I34" s="28"/>
      <c r="J34" s="28">
        <v>1</v>
      </c>
      <c r="K34" s="28"/>
      <c r="L34" s="28">
        <v>2</v>
      </c>
      <c r="M34" s="28"/>
      <c r="N34" s="28"/>
      <c r="O34" s="28"/>
      <c r="P34" s="418">
        <f t="shared" si="0"/>
        <v>7</v>
      </c>
    </row>
    <row r="35" spans="1:18" ht="15.75" thickBot="1" x14ac:dyDescent="0.3">
      <c r="A35" s="35">
        <v>1000045</v>
      </c>
      <c r="B35" s="12" t="s">
        <v>23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8" ht="15.75" thickBot="1" x14ac:dyDescent="0.3">
      <c r="A36" s="35">
        <v>1000214</v>
      </c>
      <c r="B36" s="12" t="s">
        <v>49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8" ht="15.75" thickBot="1" x14ac:dyDescent="0.3">
      <c r="A37" s="35">
        <v>1000412</v>
      </c>
      <c r="B37" s="12" t="s">
        <v>239</v>
      </c>
      <c r="C37" s="41"/>
      <c r="D37" s="47"/>
      <c r="F37" s="28">
        <v>2</v>
      </c>
      <c r="G37" s="28"/>
      <c r="H37" s="28"/>
      <c r="I37" s="28"/>
      <c r="J37" s="28"/>
      <c r="K37" s="28"/>
      <c r="L37" s="28"/>
      <c r="M37" s="28"/>
      <c r="N37" s="28"/>
      <c r="O37" s="28"/>
      <c r="P37" s="418">
        <f t="shared" si="0"/>
        <v>2</v>
      </c>
    </row>
    <row r="38" spans="1:18" ht="15.75" thickBot="1" x14ac:dyDescent="0.3">
      <c r="A38" s="35">
        <v>1000101</v>
      </c>
      <c r="B38" s="12" t="s">
        <v>35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8" ht="15.75" thickBot="1" x14ac:dyDescent="0.3">
      <c r="A39" s="35">
        <v>1000084</v>
      </c>
      <c r="B39" s="12" t="s">
        <v>194</v>
      </c>
      <c r="C39" s="41"/>
      <c r="D39" s="47"/>
      <c r="F39" s="28">
        <v>8</v>
      </c>
      <c r="G39" s="28"/>
      <c r="H39" s="28">
        <v>4</v>
      </c>
      <c r="I39" s="28"/>
      <c r="J39" s="28">
        <v>8</v>
      </c>
      <c r="K39" s="28"/>
      <c r="L39" s="28">
        <v>12</v>
      </c>
      <c r="M39" s="28"/>
      <c r="N39" s="28"/>
      <c r="O39" s="28"/>
      <c r="P39" s="418">
        <f t="shared" si="0"/>
        <v>32</v>
      </c>
    </row>
    <row r="40" spans="1:18" ht="15.75" thickBot="1" x14ac:dyDescent="0.3">
      <c r="A40" s="35">
        <v>1000075</v>
      </c>
      <c r="B40" s="12" t="s">
        <v>47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8" ht="15.75" thickBot="1" x14ac:dyDescent="0.3">
      <c r="A41" s="35">
        <v>1000383</v>
      </c>
      <c r="B41" s="12" t="s">
        <v>264</v>
      </c>
      <c r="C41" s="41"/>
      <c r="D41" s="47"/>
      <c r="F41" s="28">
        <v>48</v>
      </c>
      <c r="G41" s="28"/>
      <c r="H41" s="28"/>
      <c r="I41" s="28"/>
      <c r="J41" s="28">
        <v>72</v>
      </c>
      <c r="K41" s="28"/>
      <c r="L41" s="28">
        <v>96</v>
      </c>
      <c r="M41" s="28"/>
      <c r="N41" s="28"/>
      <c r="O41" s="28"/>
      <c r="P41" s="418">
        <f t="shared" si="0"/>
        <v>216</v>
      </c>
      <c r="R41" s="589" t="s">
        <v>336</v>
      </c>
    </row>
    <row r="42" spans="1:18" ht="15.75" thickBot="1" x14ac:dyDescent="0.3">
      <c r="A42" s="35">
        <v>1000486</v>
      </c>
      <c r="B42" s="12" t="s">
        <v>263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8" ht="15.75" thickBot="1" x14ac:dyDescent="0.3">
      <c r="A43" s="35">
        <v>1000440</v>
      </c>
      <c r="B43" s="12" t="s">
        <v>199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8" ht="15.75" thickBot="1" x14ac:dyDescent="0.3">
      <c r="A44" s="35">
        <v>1000082</v>
      </c>
      <c r="B44" s="12" t="s">
        <v>37</v>
      </c>
      <c r="C44" s="41"/>
      <c r="D44" s="47"/>
      <c r="F44" s="28"/>
      <c r="G44" s="28"/>
      <c r="H44" s="28"/>
      <c r="I44" s="28"/>
      <c r="J44" s="28">
        <v>8</v>
      </c>
      <c r="K44" s="28"/>
      <c r="L44" s="28"/>
      <c r="M44" s="28"/>
      <c r="N44" s="28"/>
      <c r="O44" s="28"/>
      <c r="P44" s="418">
        <f t="shared" si="0"/>
        <v>8</v>
      </c>
    </row>
    <row r="45" spans="1:18" ht="15.75" thickBot="1" x14ac:dyDescent="0.3">
      <c r="A45" s="35">
        <v>1000085</v>
      </c>
      <c r="B45" s="12" t="s">
        <v>50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8" ht="15.75" thickBot="1" x14ac:dyDescent="0.3">
      <c r="A46" s="35">
        <v>1000080</v>
      </c>
      <c r="B46" s="12" t="s">
        <v>275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8" ht="15.75" thickBot="1" x14ac:dyDescent="0.3">
      <c r="A47" s="35">
        <v>1000436</v>
      </c>
      <c r="B47" s="12" t="s">
        <v>276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8" ht="15.75" thickBot="1" x14ac:dyDescent="0.3">
      <c r="A48" s="35">
        <v>1000550</v>
      </c>
      <c r="B48" s="12" t="s">
        <v>277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1000551</v>
      </c>
      <c r="B49" s="12" t="s">
        <v>278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243">
        <v>1000552</v>
      </c>
      <c r="B50" s="251" t="s">
        <v>279</v>
      </c>
      <c r="C50" s="215"/>
      <c r="D50" s="38"/>
      <c r="E50" s="215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/>
      <c r="B51" s="12" t="s">
        <v>465</v>
      </c>
      <c r="D51" s="3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4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DA66-F3E7-479D-AFBB-B9D8347544CF}">
  <sheetPr>
    <tabColor theme="7" tint="-0.249977111117893"/>
    <pageSetUpPr fitToPage="1"/>
  </sheetPr>
  <dimension ref="A1:P53"/>
  <sheetViews>
    <sheetView topLeftCell="A9" zoomScale="70" zoomScaleNormal="70" workbookViewId="0">
      <selection activeCell="A34" sqref="A34:B34"/>
    </sheetView>
  </sheetViews>
  <sheetFormatPr baseColWidth="10" defaultColWidth="10.875" defaultRowHeight="15" x14ac:dyDescent="0.25"/>
  <cols>
    <col min="1" max="1" width="9.75" style="27" bestFit="1" customWidth="1"/>
    <col min="2" max="2" width="37.37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25" style="27" customWidth="1"/>
    <col min="8" max="8" width="9.125" style="27" bestFit="1" customWidth="1"/>
    <col min="9" max="9" width="5.75" style="27" customWidth="1"/>
    <col min="10" max="10" width="9.125" style="27" bestFit="1" customWidth="1"/>
    <col min="11" max="11" width="6.5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5.75" style="27" customWidth="1"/>
    <col min="16" max="16384" width="10.875" style="27"/>
  </cols>
  <sheetData>
    <row r="1" spans="1:16" ht="17.25" customHeight="1" x14ac:dyDescent="0.45">
      <c r="A1" s="686" t="s">
        <v>147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385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60</v>
      </c>
      <c r="F5" s="28">
        <v>100</v>
      </c>
      <c r="G5" s="28"/>
      <c r="H5" s="28">
        <v>50</v>
      </c>
      <c r="I5" s="28"/>
      <c r="J5" s="28">
        <v>100</v>
      </c>
      <c r="K5" s="28"/>
      <c r="L5" s="28"/>
      <c r="M5" s="28"/>
      <c r="N5" s="28"/>
      <c r="O5" s="28"/>
      <c r="P5" s="418">
        <f t="shared" ref="P5:P53" si="0">SUM(F5:O5)</f>
        <v>250</v>
      </c>
    </row>
    <row r="6" spans="1:16" ht="15.75" thickBot="1" x14ac:dyDescent="0.3">
      <c r="A6" s="35">
        <v>1000007</v>
      </c>
      <c r="B6" s="12" t="s">
        <v>5</v>
      </c>
      <c r="C6" s="41"/>
      <c r="D6" s="47">
        <v>60</v>
      </c>
      <c r="F6" s="28"/>
      <c r="G6" s="28"/>
      <c r="H6" s="28">
        <v>50</v>
      </c>
      <c r="I6" s="28"/>
      <c r="J6" s="28"/>
      <c r="K6" s="28"/>
      <c r="L6" s="28"/>
      <c r="M6" s="28"/>
      <c r="N6" s="28"/>
      <c r="O6" s="28"/>
      <c r="P6" s="418">
        <f t="shared" si="0"/>
        <v>50</v>
      </c>
    </row>
    <row r="7" spans="1:16" ht="15.75" thickBot="1" x14ac:dyDescent="0.3">
      <c r="A7" s="35">
        <v>1000001</v>
      </c>
      <c r="B7" s="12" t="s">
        <v>8</v>
      </c>
      <c r="C7" s="41"/>
      <c r="D7" s="47">
        <v>1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1000002</v>
      </c>
      <c r="B8" s="12" t="s">
        <v>9</v>
      </c>
      <c r="C8" s="41"/>
      <c r="D8" s="47">
        <v>1</v>
      </c>
      <c r="F8" s="28"/>
      <c r="G8" s="28"/>
      <c r="H8" s="28"/>
      <c r="I8" s="28"/>
      <c r="J8" s="28">
        <v>1</v>
      </c>
      <c r="K8" s="28"/>
      <c r="L8" s="28"/>
      <c r="M8" s="28"/>
      <c r="N8" s="28"/>
      <c r="O8" s="28"/>
      <c r="P8" s="418">
        <f t="shared" si="0"/>
        <v>1</v>
      </c>
    </row>
    <row r="9" spans="1:16" ht="15.75" thickBot="1" x14ac:dyDescent="0.3">
      <c r="A9" s="35">
        <v>1000054</v>
      </c>
      <c r="B9" s="12" t="s">
        <v>12</v>
      </c>
      <c r="C9" s="41"/>
      <c r="D9" s="47">
        <v>10</v>
      </c>
      <c r="F9" s="28"/>
      <c r="G9" s="28"/>
      <c r="H9" s="28"/>
      <c r="I9" s="28"/>
      <c r="J9" s="28">
        <v>5</v>
      </c>
      <c r="K9" s="28"/>
      <c r="L9" s="28"/>
      <c r="M9" s="28"/>
      <c r="N9" s="28"/>
      <c r="O9" s="28"/>
      <c r="P9" s="418">
        <f t="shared" si="0"/>
        <v>5</v>
      </c>
    </row>
    <row r="10" spans="1:16" ht="15.75" thickBot="1" x14ac:dyDescent="0.3">
      <c r="A10" s="35">
        <v>1000070</v>
      </c>
      <c r="B10" s="12" t="s">
        <v>13</v>
      </c>
      <c r="C10" s="41"/>
      <c r="D10" s="47">
        <v>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1000017</v>
      </c>
      <c r="B11" s="12" t="s">
        <v>14</v>
      </c>
      <c r="C11" s="41"/>
      <c r="D11" s="47">
        <v>10</v>
      </c>
      <c r="F11" s="28"/>
      <c r="G11" s="28"/>
      <c r="H11" s="28"/>
      <c r="I11" s="28"/>
      <c r="J11" s="28">
        <v>5</v>
      </c>
      <c r="K11" s="28"/>
      <c r="L11" s="28"/>
      <c r="M11" s="28"/>
      <c r="N11" s="28"/>
      <c r="O11" s="28"/>
      <c r="P11" s="418">
        <f t="shared" si="0"/>
        <v>5</v>
      </c>
    </row>
    <row r="12" spans="1:16" ht="15.75" thickBot="1" x14ac:dyDescent="0.3">
      <c r="A12" s="35">
        <v>1000016</v>
      </c>
      <c r="B12" s="12" t="s">
        <v>15</v>
      </c>
      <c r="C12" s="41"/>
      <c r="D12" s="47">
        <v>5</v>
      </c>
      <c r="F12" s="28"/>
      <c r="G12" s="28"/>
      <c r="H12" s="28"/>
      <c r="I12" s="28"/>
      <c r="J12" s="28">
        <v>5</v>
      </c>
      <c r="K12" s="28"/>
      <c r="L12" s="28"/>
      <c r="M12" s="28"/>
      <c r="N12" s="28"/>
      <c r="O12" s="28"/>
      <c r="P12" s="30">
        <f t="shared" si="0"/>
        <v>5</v>
      </c>
    </row>
    <row r="13" spans="1:16" ht="15.75" thickBot="1" x14ac:dyDescent="0.3">
      <c r="A13" s="35">
        <v>1000010</v>
      </c>
      <c r="B13" s="12" t="s">
        <v>17</v>
      </c>
      <c r="C13" s="41"/>
      <c r="D13" s="47">
        <v>1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1000049</v>
      </c>
      <c r="B14" s="12" t="s">
        <v>21</v>
      </c>
      <c r="C14" s="41"/>
      <c r="D14" s="47">
        <v>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1000050</v>
      </c>
      <c r="B15" s="12" t="s">
        <v>22</v>
      </c>
      <c r="C15" s="41"/>
      <c r="D15" s="47">
        <v>1</v>
      </c>
      <c r="F15" s="28">
        <v>2</v>
      </c>
      <c r="G15" s="28"/>
      <c r="H15" s="28">
        <v>2</v>
      </c>
      <c r="I15" s="28"/>
      <c r="J15" s="28">
        <v>2</v>
      </c>
      <c r="K15" s="28"/>
      <c r="L15" s="28"/>
      <c r="M15" s="28"/>
      <c r="N15" s="28"/>
      <c r="O15" s="28"/>
      <c r="P15" s="418">
        <f t="shared" si="0"/>
        <v>6</v>
      </c>
    </row>
    <row r="16" spans="1:16" ht="15.75" thickBot="1" x14ac:dyDescent="0.3">
      <c r="A16" s="35">
        <v>1000031</v>
      </c>
      <c r="B16" s="12" t="s">
        <v>25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1000025</v>
      </c>
      <c r="B17" s="12" t="s">
        <v>32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1000486</v>
      </c>
      <c r="B18" s="12" t="s">
        <v>263</v>
      </c>
      <c r="C18" s="41"/>
      <c r="D18" s="47">
        <v>15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418">
        <f t="shared" si="0"/>
        <v>0</v>
      </c>
    </row>
    <row r="19" spans="1:16" ht="15.75" thickBot="1" x14ac:dyDescent="0.3">
      <c r="A19" s="35">
        <v>10248</v>
      </c>
      <c r="B19" s="12" t="s">
        <v>183</v>
      </c>
      <c r="C19" s="41"/>
      <c r="D19" s="47">
        <v>0</v>
      </c>
      <c r="F19" s="28">
        <v>6</v>
      </c>
      <c r="G19" s="28"/>
      <c r="H19" s="28">
        <v>6</v>
      </c>
      <c r="I19" s="28"/>
      <c r="J19" s="28">
        <v>62</v>
      </c>
      <c r="K19" s="28"/>
      <c r="L19" s="28"/>
      <c r="M19" s="28"/>
      <c r="N19" s="28"/>
      <c r="O19" s="28"/>
      <c r="P19" s="418">
        <f t="shared" si="0"/>
        <v>74</v>
      </c>
    </row>
    <row r="20" spans="1:16" ht="15.75" thickBot="1" x14ac:dyDescent="0.3">
      <c r="A20" s="35">
        <v>1000090</v>
      </c>
      <c r="B20" s="12" t="s">
        <v>40</v>
      </c>
      <c r="C20" s="41"/>
      <c r="D20" s="47">
        <v>1</v>
      </c>
      <c r="F20" s="28">
        <v>2</v>
      </c>
      <c r="G20" s="28"/>
      <c r="H20" s="28">
        <v>2</v>
      </c>
      <c r="I20" s="28"/>
      <c r="J20" s="28">
        <v>2</v>
      </c>
      <c r="K20" s="28"/>
      <c r="L20" s="28"/>
      <c r="M20" s="28"/>
      <c r="N20" s="28"/>
      <c r="O20" s="28"/>
      <c r="P20" s="418">
        <f t="shared" si="0"/>
        <v>6</v>
      </c>
    </row>
    <row r="21" spans="1:16" ht="15.75" thickBot="1" x14ac:dyDescent="0.3">
      <c r="A21" s="35">
        <v>1000052</v>
      </c>
      <c r="B21" s="12" t="s">
        <v>41</v>
      </c>
      <c r="C21" s="41"/>
      <c r="D21" s="47">
        <v>1</v>
      </c>
      <c r="F21" s="28">
        <v>2</v>
      </c>
      <c r="G21" s="28"/>
      <c r="H21" s="28">
        <v>2</v>
      </c>
      <c r="I21" s="28"/>
      <c r="J21" s="28">
        <v>2</v>
      </c>
      <c r="K21" s="28"/>
      <c r="L21" s="28"/>
      <c r="M21" s="28"/>
      <c r="N21" s="28"/>
      <c r="O21" s="28"/>
      <c r="P21" s="418">
        <f t="shared" si="0"/>
        <v>6</v>
      </c>
    </row>
    <row r="22" spans="1:16" ht="15.75" thickBot="1" x14ac:dyDescent="0.3">
      <c r="A22" s="35">
        <v>1000089</v>
      </c>
      <c r="B22" s="12" t="s">
        <v>42</v>
      </c>
      <c r="C22" s="41"/>
      <c r="D22" s="47">
        <v>1</v>
      </c>
      <c r="F22" s="28">
        <v>2</v>
      </c>
      <c r="G22" s="28"/>
      <c r="H22" s="28">
        <v>2</v>
      </c>
      <c r="I22" s="28"/>
      <c r="J22" s="28">
        <v>2</v>
      </c>
      <c r="K22" s="28"/>
      <c r="L22" s="28"/>
      <c r="M22" s="28"/>
      <c r="N22" s="28"/>
      <c r="O22" s="28"/>
      <c r="P22" s="418">
        <f t="shared" si="0"/>
        <v>6</v>
      </c>
    </row>
    <row r="23" spans="1:16" ht="15.75" thickBot="1" x14ac:dyDescent="0.3">
      <c r="A23" s="35">
        <v>1000051</v>
      </c>
      <c r="B23" s="12" t="s">
        <v>43</v>
      </c>
      <c r="C23" s="41"/>
      <c r="D23" s="47">
        <v>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1000048</v>
      </c>
      <c r="B24" s="12" t="s">
        <v>45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1000057</v>
      </c>
      <c r="B25" s="12" t="s">
        <v>70</v>
      </c>
      <c r="C25" s="41"/>
      <c r="D25" s="47">
        <v>0</v>
      </c>
      <c r="F25" s="28"/>
      <c r="G25" s="28"/>
      <c r="H25" s="28">
        <v>1</v>
      </c>
      <c r="I25" s="28"/>
      <c r="J25" s="28"/>
      <c r="K25" s="28"/>
      <c r="L25" s="28"/>
      <c r="M25" s="28"/>
      <c r="N25" s="28"/>
      <c r="O25" s="28"/>
      <c r="P25" s="30">
        <f t="shared" si="0"/>
        <v>1</v>
      </c>
    </row>
    <row r="26" spans="1:16" ht="15.75" thickBot="1" x14ac:dyDescent="0.3">
      <c r="A26" s="35">
        <v>1000004</v>
      </c>
      <c r="B26" s="12" t="s">
        <v>10</v>
      </c>
      <c r="C26" s="41"/>
      <c r="D26" s="47"/>
      <c r="F26" s="28">
        <v>2</v>
      </c>
      <c r="G26" s="28"/>
      <c r="H26" s="28">
        <v>2</v>
      </c>
      <c r="I26" s="28"/>
      <c r="J26" s="28">
        <v>2</v>
      </c>
      <c r="K26" s="28"/>
      <c r="L26" s="28"/>
      <c r="M26" s="28"/>
      <c r="N26" s="28"/>
      <c r="O26" s="28"/>
      <c r="P26" s="418">
        <f t="shared" si="0"/>
        <v>6</v>
      </c>
    </row>
    <row r="27" spans="1:16" ht="15.75" thickBot="1" x14ac:dyDescent="0.3">
      <c r="A27" s="35">
        <v>10211</v>
      </c>
      <c r="B27" s="12" t="s">
        <v>3</v>
      </c>
      <c r="C27" s="41"/>
      <c r="D27" s="4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s="15" customFormat="1" ht="15.95" customHeight="1" thickBot="1" x14ac:dyDescent="0.3">
      <c r="A28" s="35">
        <v>10212</v>
      </c>
      <c r="B28" s="12" t="s">
        <v>6</v>
      </c>
      <c r="C28" s="41"/>
      <c r="D28" s="47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1000002</v>
      </c>
      <c r="B29" s="12" t="s">
        <v>9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1000051</v>
      </c>
      <c r="B30" s="12" t="s">
        <v>43</v>
      </c>
      <c r="C30" s="41"/>
      <c r="D30" s="47"/>
      <c r="F30" s="28">
        <v>1</v>
      </c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1</v>
      </c>
    </row>
    <row r="31" spans="1:16" ht="15.75" thickBot="1" x14ac:dyDescent="0.3">
      <c r="A31" s="35">
        <v>1000087</v>
      </c>
      <c r="B31" s="12" t="s">
        <v>197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1000034</v>
      </c>
      <c r="B32" s="12" t="s">
        <v>28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1000008</v>
      </c>
      <c r="B33" s="12" t="s">
        <v>7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1000075</v>
      </c>
      <c r="B34" s="12" t="s">
        <v>47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10000102</v>
      </c>
      <c r="B35" s="12" t="s">
        <v>2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1000027</v>
      </c>
      <c r="B36" s="12" t="s">
        <v>33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1000033</v>
      </c>
      <c r="B37" s="12" t="s">
        <v>27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1000067</v>
      </c>
      <c r="B38" s="12" t="s">
        <v>11</v>
      </c>
      <c r="C38" s="41"/>
      <c r="D38" s="47"/>
      <c r="F38" s="28">
        <v>1</v>
      </c>
      <c r="G38" s="28"/>
      <c r="H38" s="28"/>
      <c r="I38" s="28"/>
      <c r="J38" s="28"/>
      <c r="K38" s="28"/>
      <c r="L38" s="28"/>
      <c r="M38" s="28"/>
      <c r="N38" s="28"/>
      <c r="O38" s="28"/>
      <c r="P38" s="418">
        <f t="shared" si="0"/>
        <v>1</v>
      </c>
    </row>
    <row r="39" spans="1:16" ht="15.75" thickBot="1" x14ac:dyDescent="0.3">
      <c r="A39" s="35">
        <v>1000142</v>
      </c>
      <c r="B39" s="12" t="s">
        <v>54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10000015</v>
      </c>
      <c r="B40" s="12" t="s">
        <v>1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1000148</v>
      </c>
      <c r="B41" s="12" t="s">
        <v>53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1000084</v>
      </c>
      <c r="B42" s="12" t="s">
        <v>194</v>
      </c>
      <c r="C42" s="41"/>
      <c r="D42" s="47"/>
      <c r="F42" s="28">
        <v>4</v>
      </c>
      <c r="G42" s="28"/>
      <c r="H42" s="28">
        <v>4</v>
      </c>
      <c r="I42" s="28"/>
      <c r="J42" s="28">
        <v>4</v>
      </c>
      <c r="K42" s="28"/>
      <c r="L42" s="28"/>
      <c r="M42" s="28"/>
      <c r="N42" s="28"/>
      <c r="O42" s="28"/>
      <c r="P42" s="418">
        <f t="shared" si="0"/>
        <v>12</v>
      </c>
    </row>
    <row r="43" spans="1:16" ht="15.75" thickBot="1" x14ac:dyDescent="0.3">
      <c r="A43" s="35">
        <v>1000147</v>
      </c>
      <c r="B43" s="12" t="s">
        <v>52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1000383</v>
      </c>
      <c r="B44" s="12" t="s">
        <v>264</v>
      </c>
      <c r="C44" s="41"/>
      <c r="D44" s="47"/>
      <c r="F44" s="28"/>
      <c r="G44" s="28"/>
      <c r="H44" s="28">
        <v>48</v>
      </c>
      <c r="I44" s="28"/>
      <c r="J44" s="28"/>
      <c r="K44" s="28"/>
      <c r="L44" s="28"/>
      <c r="M44" s="28"/>
      <c r="N44" s="28"/>
      <c r="O44" s="28"/>
      <c r="P44" s="30">
        <f t="shared" si="0"/>
        <v>48</v>
      </c>
    </row>
    <row r="45" spans="1:16" ht="15.75" thickBot="1" x14ac:dyDescent="0.3">
      <c r="A45" s="35">
        <v>1000029</v>
      </c>
      <c r="B45" s="12" t="s">
        <v>30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1000045</v>
      </c>
      <c r="B46" s="12" t="s">
        <v>23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1000436</v>
      </c>
      <c r="B47" s="12" t="s">
        <v>276</v>
      </c>
      <c r="C47" s="41"/>
      <c r="D47" s="47"/>
      <c r="F47" s="28">
        <v>10</v>
      </c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10</v>
      </c>
    </row>
    <row r="48" spans="1:16" ht="15.75" thickBot="1" x14ac:dyDescent="0.3">
      <c r="A48" s="35">
        <v>1000550</v>
      </c>
      <c r="B48" s="12" t="s">
        <v>277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1000551</v>
      </c>
      <c r="B49" s="12" t="s">
        <v>278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1000552</v>
      </c>
      <c r="B50" s="12" t="s">
        <v>279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243">
        <v>1000080</v>
      </c>
      <c r="B51" s="251" t="s">
        <v>275</v>
      </c>
      <c r="C51" s="215"/>
      <c r="D51" s="38"/>
      <c r="E51" s="215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418">
        <f t="shared" si="0"/>
        <v>0</v>
      </c>
    </row>
    <row r="52" spans="1:16" ht="15.75" thickBot="1" x14ac:dyDescent="0.3">
      <c r="A52" s="35">
        <v>1000073</v>
      </c>
      <c r="B52" s="12" t="s">
        <v>36</v>
      </c>
      <c r="D52" s="3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/>
      <c r="B53" s="12"/>
      <c r="D53" s="3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3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79F6-6112-4037-9AF2-2F6440589EBF}">
  <sheetPr>
    <tabColor theme="7" tint="-0.249977111117893"/>
    <pageSetUpPr fitToPage="1"/>
  </sheetPr>
  <dimension ref="A1:U41"/>
  <sheetViews>
    <sheetView topLeftCell="A5" zoomScale="70" zoomScaleNormal="70" workbookViewId="0">
      <selection activeCell="R22" sqref="R22"/>
    </sheetView>
  </sheetViews>
  <sheetFormatPr baseColWidth="10" defaultColWidth="10.875" defaultRowHeight="15" x14ac:dyDescent="0.25"/>
  <cols>
    <col min="1" max="1" width="9.75" style="27" bestFit="1" customWidth="1"/>
    <col min="2" max="2" width="41.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7" style="27" customWidth="1"/>
    <col min="10" max="10" width="9.125" style="27" bestFit="1" customWidth="1"/>
    <col min="11" max="11" width="6.625" style="27" customWidth="1"/>
    <col min="12" max="12" width="9.125" style="27" bestFit="1" customWidth="1"/>
    <col min="13" max="13" width="6.625" style="27" customWidth="1"/>
    <col min="14" max="14" width="9.125" style="27" bestFit="1" customWidth="1"/>
    <col min="15" max="15" width="6.5" style="27" customWidth="1"/>
    <col min="16" max="16" width="9.625" style="27" customWidth="1"/>
    <col min="17" max="16384" width="10.875" style="27"/>
  </cols>
  <sheetData>
    <row r="1" spans="1:16" ht="17.25" customHeight="1" x14ac:dyDescent="0.45">
      <c r="A1" s="686" t="s">
        <v>156</v>
      </c>
      <c r="B1" s="687"/>
      <c r="C1" s="18"/>
      <c r="D1" s="18"/>
      <c r="F1" s="751" t="s">
        <v>479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4.75" customHeight="1" thickBot="1" x14ac:dyDescent="0.3">
      <c r="A3" s="5"/>
      <c r="B3" s="5" t="s">
        <v>386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80</v>
      </c>
      <c r="F5" s="28"/>
      <c r="G5" s="28"/>
      <c r="H5" s="28"/>
      <c r="I5" s="28"/>
      <c r="J5" s="28"/>
      <c r="K5" s="28"/>
      <c r="L5" s="28">
        <v>50</v>
      </c>
      <c r="M5" s="28"/>
      <c r="N5" s="28"/>
      <c r="O5" s="28"/>
      <c r="P5" s="418">
        <f t="shared" ref="P5:P41" si="0">SUM(F5:O5)</f>
        <v>50</v>
      </c>
    </row>
    <row r="6" spans="1:16" ht="15.75" thickBot="1" x14ac:dyDescent="0.3">
      <c r="A6" s="35">
        <v>1000007</v>
      </c>
      <c r="B6" s="12" t="s">
        <v>5</v>
      </c>
      <c r="C6" s="41"/>
      <c r="D6" s="47">
        <v>85</v>
      </c>
      <c r="F6" s="28"/>
      <c r="G6" s="28"/>
      <c r="H6" s="28"/>
      <c r="I6" s="28"/>
      <c r="J6" s="28"/>
      <c r="K6" s="28"/>
      <c r="L6" s="28">
        <v>50</v>
      </c>
      <c r="M6" s="28"/>
      <c r="N6" s="28"/>
      <c r="O6" s="28"/>
      <c r="P6" s="418">
        <f t="shared" si="0"/>
        <v>50</v>
      </c>
    </row>
    <row r="7" spans="1:16" ht="15.75" thickBot="1" x14ac:dyDescent="0.3">
      <c r="A7" s="35">
        <v>1000001</v>
      </c>
      <c r="B7" s="12" t="s">
        <v>8</v>
      </c>
      <c r="C7" s="41"/>
      <c r="D7" s="47">
        <v>2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1000002</v>
      </c>
      <c r="B8" s="12" t="s">
        <v>9</v>
      </c>
      <c r="C8" s="41"/>
      <c r="D8" s="47">
        <v>2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35">
        <v>1000067</v>
      </c>
      <c r="B9" s="12" t="s">
        <v>11</v>
      </c>
      <c r="C9" s="41"/>
      <c r="D9" s="47">
        <v>0.16666666666666666</v>
      </c>
      <c r="F9" s="28"/>
      <c r="G9" s="28"/>
      <c r="H9" s="28"/>
      <c r="I9" s="28"/>
      <c r="J9" s="28"/>
      <c r="K9" s="28"/>
      <c r="L9" s="28">
        <v>1</v>
      </c>
      <c r="M9" s="28"/>
      <c r="N9" s="28"/>
      <c r="O9" s="28"/>
      <c r="P9" s="418">
        <f t="shared" si="0"/>
        <v>1</v>
      </c>
    </row>
    <row r="10" spans="1:16" ht="15.75" thickBot="1" x14ac:dyDescent="0.3">
      <c r="A10" s="35">
        <v>1000054</v>
      </c>
      <c r="B10" s="12" t="s">
        <v>12</v>
      </c>
      <c r="C10" s="41"/>
      <c r="D10" s="47">
        <v>15</v>
      </c>
      <c r="F10" s="28">
        <v>5</v>
      </c>
      <c r="G10" s="28"/>
      <c r="H10" s="28"/>
      <c r="I10" s="28"/>
      <c r="J10" s="28"/>
      <c r="K10" s="28"/>
      <c r="L10" s="28">
        <v>5</v>
      </c>
      <c r="M10" s="28"/>
      <c r="N10" s="28"/>
      <c r="O10" s="28"/>
      <c r="P10" s="418">
        <f t="shared" si="0"/>
        <v>10</v>
      </c>
    </row>
    <row r="11" spans="1:16" ht="15.75" thickBot="1" x14ac:dyDescent="0.3">
      <c r="A11" s="35">
        <v>1000017</v>
      </c>
      <c r="B11" s="12" t="s">
        <v>14</v>
      </c>
      <c r="C11" s="41"/>
      <c r="D11" s="47">
        <v>5</v>
      </c>
      <c r="F11" s="28"/>
      <c r="G11" s="28"/>
      <c r="H11" s="28">
        <v>5</v>
      </c>
      <c r="I11" s="28"/>
      <c r="J11" s="28"/>
      <c r="K11" s="28"/>
      <c r="L11" s="28">
        <v>5</v>
      </c>
      <c r="M11" s="28"/>
      <c r="N11" s="28"/>
      <c r="O11" s="28"/>
      <c r="P11" s="418">
        <f t="shared" si="0"/>
        <v>10</v>
      </c>
    </row>
    <row r="12" spans="1:16" ht="15.75" thickBot="1" x14ac:dyDescent="0.3">
      <c r="A12" s="35">
        <v>1000016</v>
      </c>
      <c r="B12" s="12" t="s">
        <v>15</v>
      </c>
      <c r="C12" s="41"/>
      <c r="D12" s="47">
        <v>5</v>
      </c>
      <c r="F12" s="28"/>
      <c r="G12" s="28"/>
      <c r="H12" s="28"/>
      <c r="I12" s="28"/>
      <c r="J12" s="28"/>
      <c r="K12" s="28"/>
      <c r="L12" s="28">
        <v>5</v>
      </c>
      <c r="M12" s="28"/>
      <c r="N12" s="28"/>
      <c r="O12" s="28"/>
      <c r="P12" s="418">
        <f t="shared" si="0"/>
        <v>5</v>
      </c>
    </row>
    <row r="13" spans="1:16" ht="15.75" thickBot="1" x14ac:dyDescent="0.3">
      <c r="A13" s="35">
        <v>1000049</v>
      </c>
      <c r="B13" s="12" t="s">
        <v>21</v>
      </c>
      <c r="C13" s="41"/>
      <c r="D13" s="47">
        <v>1</v>
      </c>
      <c r="F13" s="28">
        <v>2</v>
      </c>
      <c r="G13" s="28"/>
      <c r="H13" s="28"/>
      <c r="I13" s="28"/>
      <c r="J13" s="28"/>
      <c r="K13" s="28"/>
      <c r="L13" s="28"/>
      <c r="M13" s="28"/>
      <c r="N13" s="28"/>
      <c r="O13" s="28"/>
      <c r="P13" s="418">
        <f t="shared" si="0"/>
        <v>2</v>
      </c>
    </row>
    <row r="14" spans="1:16" ht="15.75" thickBot="1" x14ac:dyDescent="0.3">
      <c r="A14" s="35">
        <v>1000050</v>
      </c>
      <c r="B14" s="12" t="s">
        <v>22</v>
      </c>
      <c r="C14" s="41"/>
      <c r="D14" s="47">
        <v>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1000031</v>
      </c>
      <c r="B15" s="12" t="s">
        <v>25</v>
      </c>
      <c r="C15" s="41"/>
      <c r="D15" s="47">
        <v>1</v>
      </c>
      <c r="F15" s="28"/>
      <c r="G15" s="28"/>
      <c r="H15" s="28"/>
      <c r="I15" s="28"/>
      <c r="J15" s="28"/>
      <c r="K15" s="28"/>
      <c r="L15" s="28">
        <v>2</v>
      </c>
      <c r="M15" s="28"/>
      <c r="N15" s="28"/>
      <c r="O15" s="28"/>
      <c r="P15" s="418">
        <f t="shared" si="0"/>
        <v>2</v>
      </c>
    </row>
    <row r="16" spans="1:16" ht="15.75" thickBot="1" x14ac:dyDescent="0.3">
      <c r="A16" s="35">
        <v>1000025</v>
      </c>
      <c r="B16" s="12" t="s">
        <v>32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21" ht="15.75" thickBot="1" x14ac:dyDescent="0.3">
      <c r="A17" s="35">
        <v>1000486</v>
      </c>
      <c r="B17" s="12" t="s">
        <v>263</v>
      </c>
      <c r="C17" s="41"/>
      <c r="D17" s="47">
        <v>25</v>
      </c>
      <c r="F17" s="28">
        <v>20</v>
      </c>
      <c r="G17" s="28"/>
      <c r="H17" s="28"/>
      <c r="I17" s="28"/>
      <c r="J17" s="28"/>
      <c r="K17" s="28"/>
      <c r="L17" s="28"/>
      <c r="M17" s="28"/>
      <c r="N17" s="28"/>
      <c r="O17" s="28"/>
      <c r="P17" s="418">
        <f t="shared" si="0"/>
        <v>20</v>
      </c>
    </row>
    <row r="18" spans="1:21" ht="15.75" thickBot="1" x14ac:dyDescent="0.3">
      <c r="A18" s="35">
        <v>10248</v>
      </c>
      <c r="B18" s="12" t="s">
        <v>183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21" ht="15.75" thickBot="1" x14ac:dyDescent="0.3">
      <c r="A19" s="35">
        <v>1000052</v>
      </c>
      <c r="B19" s="12" t="s">
        <v>41</v>
      </c>
      <c r="C19" s="41"/>
      <c r="D19" s="47">
        <v>2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  <c r="U19" s="589" t="s">
        <v>336</v>
      </c>
    </row>
    <row r="20" spans="1:21" ht="15.75" thickBot="1" x14ac:dyDescent="0.3">
      <c r="A20" s="35">
        <v>1000089</v>
      </c>
      <c r="B20" s="12" t="s">
        <v>42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21" ht="15.75" thickBot="1" x14ac:dyDescent="0.3">
      <c r="A21" s="35">
        <v>1000051</v>
      </c>
      <c r="B21" s="12" t="s">
        <v>43</v>
      </c>
      <c r="C21" s="41"/>
      <c r="D21" s="47">
        <v>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21" ht="15.75" thickBot="1" x14ac:dyDescent="0.3">
      <c r="A22" s="35">
        <v>1000048</v>
      </c>
      <c r="B22" s="12" t="s">
        <v>45</v>
      </c>
      <c r="C22" s="41"/>
      <c r="D22" s="47">
        <v>0</v>
      </c>
      <c r="F22" s="28"/>
      <c r="G22" s="28"/>
      <c r="H22" s="28">
        <v>1</v>
      </c>
      <c r="I22" s="28"/>
      <c r="J22" s="28"/>
      <c r="K22" s="28"/>
      <c r="L22" s="28">
        <v>1</v>
      </c>
      <c r="M22" s="28"/>
      <c r="N22" s="28"/>
      <c r="O22" s="28"/>
      <c r="P22" s="418">
        <f t="shared" si="0"/>
        <v>2</v>
      </c>
    </row>
    <row r="23" spans="1:21" ht="15.75" thickBot="1" x14ac:dyDescent="0.3">
      <c r="A23" s="35">
        <v>1000100</v>
      </c>
      <c r="B23" s="12" t="s">
        <v>34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21" ht="15.75" thickBot="1" x14ac:dyDescent="0.3">
      <c r="A24" s="35">
        <v>1000090</v>
      </c>
      <c r="B24" s="12" t="s">
        <v>40</v>
      </c>
      <c r="C24" s="41"/>
      <c r="D24" s="4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21" s="15" customFormat="1" ht="15.95" customHeight="1" thickBot="1" x14ac:dyDescent="0.3">
      <c r="A25" s="35">
        <v>1000076</v>
      </c>
      <c r="B25" s="12" t="s">
        <v>46</v>
      </c>
      <c r="C25" s="41"/>
      <c r="D25" s="47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21" ht="15.75" thickBot="1" x14ac:dyDescent="0.3">
      <c r="A26" s="35">
        <v>1000004</v>
      </c>
      <c r="B26" s="12" t="s">
        <v>10</v>
      </c>
      <c r="C26" s="41"/>
      <c r="D26" s="4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21" ht="15.75" thickBot="1" x14ac:dyDescent="0.3">
      <c r="A27" s="35">
        <v>1000073</v>
      </c>
      <c r="B27" s="12" t="s">
        <v>36</v>
      </c>
      <c r="C27" s="41"/>
      <c r="D27" s="4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21" ht="15.75" thickBot="1" x14ac:dyDescent="0.3">
      <c r="A28" s="35">
        <v>10000102</v>
      </c>
      <c r="B28" s="12" t="s">
        <v>2</v>
      </c>
      <c r="C28" s="41"/>
      <c r="D28" s="4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21" ht="15.75" thickBot="1" x14ac:dyDescent="0.3">
      <c r="A29" s="35">
        <v>1000439</v>
      </c>
      <c r="B29" s="12" t="s">
        <v>193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21" ht="15.75" thickBot="1" x14ac:dyDescent="0.3">
      <c r="A30" s="35">
        <v>1000070</v>
      </c>
      <c r="B30" s="12" t="s">
        <v>13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21" ht="15.75" thickBot="1" x14ac:dyDescent="0.3">
      <c r="A31" s="35">
        <v>1000101</v>
      </c>
      <c r="B31" s="12" t="s">
        <v>35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21" ht="15.75" thickBot="1" x14ac:dyDescent="0.3">
      <c r="A32" s="35">
        <v>1000045</v>
      </c>
      <c r="B32" s="12" t="s">
        <v>23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1000383</v>
      </c>
      <c r="B33" s="12" t="s">
        <v>264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1000084</v>
      </c>
      <c r="B34" s="12" t="s">
        <v>38</v>
      </c>
      <c r="C34" s="41"/>
      <c r="D34" s="47"/>
      <c r="F34" s="28"/>
      <c r="G34" s="28"/>
      <c r="H34" s="28">
        <v>4</v>
      </c>
      <c r="I34" s="28"/>
      <c r="J34" s="28"/>
      <c r="K34" s="28"/>
      <c r="L34" s="28"/>
      <c r="M34" s="28"/>
      <c r="N34" s="28"/>
      <c r="O34" s="28"/>
      <c r="P34" s="418">
        <f t="shared" si="0"/>
        <v>4</v>
      </c>
    </row>
    <row r="35" spans="1:16" ht="15.75" thickBot="1" x14ac:dyDescent="0.3">
      <c r="A35" s="35">
        <v>1000080</v>
      </c>
      <c r="B35" s="12" t="s">
        <v>275</v>
      </c>
      <c r="C35" s="41"/>
      <c r="D35" s="47"/>
      <c r="F35" s="28"/>
      <c r="G35" s="28"/>
      <c r="H35" s="28">
        <v>24</v>
      </c>
      <c r="I35" s="28"/>
      <c r="J35" s="28"/>
      <c r="K35" s="28"/>
      <c r="L35" s="28">
        <v>48</v>
      </c>
      <c r="M35" s="28"/>
      <c r="N35" s="28"/>
      <c r="O35" s="28"/>
      <c r="P35" s="418">
        <f t="shared" si="0"/>
        <v>72</v>
      </c>
    </row>
    <row r="36" spans="1:16" ht="15.75" thickBot="1" x14ac:dyDescent="0.3">
      <c r="A36" s="35">
        <v>1000436</v>
      </c>
      <c r="B36" s="12" t="s">
        <v>276</v>
      </c>
      <c r="C36" s="41"/>
      <c r="D36" s="47"/>
      <c r="F36" s="28"/>
      <c r="G36" s="28"/>
      <c r="H36" s="28">
        <v>10</v>
      </c>
      <c r="I36" s="28"/>
      <c r="J36" s="28"/>
      <c r="K36" s="28"/>
      <c r="L36" s="28">
        <v>20</v>
      </c>
      <c r="M36" s="28"/>
      <c r="N36" s="28"/>
      <c r="O36" s="28"/>
      <c r="P36" s="418">
        <f t="shared" si="0"/>
        <v>30</v>
      </c>
    </row>
    <row r="37" spans="1:16" ht="15.75" thickBot="1" x14ac:dyDescent="0.3">
      <c r="A37" s="35">
        <v>1000550</v>
      </c>
      <c r="B37" s="12" t="s">
        <v>277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1000551</v>
      </c>
      <c r="B38" s="12" t="s">
        <v>278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243">
        <v>1000552</v>
      </c>
      <c r="B39" s="251" t="s">
        <v>279</v>
      </c>
      <c r="C39" s="215"/>
      <c r="D39" s="38"/>
      <c r="E39" s="215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0">
        <v>10000015</v>
      </c>
      <c r="B40" s="11" t="s">
        <v>1</v>
      </c>
      <c r="D40" s="3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269">
        <v>1000034</v>
      </c>
      <c r="B41" s="267" t="s">
        <v>28</v>
      </c>
      <c r="D41" s="3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7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2749-94D9-4613-8DD7-F6CD69097E10}">
  <sheetPr>
    <tabColor theme="7" tint="-0.249977111117893"/>
    <pageSetUpPr fitToPage="1"/>
  </sheetPr>
  <dimension ref="A1:P58"/>
  <sheetViews>
    <sheetView topLeftCell="A40" workbookViewId="0">
      <selection activeCell="P58" sqref="P58"/>
    </sheetView>
  </sheetViews>
  <sheetFormatPr baseColWidth="10" defaultColWidth="10.875" defaultRowHeight="15" x14ac:dyDescent="0.25"/>
  <cols>
    <col min="1" max="1" width="7.875" style="123" bestFit="1" customWidth="1"/>
    <col min="2" max="2" width="40.125" style="123" bestFit="1" customWidth="1"/>
    <col min="3" max="3" width="0.875" style="123" customWidth="1"/>
    <col min="4" max="4" width="8.125" style="123" bestFit="1" customWidth="1"/>
    <col min="5" max="5" width="1" style="123" customWidth="1"/>
    <col min="6" max="6" width="9.125" style="123" bestFit="1" customWidth="1"/>
    <col min="7" max="7" width="5.75" style="123" customWidth="1"/>
    <col min="8" max="8" width="9.125" style="123" bestFit="1" customWidth="1"/>
    <col min="9" max="9" width="5.5" style="123" customWidth="1"/>
    <col min="10" max="10" width="9.125" style="123" bestFit="1" customWidth="1"/>
    <col min="11" max="11" width="6.125" style="123" customWidth="1"/>
    <col min="12" max="12" width="9.125" style="123" bestFit="1" customWidth="1"/>
    <col min="13" max="13" width="6.375" style="123" customWidth="1"/>
    <col min="14" max="14" width="9.125" style="123" bestFit="1" customWidth="1"/>
    <col min="15" max="15" width="6.375" style="123" customWidth="1"/>
    <col min="16" max="16384" width="10.875" style="123"/>
  </cols>
  <sheetData>
    <row r="1" spans="1:16" ht="17.25" customHeight="1" x14ac:dyDescent="0.45">
      <c r="A1" s="686" t="s">
        <v>216</v>
      </c>
      <c r="B1" s="687"/>
      <c r="C1" s="18"/>
      <c r="D1" s="18"/>
      <c r="F1" s="751" t="s">
        <v>479</v>
      </c>
      <c r="G1" s="752"/>
      <c r="H1" s="752"/>
      <c r="I1" s="752"/>
      <c r="J1" s="753"/>
      <c r="K1" s="2"/>
      <c r="L1"/>
      <c r="M1"/>
    </row>
    <row r="2" spans="1:16" s="3" customFormat="1" ht="17.25" customHeight="1" thickBot="1" x14ac:dyDescent="0.5">
      <c r="A2" s="688"/>
      <c r="B2" s="689"/>
      <c r="C2" s="18"/>
      <c r="D2" s="431" t="s">
        <v>379</v>
      </c>
      <c r="F2" s="754"/>
      <c r="G2" s="755"/>
      <c r="H2" s="755"/>
      <c r="I2" s="755"/>
      <c r="J2" s="756"/>
      <c r="K2" s="2"/>
      <c r="L2"/>
      <c r="M2"/>
    </row>
    <row r="3" spans="1:16" s="3" customFormat="1" ht="20.25" customHeight="1" thickBot="1" x14ac:dyDescent="0.3">
      <c r="A3" s="5"/>
      <c r="B3" s="5" t="s">
        <v>387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123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124">
        <v>1000006</v>
      </c>
      <c r="B5" s="11" t="s">
        <v>4</v>
      </c>
      <c r="C5" s="125"/>
      <c r="D5" s="126">
        <v>150</v>
      </c>
      <c r="F5" s="127">
        <v>50</v>
      </c>
      <c r="G5" s="127"/>
      <c r="H5" s="127">
        <v>50</v>
      </c>
      <c r="I5" s="127"/>
      <c r="J5" s="127"/>
      <c r="K5" s="127"/>
      <c r="L5" s="127">
        <v>50</v>
      </c>
      <c r="M5" s="127"/>
      <c r="N5" s="127"/>
      <c r="O5" s="127"/>
      <c r="P5" s="525">
        <f t="shared" ref="P5:P58" si="0">SUM(F5:O5)</f>
        <v>150</v>
      </c>
    </row>
    <row r="6" spans="1:16" ht="15.75" thickBot="1" x14ac:dyDescent="0.3">
      <c r="A6" s="128">
        <v>1000007</v>
      </c>
      <c r="B6" s="12" t="s">
        <v>5</v>
      </c>
      <c r="C6" s="125"/>
      <c r="D6" s="129">
        <v>20</v>
      </c>
      <c r="F6" s="127">
        <v>50</v>
      </c>
      <c r="G6" s="127"/>
      <c r="H6" s="127">
        <v>50</v>
      </c>
      <c r="I6" s="127"/>
      <c r="J6" s="127"/>
      <c r="K6" s="127"/>
      <c r="L6" s="127">
        <v>50</v>
      </c>
      <c r="M6" s="127"/>
      <c r="N6" s="127"/>
      <c r="O6" s="127"/>
      <c r="P6" s="525">
        <f t="shared" si="0"/>
        <v>150</v>
      </c>
    </row>
    <row r="7" spans="1:16" ht="15.75" thickBot="1" x14ac:dyDescent="0.3">
      <c r="A7" s="128">
        <v>10212</v>
      </c>
      <c r="B7" s="12" t="s">
        <v>6</v>
      </c>
      <c r="C7" s="125"/>
      <c r="D7" s="129">
        <v>3</v>
      </c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4">
        <f t="shared" si="0"/>
        <v>0</v>
      </c>
    </row>
    <row r="8" spans="1:16" ht="15.75" thickBot="1" x14ac:dyDescent="0.3">
      <c r="A8" s="128">
        <v>1000008</v>
      </c>
      <c r="B8" s="12" t="s">
        <v>7</v>
      </c>
      <c r="C8" s="125"/>
      <c r="D8" s="129">
        <v>10</v>
      </c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4">
        <f t="shared" si="0"/>
        <v>0</v>
      </c>
    </row>
    <row r="9" spans="1:16" ht="15.75" thickBot="1" x14ac:dyDescent="0.3">
      <c r="A9" s="128">
        <v>1000001</v>
      </c>
      <c r="B9" s="12" t="s">
        <v>8</v>
      </c>
      <c r="C9" s="125"/>
      <c r="D9" s="129">
        <v>1</v>
      </c>
      <c r="F9" s="127"/>
      <c r="G9" s="127"/>
      <c r="H9" s="127">
        <v>1</v>
      </c>
      <c r="I9" s="127"/>
      <c r="J9" s="127">
        <v>1</v>
      </c>
      <c r="K9" s="127"/>
      <c r="L9" s="127">
        <v>2</v>
      </c>
      <c r="M9" s="127"/>
      <c r="N9" s="127"/>
      <c r="O9" s="127"/>
      <c r="P9" s="525">
        <f t="shared" si="0"/>
        <v>4</v>
      </c>
    </row>
    <row r="10" spans="1:16" ht="15.75" thickBot="1" x14ac:dyDescent="0.3">
      <c r="A10" s="128">
        <v>1000002</v>
      </c>
      <c r="B10" s="12" t="s">
        <v>9</v>
      </c>
      <c r="C10" s="125"/>
      <c r="D10" s="129">
        <v>1</v>
      </c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4">
        <f t="shared" si="0"/>
        <v>0</v>
      </c>
    </row>
    <row r="11" spans="1:16" ht="15.75" thickBot="1" x14ac:dyDescent="0.3">
      <c r="A11" s="128">
        <v>1000004</v>
      </c>
      <c r="B11" s="12" t="s">
        <v>10</v>
      </c>
      <c r="C11" s="125"/>
      <c r="D11" s="129">
        <v>2</v>
      </c>
      <c r="F11" s="127">
        <v>2</v>
      </c>
      <c r="G11" s="127"/>
      <c r="H11" s="127">
        <v>2</v>
      </c>
      <c r="I11" s="127"/>
      <c r="J11" s="127">
        <v>2</v>
      </c>
      <c r="K11" s="127"/>
      <c r="L11" s="127">
        <v>3</v>
      </c>
      <c r="M11" s="127"/>
      <c r="N11" s="127"/>
      <c r="O11" s="127"/>
      <c r="P11" s="525">
        <f t="shared" si="0"/>
        <v>9</v>
      </c>
    </row>
    <row r="12" spans="1:16" ht="15.75" thickBot="1" x14ac:dyDescent="0.3">
      <c r="A12" s="128">
        <v>1000067</v>
      </c>
      <c r="B12" s="12" t="s">
        <v>11</v>
      </c>
      <c r="C12" s="125"/>
      <c r="D12" s="129">
        <v>0</v>
      </c>
      <c r="F12" s="127">
        <v>1</v>
      </c>
      <c r="G12" s="127"/>
      <c r="H12" s="127"/>
      <c r="I12" s="127"/>
      <c r="J12" s="127"/>
      <c r="K12" s="127"/>
      <c r="L12" s="127"/>
      <c r="M12" s="127"/>
      <c r="N12" s="127"/>
      <c r="O12" s="127"/>
      <c r="P12" s="525">
        <f t="shared" si="0"/>
        <v>1</v>
      </c>
    </row>
    <row r="13" spans="1:16" ht="15.75" thickBot="1" x14ac:dyDescent="0.3">
      <c r="A13" s="128">
        <v>1000054</v>
      </c>
      <c r="B13" s="12" t="s">
        <v>12</v>
      </c>
      <c r="C13" s="125"/>
      <c r="D13" s="129">
        <v>10</v>
      </c>
      <c r="F13" s="127"/>
      <c r="G13" s="127"/>
      <c r="H13" s="127"/>
      <c r="I13" s="127"/>
      <c r="J13" s="127">
        <v>10</v>
      </c>
      <c r="K13" s="127"/>
      <c r="L13" s="127"/>
      <c r="M13" s="127"/>
      <c r="N13" s="127"/>
      <c r="O13" s="127"/>
      <c r="P13" s="525">
        <f t="shared" si="0"/>
        <v>10</v>
      </c>
    </row>
    <row r="14" spans="1:16" ht="15.75" thickBot="1" x14ac:dyDescent="0.3">
      <c r="A14" s="128">
        <v>1000070</v>
      </c>
      <c r="B14" s="12" t="s">
        <v>13</v>
      </c>
      <c r="C14" s="125"/>
      <c r="D14" s="129">
        <v>1</v>
      </c>
      <c r="F14" s="127">
        <v>1</v>
      </c>
      <c r="G14" s="127"/>
      <c r="H14" s="127"/>
      <c r="I14" s="127"/>
      <c r="J14" s="127"/>
      <c r="K14" s="127"/>
      <c r="L14" s="127"/>
      <c r="M14" s="127"/>
      <c r="N14" s="127"/>
      <c r="O14" s="127"/>
      <c r="P14" s="525">
        <f t="shared" si="0"/>
        <v>1</v>
      </c>
    </row>
    <row r="15" spans="1:16" ht="15.75" thickBot="1" x14ac:dyDescent="0.3">
      <c r="A15" s="128">
        <v>1000017</v>
      </c>
      <c r="B15" s="12" t="s">
        <v>14</v>
      </c>
      <c r="C15" s="125"/>
      <c r="D15" s="129">
        <v>10</v>
      </c>
      <c r="F15" s="127">
        <v>5</v>
      </c>
      <c r="G15" s="127"/>
      <c r="H15" s="127"/>
      <c r="I15" s="127"/>
      <c r="J15" s="127">
        <v>10</v>
      </c>
      <c r="K15" s="127"/>
      <c r="L15" s="127">
        <v>5</v>
      </c>
      <c r="M15" s="127"/>
      <c r="N15" s="127"/>
      <c r="O15" s="127"/>
      <c r="P15" s="525">
        <f t="shared" si="0"/>
        <v>20</v>
      </c>
    </row>
    <row r="16" spans="1:16" ht="15.75" thickBot="1" x14ac:dyDescent="0.3">
      <c r="A16" s="128">
        <v>1000016</v>
      </c>
      <c r="B16" s="13" t="s">
        <v>15</v>
      </c>
      <c r="C16" s="125"/>
      <c r="D16" s="129">
        <v>5</v>
      </c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4">
        <f t="shared" si="0"/>
        <v>0</v>
      </c>
    </row>
    <row r="17" spans="1:16" ht="15.75" thickBot="1" x14ac:dyDescent="0.3">
      <c r="A17" s="128">
        <v>1000041</v>
      </c>
      <c r="B17" s="12" t="s">
        <v>16</v>
      </c>
      <c r="C17" s="125"/>
      <c r="D17" s="129">
        <v>5</v>
      </c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4">
        <f t="shared" si="0"/>
        <v>0</v>
      </c>
    </row>
    <row r="18" spans="1:16" ht="15.75" thickBot="1" x14ac:dyDescent="0.3">
      <c r="A18" s="128">
        <v>1000049</v>
      </c>
      <c r="B18" s="12" t="s">
        <v>21</v>
      </c>
      <c r="C18" s="125"/>
      <c r="D18" s="129">
        <v>0</v>
      </c>
      <c r="F18" s="127">
        <v>1</v>
      </c>
      <c r="G18" s="127"/>
      <c r="H18" s="127"/>
      <c r="I18" s="127"/>
      <c r="J18" s="127">
        <v>1</v>
      </c>
      <c r="K18" s="127"/>
      <c r="L18" s="127"/>
      <c r="M18" s="127"/>
      <c r="N18" s="127"/>
      <c r="O18" s="127"/>
      <c r="P18" s="525">
        <f t="shared" si="0"/>
        <v>2</v>
      </c>
    </row>
    <row r="19" spans="1:16" ht="15.75" thickBot="1" x14ac:dyDescent="0.3">
      <c r="A19" s="128">
        <v>1000050</v>
      </c>
      <c r="B19" s="12" t="s">
        <v>22</v>
      </c>
      <c r="C19" s="125"/>
      <c r="D19" s="129">
        <v>0</v>
      </c>
      <c r="F19" s="127">
        <v>1</v>
      </c>
      <c r="G19" s="127"/>
      <c r="H19" s="127"/>
      <c r="I19" s="127"/>
      <c r="J19" s="127">
        <v>1</v>
      </c>
      <c r="K19" s="127"/>
      <c r="L19" s="127"/>
      <c r="M19" s="127"/>
      <c r="N19" s="127"/>
      <c r="O19" s="127"/>
      <c r="P19" s="525">
        <f t="shared" si="0"/>
        <v>2</v>
      </c>
    </row>
    <row r="20" spans="1:16" ht="15.75" thickBot="1" x14ac:dyDescent="0.3">
      <c r="A20" s="128">
        <v>1000031</v>
      </c>
      <c r="B20" s="12" t="s">
        <v>25</v>
      </c>
      <c r="C20" s="125"/>
      <c r="D20" s="129">
        <v>1</v>
      </c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4">
        <f t="shared" si="0"/>
        <v>0</v>
      </c>
    </row>
    <row r="21" spans="1:16" ht="15.75" thickBot="1" x14ac:dyDescent="0.3">
      <c r="A21" s="128">
        <v>1000025</v>
      </c>
      <c r="B21" s="12" t="s">
        <v>32</v>
      </c>
      <c r="C21" s="125"/>
      <c r="D21" s="129">
        <v>1</v>
      </c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4">
        <f t="shared" si="0"/>
        <v>0</v>
      </c>
    </row>
    <row r="22" spans="1:16" ht="15.75" thickBot="1" x14ac:dyDescent="0.3">
      <c r="A22" s="128">
        <v>1000084</v>
      </c>
      <c r="B22" s="12" t="s">
        <v>38</v>
      </c>
      <c r="C22" s="125"/>
      <c r="D22" s="129">
        <v>3</v>
      </c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4">
        <f t="shared" si="0"/>
        <v>0</v>
      </c>
    </row>
    <row r="23" spans="1:16" ht="15.75" thickBot="1" x14ac:dyDescent="0.3">
      <c r="A23" s="128">
        <v>1000486</v>
      </c>
      <c r="B23" s="12" t="s">
        <v>263</v>
      </c>
      <c r="C23" s="125"/>
      <c r="D23" s="129">
        <v>20</v>
      </c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4">
        <f t="shared" si="0"/>
        <v>0</v>
      </c>
    </row>
    <row r="24" spans="1:16" ht="15.75" thickBot="1" x14ac:dyDescent="0.3">
      <c r="A24" s="128">
        <v>1000090</v>
      </c>
      <c r="B24" s="12" t="s">
        <v>40</v>
      </c>
      <c r="C24" s="125"/>
      <c r="D24" s="129">
        <v>0</v>
      </c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4">
        <f t="shared" si="0"/>
        <v>0</v>
      </c>
    </row>
    <row r="25" spans="1:16" ht="15.75" thickBot="1" x14ac:dyDescent="0.3">
      <c r="A25" s="128">
        <v>1000052</v>
      </c>
      <c r="B25" s="12" t="s">
        <v>41</v>
      </c>
      <c r="C25" s="125"/>
      <c r="D25" s="129">
        <v>1</v>
      </c>
      <c r="F25" s="127">
        <v>1</v>
      </c>
      <c r="G25" s="127"/>
      <c r="H25" s="127"/>
      <c r="I25" s="127"/>
      <c r="J25" s="127">
        <v>1</v>
      </c>
      <c r="K25" s="127"/>
      <c r="L25" s="127">
        <v>1</v>
      </c>
      <c r="M25" s="127"/>
      <c r="N25" s="127"/>
      <c r="O25" s="127"/>
      <c r="P25" s="525">
        <f t="shared" si="0"/>
        <v>3</v>
      </c>
    </row>
    <row r="26" spans="1:16" ht="15.75" thickBot="1" x14ac:dyDescent="0.3">
      <c r="A26" s="128">
        <v>1000089</v>
      </c>
      <c r="B26" s="12" t="s">
        <v>42</v>
      </c>
      <c r="C26" s="125"/>
      <c r="D26" s="129">
        <v>1</v>
      </c>
      <c r="F26" s="127">
        <v>1</v>
      </c>
      <c r="G26" s="127"/>
      <c r="H26" s="127"/>
      <c r="I26" s="127"/>
      <c r="J26" s="127">
        <v>1</v>
      </c>
      <c r="K26" s="127"/>
      <c r="L26" s="127">
        <v>1</v>
      </c>
      <c r="M26" s="127"/>
      <c r="N26" s="127"/>
      <c r="O26" s="127"/>
      <c r="P26" s="525">
        <f t="shared" si="0"/>
        <v>3</v>
      </c>
    </row>
    <row r="27" spans="1:16" ht="15.75" thickBot="1" x14ac:dyDescent="0.3">
      <c r="A27" s="128">
        <v>1000051</v>
      </c>
      <c r="B27" s="12" t="s">
        <v>43</v>
      </c>
      <c r="C27" s="125"/>
      <c r="D27" s="129">
        <v>1</v>
      </c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4">
        <f t="shared" si="0"/>
        <v>0</v>
      </c>
    </row>
    <row r="28" spans="1:16" ht="15.75" thickBot="1" x14ac:dyDescent="0.3">
      <c r="A28" s="128">
        <v>1000048</v>
      </c>
      <c r="B28" s="12" t="s">
        <v>45</v>
      </c>
      <c r="C28" s="125"/>
      <c r="D28" s="129">
        <v>0</v>
      </c>
      <c r="F28" s="127">
        <v>1</v>
      </c>
      <c r="G28" s="127"/>
      <c r="H28" s="127"/>
      <c r="I28" s="127"/>
      <c r="J28" s="127"/>
      <c r="K28" s="127"/>
      <c r="L28" s="127"/>
      <c r="M28" s="127"/>
      <c r="N28" s="127"/>
      <c r="O28" s="127"/>
      <c r="P28" s="525">
        <f t="shared" si="0"/>
        <v>1</v>
      </c>
    </row>
    <row r="29" spans="1:16" ht="15.75" thickBot="1" x14ac:dyDescent="0.3">
      <c r="A29" s="128">
        <v>1000057</v>
      </c>
      <c r="B29" s="12" t="s">
        <v>70</v>
      </c>
      <c r="C29" s="125"/>
      <c r="D29" s="129">
        <v>1</v>
      </c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4">
        <f t="shared" si="0"/>
        <v>0</v>
      </c>
    </row>
    <row r="30" spans="1:16" ht="15.75" thickBot="1" x14ac:dyDescent="0.3">
      <c r="A30" s="128">
        <v>10000015</v>
      </c>
      <c r="B30" s="12" t="s">
        <v>1</v>
      </c>
      <c r="C30" s="125"/>
      <c r="D30" s="129">
        <v>5</v>
      </c>
      <c r="F30" s="127">
        <v>5</v>
      </c>
      <c r="G30" s="127"/>
      <c r="H30" s="127"/>
      <c r="I30" s="127"/>
      <c r="J30" s="127"/>
      <c r="K30" s="127"/>
      <c r="L30" s="127"/>
      <c r="M30" s="127"/>
      <c r="N30" s="127"/>
      <c r="O30" s="127"/>
      <c r="P30" s="525">
        <f t="shared" si="0"/>
        <v>5</v>
      </c>
    </row>
    <row r="31" spans="1:16" ht="15.75" thickBot="1" x14ac:dyDescent="0.3">
      <c r="A31" s="128">
        <v>10000102</v>
      </c>
      <c r="B31" s="12" t="s">
        <v>2</v>
      </c>
      <c r="C31" s="125"/>
      <c r="D31" s="129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4">
        <f t="shared" si="0"/>
        <v>0</v>
      </c>
    </row>
    <row r="32" spans="1:16" s="15" customFormat="1" ht="15.95" customHeight="1" thickBot="1" x14ac:dyDescent="0.3">
      <c r="A32" s="128">
        <v>1000142</v>
      </c>
      <c r="B32" s="12" t="s">
        <v>54</v>
      </c>
      <c r="C32" s="125"/>
      <c r="D32" s="129"/>
      <c r="E32" s="123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4">
        <f t="shared" si="0"/>
        <v>0</v>
      </c>
    </row>
    <row r="33" spans="1:16" ht="15.75" thickBot="1" x14ac:dyDescent="0.3">
      <c r="A33" s="128">
        <v>1000030</v>
      </c>
      <c r="B33" s="12" t="s">
        <v>24</v>
      </c>
      <c r="C33" s="125"/>
      <c r="D33" s="129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4">
        <f t="shared" si="0"/>
        <v>0</v>
      </c>
    </row>
    <row r="34" spans="1:16" ht="15.75" thickBot="1" x14ac:dyDescent="0.3">
      <c r="A34" s="128">
        <v>1000100</v>
      </c>
      <c r="B34" s="12" t="s">
        <v>34</v>
      </c>
      <c r="C34" s="125"/>
      <c r="D34" s="129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4">
        <f t="shared" si="0"/>
        <v>0</v>
      </c>
    </row>
    <row r="35" spans="1:16" ht="15.75" thickBot="1" x14ac:dyDescent="0.3">
      <c r="A35" s="128">
        <v>1000425</v>
      </c>
      <c r="B35" s="12" t="s">
        <v>192</v>
      </c>
      <c r="C35" s="125"/>
      <c r="D35" s="129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4">
        <f t="shared" si="0"/>
        <v>0</v>
      </c>
    </row>
    <row r="36" spans="1:16" ht="15.75" thickBot="1" x14ac:dyDescent="0.3">
      <c r="A36" s="128">
        <v>1000033</v>
      </c>
      <c r="B36" s="12" t="s">
        <v>27</v>
      </c>
      <c r="C36" s="125"/>
      <c r="D36" s="129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4">
        <f t="shared" si="0"/>
        <v>0</v>
      </c>
    </row>
    <row r="37" spans="1:16" ht="15.75" thickBot="1" x14ac:dyDescent="0.3">
      <c r="A37" s="128">
        <v>1000029</v>
      </c>
      <c r="B37" s="12" t="s">
        <v>30</v>
      </c>
      <c r="C37" s="125"/>
      <c r="D37" s="129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4">
        <f t="shared" si="0"/>
        <v>0</v>
      </c>
    </row>
    <row r="38" spans="1:16" ht="15.75" thickBot="1" x14ac:dyDescent="0.3">
      <c r="A38" s="128">
        <v>1000100</v>
      </c>
      <c r="B38" s="12" t="s">
        <v>34</v>
      </c>
      <c r="C38" s="125"/>
      <c r="D38" s="129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4">
        <f t="shared" si="0"/>
        <v>0</v>
      </c>
    </row>
    <row r="39" spans="1:16" ht="15.75" thickBot="1" x14ac:dyDescent="0.3">
      <c r="A39" s="128">
        <v>1000214</v>
      </c>
      <c r="B39" s="12" t="s">
        <v>49</v>
      </c>
      <c r="C39" s="125"/>
      <c r="D39" s="129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4">
        <f t="shared" si="0"/>
        <v>0</v>
      </c>
    </row>
    <row r="40" spans="1:16" ht="15.75" thickBot="1" x14ac:dyDescent="0.3">
      <c r="A40" s="128">
        <v>1000026</v>
      </c>
      <c r="B40" s="12" t="s">
        <v>31</v>
      </c>
      <c r="C40" s="125"/>
      <c r="D40" s="129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4">
        <f t="shared" si="0"/>
        <v>0</v>
      </c>
    </row>
    <row r="41" spans="1:16" ht="15.75" thickBot="1" x14ac:dyDescent="0.3">
      <c r="A41" s="128">
        <v>1000101</v>
      </c>
      <c r="B41" s="12" t="s">
        <v>35</v>
      </c>
      <c r="C41" s="125"/>
      <c r="D41" s="129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4">
        <f t="shared" si="0"/>
        <v>0</v>
      </c>
    </row>
    <row r="42" spans="1:16" ht="15.75" thickBot="1" x14ac:dyDescent="0.3">
      <c r="A42" s="128">
        <v>1000084</v>
      </c>
      <c r="B42" s="12" t="s">
        <v>38</v>
      </c>
      <c r="C42" s="125"/>
      <c r="D42" s="129"/>
      <c r="F42" s="127">
        <v>4</v>
      </c>
      <c r="G42" s="127"/>
      <c r="H42" s="127">
        <v>4</v>
      </c>
      <c r="I42" s="127"/>
      <c r="J42" s="127">
        <v>4</v>
      </c>
      <c r="K42" s="127"/>
      <c r="L42" s="127">
        <v>4</v>
      </c>
      <c r="M42" s="127"/>
      <c r="N42" s="127"/>
      <c r="O42" s="127"/>
      <c r="P42" s="525">
        <f t="shared" si="0"/>
        <v>16</v>
      </c>
    </row>
    <row r="43" spans="1:16" ht="15.75" thickBot="1" x14ac:dyDescent="0.3">
      <c r="A43" s="128">
        <v>1000087</v>
      </c>
      <c r="B43" s="12" t="s">
        <v>197</v>
      </c>
      <c r="C43" s="125"/>
      <c r="D43" s="129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4">
        <f t="shared" si="0"/>
        <v>0</v>
      </c>
    </row>
    <row r="44" spans="1:16" ht="15.75" thickBot="1" x14ac:dyDescent="0.3">
      <c r="A44" s="128">
        <v>1000076</v>
      </c>
      <c r="B44" s="12" t="s">
        <v>46</v>
      </c>
      <c r="C44" s="125"/>
      <c r="D44" s="129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4">
        <f t="shared" si="0"/>
        <v>0</v>
      </c>
    </row>
    <row r="45" spans="1:16" ht="15.75" thickBot="1" x14ac:dyDescent="0.3">
      <c r="A45" s="128">
        <v>1000034</v>
      </c>
      <c r="B45" s="12" t="s">
        <v>28</v>
      </c>
      <c r="C45" s="125"/>
      <c r="D45" s="129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4">
        <f t="shared" si="0"/>
        <v>0</v>
      </c>
    </row>
    <row r="46" spans="1:16" ht="15.75" thickBot="1" x14ac:dyDescent="0.3">
      <c r="A46" s="128">
        <v>1000472</v>
      </c>
      <c r="B46" s="12" t="s">
        <v>222</v>
      </c>
      <c r="C46" s="125"/>
      <c r="D46" s="129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4">
        <f t="shared" si="0"/>
        <v>0</v>
      </c>
    </row>
    <row r="47" spans="1:16" ht="15.75" thickBot="1" x14ac:dyDescent="0.3">
      <c r="A47" s="128">
        <v>10248</v>
      </c>
      <c r="B47" s="12" t="s">
        <v>183</v>
      </c>
      <c r="C47" s="125"/>
      <c r="D47" s="129"/>
      <c r="F47" s="127"/>
      <c r="G47" s="127"/>
      <c r="H47" s="127">
        <v>3</v>
      </c>
      <c r="I47" s="127"/>
      <c r="J47" s="127">
        <v>3</v>
      </c>
      <c r="K47" s="127"/>
      <c r="L47" s="127">
        <v>6</v>
      </c>
      <c r="M47" s="127"/>
      <c r="N47" s="127"/>
      <c r="O47" s="127"/>
      <c r="P47" s="525">
        <f t="shared" si="0"/>
        <v>12</v>
      </c>
    </row>
    <row r="48" spans="1:16" ht="15.75" thickBot="1" x14ac:dyDescent="0.3">
      <c r="A48" s="128">
        <v>1000147</v>
      </c>
      <c r="B48" s="12" t="s">
        <v>52</v>
      </c>
      <c r="C48" s="125"/>
      <c r="D48" s="129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4">
        <f t="shared" si="0"/>
        <v>0</v>
      </c>
    </row>
    <row r="49" spans="1:16" ht="15.75" thickBot="1" x14ac:dyDescent="0.3">
      <c r="A49" s="128">
        <v>1000383</v>
      </c>
      <c r="B49" s="12" t="s">
        <v>264</v>
      </c>
      <c r="C49" s="125"/>
      <c r="D49" s="129"/>
      <c r="F49" s="127">
        <v>96</v>
      </c>
      <c r="G49" s="127"/>
      <c r="H49" s="127">
        <v>48</v>
      </c>
      <c r="I49" s="127"/>
      <c r="J49" s="127">
        <v>48</v>
      </c>
      <c r="K49" s="127"/>
      <c r="L49" s="127">
        <v>96</v>
      </c>
      <c r="M49" s="127"/>
      <c r="N49" s="127"/>
      <c r="O49" s="127"/>
      <c r="P49" s="525">
        <f t="shared" si="0"/>
        <v>288</v>
      </c>
    </row>
    <row r="50" spans="1:16" ht="15.75" thickBot="1" x14ac:dyDescent="0.3">
      <c r="A50" s="128">
        <v>1000486</v>
      </c>
      <c r="B50" s="12" t="s">
        <v>263</v>
      </c>
      <c r="C50" s="125"/>
      <c r="D50" s="129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4">
        <f t="shared" si="0"/>
        <v>0</v>
      </c>
    </row>
    <row r="51" spans="1:16" ht="15.75" thickBot="1" x14ac:dyDescent="0.3">
      <c r="A51" s="128">
        <v>1000032</v>
      </c>
      <c r="B51" s="12" t="s">
        <v>26</v>
      </c>
      <c r="C51" s="125"/>
      <c r="D51" s="129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4">
        <f t="shared" si="0"/>
        <v>0</v>
      </c>
    </row>
    <row r="52" spans="1:16" ht="15.75" thickBot="1" x14ac:dyDescent="0.3">
      <c r="A52" s="128">
        <v>1000080</v>
      </c>
      <c r="B52" s="12" t="s">
        <v>275</v>
      </c>
      <c r="C52" s="125"/>
      <c r="D52" s="129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4">
        <f t="shared" si="0"/>
        <v>0</v>
      </c>
    </row>
    <row r="53" spans="1:16" ht="15.75" thickBot="1" x14ac:dyDescent="0.3">
      <c r="A53" s="128">
        <v>1000436</v>
      </c>
      <c r="B53" s="12" t="s">
        <v>276</v>
      </c>
      <c r="C53" s="125"/>
      <c r="D53" s="129"/>
      <c r="F53" s="127">
        <v>10</v>
      </c>
      <c r="G53" s="127"/>
      <c r="H53" s="127">
        <v>10</v>
      </c>
      <c r="I53" s="127"/>
      <c r="J53" s="127">
        <v>10</v>
      </c>
      <c r="K53" s="127"/>
      <c r="L53" s="127"/>
      <c r="M53" s="127"/>
      <c r="N53" s="127"/>
      <c r="O53" s="127"/>
      <c r="P53" s="525">
        <f t="shared" si="0"/>
        <v>30</v>
      </c>
    </row>
    <row r="54" spans="1:16" ht="15.75" thickBot="1" x14ac:dyDescent="0.3">
      <c r="A54" s="128">
        <v>1000550</v>
      </c>
      <c r="B54" s="12" t="s">
        <v>277</v>
      </c>
      <c r="C54" s="125"/>
      <c r="D54" s="129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4">
        <f t="shared" si="0"/>
        <v>0</v>
      </c>
    </row>
    <row r="55" spans="1:16" ht="16.5" thickBot="1" x14ac:dyDescent="0.3">
      <c r="A55" s="36">
        <v>1000551</v>
      </c>
      <c r="B55" s="12" t="s">
        <v>278</v>
      </c>
      <c r="C55"/>
      <c r="D55" s="35"/>
      <c r="E55" s="215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4">
        <f t="shared" si="0"/>
        <v>0</v>
      </c>
    </row>
    <row r="56" spans="1:16" ht="16.5" thickBot="1" x14ac:dyDescent="0.3">
      <c r="A56" s="207">
        <v>1000552</v>
      </c>
      <c r="B56" s="246" t="s">
        <v>279</v>
      </c>
      <c r="C56"/>
      <c r="D56" s="38"/>
      <c r="E56" s="215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4">
        <f t="shared" si="0"/>
        <v>0</v>
      </c>
    </row>
    <row r="57" spans="1:16" ht="15.75" thickBot="1" x14ac:dyDescent="0.3">
      <c r="A57" s="506">
        <v>1000035</v>
      </c>
      <c r="B57" s="12" t="s">
        <v>29</v>
      </c>
      <c r="D57" s="38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4">
        <f t="shared" si="0"/>
        <v>0</v>
      </c>
    </row>
    <row r="58" spans="1:16" ht="15.75" thickBot="1" x14ac:dyDescent="0.3">
      <c r="A58" s="35">
        <v>1000075</v>
      </c>
      <c r="B58" s="12" t="s">
        <v>47</v>
      </c>
      <c r="D58" s="38"/>
      <c r="F58" s="127">
        <v>1</v>
      </c>
      <c r="G58" s="127"/>
      <c r="H58" s="127"/>
      <c r="I58" s="127"/>
      <c r="J58" s="127"/>
      <c r="K58" s="127"/>
      <c r="L58" s="127"/>
      <c r="M58" s="127"/>
      <c r="N58" s="127"/>
      <c r="O58" s="127"/>
      <c r="P58" s="525">
        <f t="shared" si="0"/>
        <v>1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8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2DAE-321A-47A6-A1D7-411A10EBF780}">
  <sheetPr>
    <tabColor theme="7" tint="-0.249977111117893"/>
    <pageSetUpPr fitToPage="1"/>
  </sheetPr>
  <dimension ref="A1:P59"/>
  <sheetViews>
    <sheetView topLeftCell="A34" workbookViewId="0">
      <selection activeCell="P46" sqref="P46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.125" style="27" customWidth="1"/>
    <col min="4" max="4" width="8.375" style="27" bestFit="1" customWidth="1"/>
    <col min="5" max="5" width="1.625" style="27" customWidth="1"/>
    <col min="6" max="6" width="9.125" style="27" bestFit="1" customWidth="1"/>
    <col min="7" max="7" width="5.25" style="27" customWidth="1"/>
    <col min="8" max="8" width="9.125" style="27" bestFit="1" customWidth="1"/>
    <col min="9" max="9" width="5.125" style="27" customWidth="1"/>
    <col min="10" max="10" width="9.125" style="27" bestFit="1" customWidth="1"/>
    <col min="11" max="11" width="5.125" style="27" customWidth="1"/>
    <col min="12" max="12" width="9.125" style="27" bestFit="1" customWidth="1"/>
    <col min="13" max="13" width="6" style="27" customWidth="1"/>
    <col min="14" max="14" width="9.125" style="27" bestFit="1" customWidth="1"/>
    <col min="15" max="15" width="6" style="27" customWidth="1"/>
    <col min="16" max="16" width="9.5" style="27" customWidth="1"/>
    <col min="17" max="16384" width="10.875" style="27"/>
  </cols>
  <sheetData>
    <row r="1" spans="1:16" ht="15" customHeight="1" x14ac:dyDescent="0.45">
      <c r="A1" s="686" t="s">
        <v>206</v>
      </c>
      <c r="B1" s="687"/>
      <c r="C1" s="18"/>
      <c r="D1" s="18"/>
      <c r="F1" s="751" t="s">
        <v>479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18.75" customHeight="1" thickBot="1" x14ac:dyDescent="0.3">
      <c r="A3" s="5"/>
      <c r="B3" s="5" t="s">
        <v>388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353</v>
      </c>
      <c r="G4" s="20" t="s">
        <v>325</v>
      </c>
      <c r="H4" s="19" t="s">
        <v>344</v>
      </c>
      <c r="I4" s="20" t="s">
        <v>325</v>
      </c>
      <c r="J4" s="19" t="s">
        <v>345</v>
      </c>
      <c r="K4" s="20" t="s">
        <v>325</v>
      </c>
      <c r="L4" s="19" t="s">
        <v>346</v>
      </c>
      <c r="M4" s="20" t="s">
        <v>325</v>
      </c>
      <c r="N4" s="19" t="s">
        <v>347</v>
      </c>
      <c r="O4" s="20" t="s">
        <v>325</v>
      </c>
      <c r="P4" s="21" t="s">
        <v>98</v>
      </c>
    </row>
    <row r="5" spans="1:16" ht="15.75" thickBot="1" x14ac:dyDescent="0.3">
      <c r="A5" s="269">
        <v>10000015</v>
      </c>
      <c r="B5" s="266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9" si="0">SUM(F5:O5)</f>
        <v>0</v>
      </c>
    </row>
    <row r="6" spans="1:16" ht="15.75" thickBot="1" x14ac:dyDescent="0.3">
      <c r="A6" s="269">
        <v>10000102</v>
      </c>
      <c r="B6" s="267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269">
        <v>1000006</v>
      </c>
      <c r="B7" s="267" t="s">
        <v>4</v>
      </c>
      <c r="C7" s="41"/>
      <c r="D7" s="47">
        <v>100</v>
      </c>
      <c r="F7" s="28"/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/>
      <c r="O7" s="28"/>
      <c r="P7" s="418">
        <f t="shared" si="0"/>
        <v>150</v>
      </c>
    </row>
    <row r="8" spans="1:16" ht="15.75" thickBot="1" x14ac:dyDescent="0.3">
      <c r="A8" s="269">
        <v>1000007</v>
      </c>
      <c r="B8" s="267" t="s">
        <v>5</v>
      </c>
      <c r="C8" s="41"/>
      <c r="D8" s="47">
        <v>75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18">
        <f t="shared" si="0"/>
        <v>0</v>
      </c>
    </row>
    <row r="9" spans="1:16" ht="15.75" thickBot="1" x14ac:dyDescent="0.3">
      <c r="A9" s="269">
        <v>1000008</v>
      </c>
      <c r="B9" s="267" t="s">
        <v>7</v>
      </c>
      <c r="C9" s="41"/>
      <c r="D9" s="47">
        <v>35</v>
      </c>
      <c r="F9" s="28">
        <v>50</v>
      </c>
      <c r="G9" s="28"/>
      <c r="H9" s="28"/>
      <c r="I9" s="28"/>
      <c r="J9" s="28">
        <v>50</v>
      </c>
      <c r="K9" s="28"/>
      <c r="L9" s="28"/>
      <c r="M9" s="28"/>
      <c r="N9" s="28"/>
      <c r="O9" s="28"/>
      <c r="P9" s="418">
        <f t="shared" si="0"/>
        <v>100</v>
      </c>
    </row>
    <row r="10" spans="1:16" ht="15.75" thickBot="1" x14ac:dyDescent="0.3">
      <c r="A10" s="269">
        <v>1000001</v>
      </c>
      <c r="B10" s="267" t="s">
        <v>8</v>
      </c>
      <c r="C10" s="41"/>
      <c r="D10" s="47">
        <v>4</v>
      </c>
      <c r="F10" s="28"/>
      <c r="G10" s="28"/>
      <c r="H10" s="28"/>
      <c r="I10" s="28"/>
      <c r="J10" s="28">
        <v>1</v>
      </c>
      <c r="K10" s="28"/>
      <c r="L10" s="28"/>
      <c r="M10" s="28"/>
      <c r="N10" s="28"/>
      <c r="O10" s="28"/>
      <c r="P10" s="418">
        <f t="shared" si="0"/>
        <v>1</v>
      </c>
    </row>
    <row r="11" spans="1:16" ht="15.75" thickBot="1" x14ac:dyDescent="0.3">
      <c r="A11" s="269">
        <v>1000002</v>
      </c>
      <c r="B11" s="267" t="s">
        <v>9</v>
      </c>
      <c r="C11" s="41"/>
      <c r="D11" s="47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269">
        <v>1000004</v>
      </c>
      <c r="B12" s="267" t="s">
        <v>10</v>
      </c>
      <c r="C12" s="41"/>
      <c r="D12" s="47">
        <v>1</v>
      </c>
      <c r="F12" s="28"/>
      <c r="G12" s="28"/>
      <c r="H12" s="28"/>
      <c r="I12" s="28"/>
      <c r="J12" s="28"/>
      <c r="K12" s="28"/>
      <c r="L12" s="28">
        <v>3</v>
      </c>
      <c r="M12" s="28"/>
      <c r="N12" s="28"/>
      <c r="O12" s="28"/>
      <c r="P12" s="418">
        <f t="shared" si="0"/>
        <v>3</v>
      </c>
    </row>
    <row r="13" spans="1:16" ht="15.75" thickBot="1" x14ac:dyDescent="0.3">
      <c r="A13" s="269">
        <v>1000067</v>
      </c>
      <c r="B13" s="267" t="s">
        <v>11</v>
      </c>
      <c r="C13" s="41"/>
      <c r="D13" s="47">
        <v>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269">
        <v>1000054</v>
      </c>
      <c r="B14" s="267" t="s">
        <v>12</v>
      </c>
      <c r="C14" s="41"/>
      <c r="D14" s="47">
        <v>18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269">
        <v>1000017</v>
      </c>
      <c r="B15" s="267" t="s">
        <v>14</v>
      </c>
      <c r="C15" s="41"/>
      <c r="D15" s="47">
        <v>20</v>
      </c>
      <c r="F15" s="28">
        <v>10</v>
      </c>
      <c r="G15" s="28"/>
      <c r="H15" s="28"/>
      <c r="I15" s="28"/>
      <c r="J15" s="28">
        <v>10</v>
      </c>
      <c r="K15" s="28"/>
      <c r="L15" s="28">
        <v>10</v>
      </c>
      <c r="M15" s="28"/>
      <c r="N15" s="28"/>
      <c r="O15" s="28"/>
      <c r="P15" s="418">
        <f t="shared" si="0"/>
        <v>30</v>
      </c>
    </row>
    <row r="16" spans="1:16" ht="15.75" thickBot="1" x14ac:dyDescent="0.3">
      <c r="A16" s="269">
        <v>1000016</v>
      </c>
      <c r="B16" s="267" t="s">
        <v>15</v>
      </c>
      <c r="C16" s="41"/>
      <c r="D16" s="47">
        <v>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269">
        <v>1000041</v>
      </c>
      <c r="B17" s="267" t="s">
        <v>16</v>
      </c>
      <c r="C17" s="41"/>
      <c r="D17" s="47">
        <v>3</v>
      </c>
      <c r="F17" s="28"/>
      <c r="G17" s="28"/>
      <c r="H17" s="28"/>
      <c r="I17" s="28"/>
      <c r="J17" s="28">
        <v>5</v>
      </c>
      <c r="K17" s="28"/>
      <c r="L17" s="28"/>
      <c r="M17" s="28"/>
      <c r="N17" s="28"/>
      <c r="O17" s="28"/>
      <c r="P17" s="418">
        <f t="shared" si="0"/>
        <v>5</v>
      </c>
    </row>
    <row r="18" spans="1:16" ht="15.75" thickBot="1" x14ac:dyDescent="0.3">
      <c r="A18" s="269">
        <v>1000049</v>
      </c>
      <c r="B18" s="267" t="s">
        <v>21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269">
        <v>1000050</v>
      </c>
      <c r="B19" s="267" t="s">
        <v>22</v>
      </c>
      <c r="C19" s="41"/>
      <c r="D19" s="47">
        <v>1</v>
      </c>
      <c r="F19" s="28"/>
      <c r="G19" s="28"/>
      <c r="H19" s="28">
        <v>2</v>
      </c>
      <c r="I19" s="28"/>
      <c r="J19" s="28">
        <v>1</v>
      </c>
      <c r="K19" s="28"/>
      <c r="L19" s="28"/>
      <c r="M19" s="28"/>
      <c r="N19" s="28"/>
      <c r="O19" s="28"/>
      <c r="P19" s="418">
        <f t="shared" si="0"/>
        <v>3</v>
      </c>
    </row>
    <row r="20" spans="1:16" ht="15.75" thickBot="1" x14ac:dyDescent="0.3">
      <c r="A20" s="269">
        <v>1000045</v>
      </c>
      <c r="B20" s="267" t="s">
        <v>23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269">
        <v>1000031</v>
      </c>
      <c r="B21" s="267" t="s">
        <v>25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269">
        <v>1000034</v>
      </c>
      <c r="B22" s="267" t="s">
        <v>28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269">
        <v>1000025</v>
      </c>
      <c r="B23" s="267" t="s">
        <v>32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269">
        <v>1000027</v>
      </c>
      <c r="B24" s="267" t="s">
        <v>33</v>
      </c>
      <c r="C24" s="41"/>
      <c r="D24" s="47">
        <v>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269">
        <v>1000100</v>
      </c>
      <c r="B25" s="267" t="s">
        <v>34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269">
        <v>1000073</v>
      </c>
      <c r="B26" s="267" t="s">
        <v>36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269">
        <v>1000082</v>
      </c>
      <c r="B27" s="267" t="s">
        <v>37</v>
      </c>
      <c r="C27" s="41"/>
      <c r="D27" s="47">
        <v>38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269">
        <v>1000146</v>
      </c>
      <c r="B28" s="267" t="s">
        <v>39</v>
      </c>
      <c r="C28" s="41"/>
      <c r="D28" s="47">
        <v>10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269">
        <v>10248</v>
      </c>
      <c r="B29" s="267" t="s">
        <v>183</v>
      </c>
      <c r="C29" s="41"/>
      <c r="D29" s="47">
        <v>0</v>
      </c>
      <c r="F29" s="28"/>
      <c r="G29" s="28"/>
      <c r="H29" s="28"/>
      <c r="I29" s="28"/>
      <c r="J29" s="28"/>
      <c r="K29" s="28"/>
      <c r="L29" s="28">
        <v>6</v>
      </c>
      <c r="M29" s="28"/>
      <c r="N29" s="28"/>
      <c r="O29" s="28"/>
      <c r="P29" s="418">
        <f t="shared" si="0"/>
        <v>6</v>
      </c>
    </row>
    <row r="30" spans="1:16" ht="15.75" thickBot="1" x14ac:dyDescent="0.3">
      <c r="A30" s="269">
        <v>1000090</v>
      </c>
      <c r="B30" s="267" t="s">
        <v>40</v>
      </c>
      <c r="C30" s="41"/>
      <c r="D30" s="47">
        <v>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269">
        <v>1000052</v>
      </c>
      <c r="B31" s="267" t="s">
        <v>41</v>
      </c>
      <c r="C31" s="41"/>
      <c r="D31" s="47">
        <v>2</v>
      </c>
      <c r="F31" s="28">
        <v>4</v>
      </c>
      <c r="G31" s="28"/>
      <c r="H31" s="28"/>
      <c r="I31" s="28"/>
      <c r="J31" s="28"/>
      <c r="K31" s="28"/>
      <c r="L31" s="28"/>
      <c r="M31" s="28"/>
      <c r="N31" s="28"/>
      <c r="O31" s="28"/>
      <c r="P31" s="418">
        <f t="shared" si="0"/>
        <v>4</v>
      </c>
    </row>
    <row r="32" spans="1:16" ht="15.75" thickBot="1" x14ac:dyDescent="0.3">
      <c r="A32" s="269">
        <v>1000089</v>
      </c>
      <c r="B32" s="267" t="s">
        <v>42</v>
      </c>
      <c r="C32" s="41"/>
      <c r="D32" s="47">
        <v>2</v>
      </c>
      <c r="F32" s="28"/>
      <c r="G32" s="28"/>
      <c r="H32" s="28"/>
      <c r="I32" s="28"/>
      <c r="J32" s="28">
        <v>3</v>
      </c>
      <c r="K32" s="28"/>
      <c r="L32" s="28"/>
      <c r="M32" s="28"/>
      <c r="N32" s="28"/>
      <c r="O32" s="28"/>
      <c r="P32" s="418">
        <f t="shared" si="0"/>
        <v>3</v>
      </c>
    </row>
    <row r="33" spans="1:16" ht="15.75" thickBot="1" x14ac:dyDescent="0.3">
      <c r="A33" s="269">
        <v>1000051</v>
      </c>
      <c r="B33" s="267" t="s">
        <v>43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269">
        <v>1000048</v>
      </c>
      <c r="B34" s="267" t="s">
        <v>45</v>
      </c>
      <c r="C34" s="41"/>
      <c r="D34" s="47">
        <v>0</v>
      </c>
      <c r="F34" s="28"/>
      <c r="G34" s="28"/>
      <c r="H34" s="28"/>
      <c r="I34" s="28"/>
      <c r="J34" s="28">
        <v>1</v>
      </c>
      <c r="K34" s="28"/>
      <c r="L34" s="28"/>
      <c r="M34" s="28"/>
      <c r="N34" s="28"/>
      <c r="O34" s="28"/>
      <c r="P34" s="418">
        <f t="shared" si="0"/>
        <v>1</v>
      </c>
    </row>
    <row r="35" spans="1:16" ht="15.75" thickBot="1" x14ac:dyDescent="0.3">
      <c r="A35" s="269">
        <v>1000214</v>
      </c>
      <c r="B35" s="267" t="s">
        <v>49</v>
      </c>
      <c r="C35" s="41"/>
      <c r="D35" s="47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269">
        <v>1000092</v>
      </c>
      <c r="B36" s="267" t="s">
        <v>51</v>
      </c>
      <c r="C36" s="41"/>
      <c r="D36" s="47">
        <v>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269">
        <v>1000142</v>
      </c>
      <c r="B37" s="267" t="s">
        <v>54</v>
      </c>
      <c r="C37" s="41"/>
      <c r="D37" s="47"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269">
        <v>1000087</v>
      </c>
      <c r="B38" s="267" t="s">
        <v>69</v>
      </c>
      <c r="C38" s="41"/>
      <c r="D38" s="47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269">
        <v>1000036</v>
      </c>
      <c r="B39" s="267" t="s">
        <v>75</v>
      </c>
      <c r="C39" s="41"/>
      <c r="D39" s="47">
        <v>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269">
        <v>1000037</v>
      </c>
      <c r="B40" s="267" t="s">
        <v>76</v>
      </c>
      <c r="C40" s="41"/>
      <c r="D40" s="47">
        <v>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269">
        <v>1000117</v>
      </c>
      <c r="B41" s="267" t="s">
        <v>80</v>
      </c>
      <c r="C41" s="41"/>
      <c r="D41" s="47">
        <v>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269">
        <v>1000076</v>
      </c>
      <c r="B42" s="267" t="s">
        <v>46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269">
        <v>1000070</v>
      </c>
      <c r="B43" s="267" t="s">
        <v>13</v>
      </c>
      <c r="C43" s="41"/>
      <c r="D43" s="47"/>
      <c r="F43" s="28">
        <v>1</v>
      </c>
      <c r="G43" s="28"/>
      <c r="H43" s="28"/>
      <c r="I43" s="28"/>
      <c r="J43" s="28"/>
      <c r="K43" s="28"/>
      <c r="L43" s="28"/>
      <c r="M43" s="28"/>
      <c r="N43" s="28"/>
      <c r="O43" s="28"/>
      <c r="P43" s="418">
        <f t="shared" si="0"/>
        <v>1</v>
      </c>
    </row>
    <row r="44" spans="1:16" ht="15.75" thickBot="1" x14ac:dyDescent="0.3">
      <c r="A44" s="269">
        <v>1000030</v>
      </c>
      <c r="B44" s="267" t="s">
        <v>24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269">
        <v>1000101</v>
      </c>
      <c r="B45" s="267" t="s">
        <v>35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269">
        <v>1000214</v>
      </c>
      <c r="B46" s="267" t="s">
        <v>49</v>
      </c>
      <c r="C46" s="41"/>
      <c r="D46" s="47"/>
      <c r="F46" s="28"/>
      <c r="G46" s="28"/>
      <c r="H46" s="28"/>
      <c r="I46" s="28"/>
      <c r="J46" s="28">
        <v>1</v>
      </c>
      <c r="K46" s="28"/>
      <c r="L46" s="28"/>
      <c r="M46" s="28"/>
      <c r="N46" s="28"/>
      <c r="O46" s="28"/>
      <c r="P46" s="418">
        <f t="shared" si="0"/>
        <v>1</v>
      </c>
    </row>
    <row r="47" spans="1:16" ht="15.75" thickBot="1" x14ac:dyDescent="0.3">
      <c r="A47" s="269">
        <v>1000064</v>
      </c>
      <c r="B47" s="267" t="s">
        <v>64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269">
        <v>1000105</v>
      </c>
      <c r="B48" s="267" t="s">
        <v>58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269">
        <v>1000084</v>
      </c>
      <c r="B49" s="267" t="s">
        <v>38</v>
      </c>
      <c r="C49" s="41"/>
      <c r="D49" s="47"/>
      <c r="F49" s="28"/>
      <c r="G49" s="28"/>
      <c r="H49" s="28">
        <v>4</v>
      </c>
      <c r="I49" s="28"/>
      <c r="J49" s="28">
        <v>12</v>
      </c>
      <c r="K49" s="28"/>
      <c r="L49" s="28">
        <v>16</v>
      </c>
      <c r="M49" s="28"/>
      <c r="N49" s="28"/>
      <c r="O49" s="28"/>
      <c r="P49" s="418">
        <f t="shared" si="0"/>
        <v>32</v>
      </c>
    </row>
    <row r="50" spans="1:16" ht="15.75" thickBot="1" x14ac:dyDescent="0.3">
      <c r="A50" s="269">
        <v>1000472</v>
      </c>
      <c r="B50" s="267" t="s">
        <v>222</v>
      </c>
      <c r="C50" s="41"/>
      <c r="D50" s="47"/>
      <c r="F50" s="28"/>
      <c r="G50" s="28"/>
      <c r="H50" s="28"/>
      <c r="I50" s="28"/>
      <c r="J50" s="28"/>
      <c r="K50" s="28"/>
      <c r="L50" s="28">
        <v>1</v>
      </c>
      <c r="M50" s="28"/>
      <c r="N50" s="28"/>
      <c r="O50" s="28"/>
      <c r="P50" s="418">
        <f t="shared" si="0"/>
        <v>1</v>
      </c>
    </row>
    <row r="51" spans="1:16" ht="15.75" thickBot="1" x14ac:dyDescent="0.3">
      <c r="A51" s="269">
        <v>1000009</v>
      </c>
      <c r="B51" s="267" t="s">
        <v>19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269">
        <v>1000085</v>
      </c>
      <c r="B52" s="267" t="s">
        <v>50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269">
        <v>1000029</v>
      </c>
      <c r="B53" s="267" t="s">
        <v>30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269">
        <v>1000080</v>
      </c>
      <c r="B54" s="267" t="s">
        <v>275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269">
        <v>1000436</v>
      </c>
      <c r="B55" s="267" t="s">
        <v>276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269">
        <v>1000550</v>
      </c>
      <c r="B56" s="267" t="s">
        <v>277</v>
      </c>
      <c r="C56" s="41"/>
      <c r="D56" s="4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269">
        <v>1000551</v>
      </c>
      <c r="B57" s="267" t="s">
        <v>278</v>
      </c>
      <c r="C57" s="41"/>
      <c r="D57" s="4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269">
        <v>1000552</v>
      </c>
      <c r="B58" s="268" t="s">
        <v>279</v>
      </c>
      <c r="C58" s="41"/>
      <c r="D58" s="4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128">
        <v>1000057</v>
      </c>
      <c r="B59" s="12" t="s">
        <v>70</v>
      </c>
      <c r="D59" s="46"/>
      <c r="F59" s="28"/>
      <c r="G59" s="28"/>
      <c r="H59" s="28">
        <v>1</v>
      </c>
      <c r="I59" s="28"/>
      <c r="J59" s="28"/>
      <c r="K59" s="28"/>
      <c r="L59" s="28"/>
      <c r="M59" s="28"/>
      <c r="N59" s="28"/>
      <c r="O59" s="28"/>
      <c r="P59" s="418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4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CDCC-64E0-4885-B790-A1EC6A967549}">
  <sheetPr>
    <tabColor theme="7" tint="-0.249977111117893"/>
    <pageSetUpPr fitToPage="1"/>
  </sheetPr>
  <dimension ref="A1:S58"/>
  <sheetViews>
    <sheetView zoomScale="70" zoomScaleNormal="70" workbookViewId="0">
      <selection activeCell="Q56" sqref="Q56"/>
    </sheetView>
  </sheetViews>
  <sheetFormatPr baseColWidth="10" defaultColWidth="10.875" defaultRowHeight="15" x14ac:dyDescent="0.25"/>
  <cols>
    <col min="1" max="1" width="10.375" style="27" customWidth="1"/>
    <col min="2" max="2" width="43.875" style="27" bestFit="1" customWidth="1"/>
    <col min="3" max="3" width="1.5" style="27" customWidth="1"/>
    <col min="4" max="4" width="8.375" style="27" bestFit="1" customWidth="1"/>
    <col min="5" max="5" width="1" style="27" customWidth="1"/>
    <col min="6" max="6" width="9.125" style="27" bestFit="1" customWidth="1"/>
    <col min="7" max="7" width="5.75" style="27" customWidth="1"/>
    <col min="8" max="8" width="9.125" style="27" bestFit="1" customWidth="1"/>
    <col min="9" max="9" width="5.75" style="27" customWidth="1"/>
    <col min="10" max="10" width="9.125" style="27" bestFit="1" customWidth="1"/>
    <col min="11" max="11" width="6.37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6.25" style="27" customWidth="1"/>
    <col min="16" max="16384" width="10.875" style="27"/>
  </cols>
  <sheetData>
    <row r="1" spans="1:16" ht="15" customHeight="1" x14ac:dyDescent="0.45">
      <c r="A1" s="686" t="s">
        <v>141</v>
      </c>
      <c r="B1" s="687"/>
      <c r="C1" s="18"/>
      <c r="D1" s="18"/>
      <c r="F1" s="751" t="s">
        <v>479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4.75" customHeight="1" thickBot="1" x14ac:dyDescent="0.3">
      <c r="A3" s="5"/>
      <c r="B3" s="5" t="s">
        <v>389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x14ac:dyDescent="0.25">
      <c r="A5" s="30">
        <v>1000006</v>
      </c>
      <c r="B5" s="11" t="s">
        <v>4</v>
      </c>
      <c r="C5" s="41"/>
      <c r="D5" s="48">
        <v>10</v>
      </c>
      <c r="F5" s="567">
        <v>100</v>
      </c>
      <c r="G5" s="567"/>
      <c r="H5" s="567">
        <v>100</v>
      </c>
      <c r="I5" s="567"/>
      <c r="J5" s="567"/>
      <c r="K5" s="567"/>
      <c r="L5" s="567"/>
      <c r="M5" s="567"/>
      <c r="N5" s="567"/>
      <c r="O5" s="567"/>
      <c r="P5" s="606">
        <f>SUM(F5:O5)</f>
        <v>200</v>
      </c>
    </row>
    <row r="6" spans="1:16" x14ac:dyDescent="0.25">
      <c r="A6" s="35">
        <v>1000007</v>
      </c>
      <c r="B6" s="12" t="s">
        <v>5</v>
      </c>
      <c r="C6" s="41"/>
      <c r="D6" s="47">
        <v>100</v>
      </c>
      <c r="F6" s="567"/>
      <c r="G6" s="567"/>
      <c r="H6" s="567"/>
      <c r="I6" s="567"/>
      <c r="J6" s="567"/>
      <c r="K6" s="567"/>
      <c r="L6" s="567">
        <v>50</v>
      </c>
      <c r="M6" s="567"/>
      <c r="N6" s="567"/>
      <c r="O6" s="567"/>
      <c r="P6" s="606">
        <f t="shared" ref="P6:P8" si="0">SUM(F6:O6)</f>
        <v>50</v>
      </c>
    </row>
    <row r="7" spans="1:16" x14ac:dyDescent="0.25">
      <c r="A7" s="35">
        <v>1000008</v>
      </c>
      <c r="B7" s="12" t="s">
        <v>7</v>
      </c>
      <c r="C7" s="41"/>
      <c r="D7" s="47">
        <v>35</v>
      </c>
      <c r="F7" s="567">
        <v>50</v>
      </c>
      <c r="G7" s="567"/>
      <c r="H7" s="567"/>
      <c r="I7" s="567"/>
      <c r="J7" s="567"/>
      <c r="K7" s="567"/>
      <c r="L7" s="567"/>
      <c r="M7" s="567"/>
      <c r="N7" s="567"/>
      <c r="O7" s="567"/>
      <c r="P7" s="606">
        <f t="shared" si="0"/>
        <v>50</v>
      </c>
    </row>
    <row r="8" spans="1:16" x14ac:dyDescent="0.25">
      <c r="A8" s="35">
        <v>1000001</v>
      </c>
      <c r="B8" s="12" t="s">
        <v>8</v>
      </c>
      <c r="C8" s="41"/>
      <c r="D8" s="47">
        <v>3</v>
      </c>
      <c r="F8" s="567">
        <v>2</v>
      </c>
      <c r="G8" s="567"/>
      <c r="H8" s="567">
        <v>2</v>
      </c>
      <c r="I8" s="567"/>
      <c r="J8" s="567"/>
      <c r="K8" s="567"/>
      <c r="L8" s="567">
        <v>3</v>
      </c>
      <c r="M8" s="567"/>
      <c r="N8" s="567"/>
      <c r="O8" s="567"/>
      <c r="P8" s="606">
        <f t="shared" si="0"/>
        <v>7</v>
      </c>
    </row>
    <row r="9" spans="1:16" x14ac:dyDescent="0.25">
      <c r="A9" s="35">
        <v>1000002</v>
      </c>
      <c r="B9" s="12" t="s">
        <v>9</v>
      </c>
      <c r="C9" s="41"/>
      <c r="D9" s="47">
        <v>1</v>
      </c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67">
        <f t="shared" ref="P9:P58" si="1">SUM(F9:O9)</f>
        <v>0</v>
      </c>
    </row>
    <row r="10" spans="1:16" x14ac:dyDescent="0.25">
      <c r="A10" s="35">
        <v>1000004</v>
      </c>
      <c r="B10" s="12" t="s">
        <v>10</v>
      </c>
      <c r="C10" s="41"/>
      <c r="D10" s="47">
        <v>1</v>
      </c>
      <c r="F10" s="567">
        <v>2</v>
      </c>
      <c r="G10" s="567"/>
      <c r="H10" s="567">
        <v>2</v>
      </c>
      <c r="I10" s="567"/>
      <c r="J10" s="567"/>
      <c r="K10" s="567"/>
      <c r="L10" s="567">
        <v>2</v>
      </c>
      <c r="M10" s="567"/>
      <c r="N10" s="567"/>
      <c r="O10" s="567"/>
      <c r="P10" s="606">
        <f t="shared" si="1"/>
        <v>6</v>
      </c>
    </row>
    <row r="11" spans="1:16" x14ac:dyDescent="0.25">
      <c r="A11" s="35">
        <v>1000067</v>
      </c>
      <c r="B11" s="12" t="s">
        <v>11</v>
      </c>
      <c r="C11" s="41"/>
      <c r="D11" s="47">
        <v>0</v>
      </c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67">
        <f t="shared" si="1"/>
        <v>0</v>
      </c>
    </row>
    <row r="12" spans="1:16" x14ac:dyDescent="0.25">
      <c r="A12" s="35">
        <v>1000054</v>
      </c>
      <c r="B12" s="12" t="s">
        <v>12</v>
      </c>
      <c r="C12" s="41"/>
      <c r="D12" s="47">
        <v>20</v>
      </c>
      <c r="F12" s="567">
        <v>10</v>
      </c>
      <c r="G12" s="567"/>
      <c r="H12" s="567">
        <v>10</v>
      </c>
      <c r="I12" s="567"/>
      <c r="J12" s="567"/>
      <c r="K12" s="567"/>
      <c r="L12" s="567">
        <v>10</v>
      </c>
      <c r="M12" s="567"/>
      <c r="N12" s="567"/>
      <c r="O12" s="567"/>
      <c r="P12" s="606">
        <f t="shared" si="1"/>
        <v>30</v>
      </c>
    </row>
    <row r="13" spans="1:16" x14ac:dyDescent="0.25">
      <c r="A13" s="35">
        <v>1000070</v>
      </c>
      <c r="B13" s="12" t="s">
        <v>13</v>
      </c>
      <c r="C13" s="41"/>
      <c r="D13" s="47">
        <v>0</v>
      </c>
      <c r="F13" s="567"/>
      <c r="G13" s="567"/>
      <c r="H13" s="567"/>
      <c r="I13" s="567"/>
      <c r="J13" s="567"/>
      <c r="K13" s="567"/>
      <c r="L13" s="567"/>
      <c r="M13" s="567"/>
      <c r="N13" s="567"/>
      <c r="O13" s="567"/>
      <c r="P13" s="567">
        <f t="shared" si="1"/>
        <v>0</v>
      </c>
    </row>
    <row r="14" spans="1:16" x14ac:dyDescent="0.25">
      <c r="A14" s="35">
        <v>1000017</v>
      </c>
      <c r="B14" s="12" t="s">
        <v>14</v>
      </c>
      <c r="C14" s="41"/>
      <c r="D14" s="47">
        <v>25</v>
      </c>
      <c r="F14" s="567">
        <v>10</v>
      </c>
      <c r="G14" s="567"/>
      <c r="H14" s="567">
        <v>10</v>
      </c>
      <c r="I14" s="567"/>
      <c r="J14" s="567"/>
      <c r="K14" s="567"/>
      <c r="L14" s="567">
        <v>20</v>
      </c>
      <c r="M14" s="567"/>
      <c r="N14" s="567"/>
      <c r="O14" s="567"/>
      <c r="P14" s="606">
        <f t="shared" si="1"/>
        <v>40</v>
      </c>
    </row>
    <row r="15" spans="1:16" x14ac:dyDescent="0.25">
      <c r="A15" s="35">
        <v>1000016</v>
      </c>
      <c r="B15" s="12" t="s">
        <v>15</v>
      </c>
      <c r="C15" s="41"/>
      <c r="D15" s="47">
        <v>3</v>
      </c>
      <c r="F15" s="567">
        <v>5</v>
      </c>
      <c r="G15" s="567"/>
      <c r="H15" s="567"/>
      <c r="I15" s="567"/>
      <c r="J15" s="567"/>
      <c r="K15" s="567"/>
      <c r="L15" s="567"/>
      <c r="M15" s="567"/>
      <c r="N15" s="567"/>
      <c r="O15" s="567"/>
      <c r="P15" s="606">
        <f t="shared" si="1"/>
        <v>5</v>
      </c>
    </row>
    <row r="16" spans="1:16" x14ac:dyDescent="0.25">
      <c r="A16" s="35">
        <v>1000041</v>
      </c>
      <c r="B16" s="13" t="s">
        <v>16</v>
      </c>
      <c r="C16" s="41"/>
      <c r="D16" s="47">
        <v>1</v>
      </c>
      <c r="F16" s="567"/>
      <c r="G16" s="567"/>
      <c r="H16" s="567"/>
      <c r="I16" s="567"/>
      <c r="J16" s="567"/>
      <c r="K16" s="567"/>
      <c r="L16" s="567"/>
      <c r="M16" s="567"/>
      <c r="N16" s="567"/>
      <c r="O16" s="567"/>
      <c r="P16" s="567">
        <f t="shared" si="1"/>
        <v>0</v>
      </c>
    </row>
    <row r="17" spans="1:16" x14ac:dyDescent="0.25">
      <c r="A17" s="35">
        <v>1000049</v>
      </c>
      <c r="B17" s="12" t="s">
        <v>21</v>
      </c>
      <c r="C17" s="41"/>
      <c r="D17" s="47">
        <v>1</v>
      </c>
      <c r="F17" s="567"/>
      <c r="G17" s="567"/>
      <c r="H17" s="567"/>
      <c r="I17" s="567"/>
      <c r="J17" s="567"/>
      <c r="K17" s="567"/>
      <c r="L17" s="567"/>
      <c r="M17" s="567"/>
      <c r="N17" s="567"/>
      <c r="O17" s="567"/>
      <c r="P17" s="567">
        <f t="shared" si="1"/>
        <v>0</v>
      </c>
    </row>
    <row r="18" spans="1:16" x14ac:dyDescent="0.25">
      <c r="A18" s="35">
        <v>1000050</v>
      </c>
      <c r="B18" s="14" t="s">
        <v>22</v>
      </c>
      <c r="C18" s="41"/>
      <c r="D18" s="47">
        <v>1</v>
      </c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67">
        <f t="shared" si="1"/>
        <v>0</v>
      </c>
    </row>
    <row r="19" spans="1:16" x14ac:dyDescent="0.25">
      <c r="A19" s="35">
        <v>1000045</v>
      </c>
      <c r="B19" s="12" t="s">
        <v>23</v>
      </c>
      <c r="C19" s="41"/>
      <c r="D19" s="47">
        <v>0</v>
      </c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>
        <f t="shared" si="1"/>
        <v>0</v>
      </c>
    </row>
    <row r="20" spans="1:16" x14ac:dyDescent="0.25">
      <c r="A20" s="35">
        <v>1000031</v>
      </c>
      <c r="B20" s="12" t="s">
        <v>25</v>
      </c>
      <c r="C20" s="41"/>
      <c r="D20" s="47">
        <v>0</v>
      </c>
      <c r="F20" s="567"/>
      <c r="G20" s="567"/>
      <c r="H20" s="567"/>
      <c r="I20" s="567"/>
      <c r="J20" s="567"/>
      <c r="K20" s="567"/>
      <c r="L20" s="567"/>
      <c r="M20" s="567"/>
      <c r="N20" s="567"/>
      <c r="O20" s="567"/>
      <c r="P20" s="567">
        <f t="shared" si="1"/>
        <v>0</v>
      </c>
    </row>
    <row r="21" spans="1:16" x14ac:dyDescent="0.25">
      <c r="A21" s="35">
        <v>1000033</v>
      </c>
      <c r="B21" s="12" t="s">
        <v>27</v>
      </c>
      <c r="C21" s="41"/>
      <c r="D21" s="47">
        <v>0</v>
      </c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>
        <f t="shared" si="1"/>
        <v>0</v>
      </c>
    </row>
    <row r="22" spans="1:16" x14ac:dyDescent="0.25">
      <c r="A22" s="35">
        <v>1000034</v>
      </c>
      <c r="B22" s="12" t="s">
        <v>28</v>
      </c>
      <c r="C22" s="41"/>
      <c r="D22" s="47">
        <v>0</v>
      </c>
      <c r="F22" s="567"/>
      <c r="G22" s="567"/>
      <c r="H22" s="567"/>
      <c r="I22" s="567"/>
      <c r="J22" s="567"/>
      <c r="K22" s="567"/>
      <c r="L22" s="567"/>
      <c r="M22" s="567"/>
      <c r="N22" s="567"/>
      <c r="O22" s="567"/>
      <c r="P22" s="567">
        <f t="shared" si="1"/>
        <v>0</v>
      </c>
    </row>
    <row r="23" spans="1:16" x14ac:dyDescent="0.25">
      <c r="A23" s="35">
        <v>1000025</v>
      </c>
      <c r="B23" s="12" t="s">
        <v>32</v>
      </c>
      <c r="C23" s="41"/>
      <c r="D23" s="47">
        <v>0</v>
      </c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>
        <f t="shared" si="1"/>
        <v>0</v>
      </c>
    </row>
    <row r="24" spans="1:16" x14ac:dyDescent="0.25">
      <c r="A24" s="35">
        <v>1000101</v>
      </c>
      <c r="B24" s="12" t="s">
        <v>35</v>
      </c>
      <c r="C24" s="41"/>
      <c r="D24" s="47">
        <v>0</v>
      </c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>
        <f t="shared" si="1"/>
        <v>0</v>
      </c>
    </row>
    <row r="25" spans="1:16" x14ac:dyDescent="0.25">
      <c r="A25" s="44">
        <v>1000082</v>
      </c>
      <c r="B25" s="13" t="s">
        <v>37</v>
      </c>
      <c r="C25" s="41"/>
      <c r="D25" s="47">
        <v>30</v>
      </c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>
        <f t="shared" si="1"/>
        <v>0</v>
      </c>
    </row>
    <row r="26" spans="1:16" x14ac:dyDescent="0.25">
      <c r="A26" s="44">
        <v>1000146</v>
      </c>
      <c r="B26" s="12" t="s">
        <v>39</v>
      </c>
      <c r="C26" s="41"/>
      <c r="D26" s="47">
        <v>40</v>
      </c>
      <c r="F26" s="567">
        <v>20</v>
      </c>
      <c r="G26" s="567"/>
      <c r="H26" s="567"/>
      <c r="I26" s="567"/>
      <c r="J26" s="567"/>
      <c r="K26" s="567"/>
      <c r="L26" s="567">
        <v>30</v>
      </c>
      <c r="M26" s="567"/>
      <c r="N26" s="567"/>
      <c r="O26" s="567"/>
      <c r="P26" s="606">
        <f t="shared" si="1"/>
        <v>50</v>
      </c>
    </row>
    <row r="27" spans="1:16" x14ac:dyDescent="0.25">
      <c r="A27" s="44">
        <v>10248</v>
      </c>
      <c r="B27" s="12" t="s">
        <v>183</v>
      </c>
      <c r="C27" s="41"/>
      <c r="D27" s="47">
        <v>0</v>
      </c>
      <c r="F27" s="567"/>
      <c r="G27" s="567"/>
      <c r="H27" s="567"/>
      <c r="I27" s="567"/>
      <c r="J27" s="567"/>
      <c r="K27" s="567"/>
      <c r="L27" s="567">
        <v>6</v>
      </c>
      <c r="M27" s="567"/>
      <c r="N27" s="567"/>
      <c r="O27" s="567"/>
      <c r="P27" s="606">
        <f t="shared" si="1"/>
        <v>6</v>
      </c>
    </row>
    <row r="28" spans="1:16" x14ac:dyDescent="0.25">
      <c r="A28" s="121">
        <v>1000090</v>
      </c>
      <c r="B28" s="12" t="s">
        <v>40</v>
      </c>
      <c r="C28" s="41"/>
      <c r="D28" s="47">
        <v>4</v>
      </c>
      <c r="F28" s="567">
        <v>4</v>
      </c>
      <c r="G28" s="567"/>
      <c r="H28" s="567"/>
      <c r="I28" s="567"/>
      <c r="J28" s="567"/>
      <c r="K28" s="567"/>
      <c r="L28" s="567">
        <v>8</v>
      </c>
      <c r="M28" s="567"/>
      <c r="N28" s="567"/>
      <c r="O28" s="567"/>
      <c r="P28" s="606">
        <f t="shared" si="1"/>
        <v>12</v>
      </c>
    </row>
    <row r="29" spans="1:16" x14ac:dyDescent="0.25">
      <c r="A29" s="44">
        <v>1000052</v>
      </c>
      <c r="B29" s="12" t="s">
        <v>41</v>
      </c>
      <c r="C29" s="41"/>
      <c r="D29" s="47">
        <v>1</v>
      </c>
      <c r="F29" s="567">
        <v>2</v>
      </c>
      <c r="G29" s="567"/>
      <c r="H29" s="567">
        <v>2</v>
      </c>
      <c r="I29" s="567"/>
      <c r="J29" s="567"/>
      <c r="K29" s="567"/>
      <c r="L29" s="567">
        <v>3</v>
      </c>
      <c r="M29" s="567"/>
      <c r="N29" s="567"/>
      <c r="O29" s="567"/>
      <c r="P29" s="606">
        <f t="shared" si="1"/>
        <v>7</v>
      </c>
    </row>
    <row r="30" spans="1:16" x14ac:dyDescent="0.25">
      <c r="A30" s="44">
        <v>1000089</v>
      </c>
      <c r="B30" s="12" t="s">
        <v>42</v>
      </c>
      <c r="C30" s="41"/>
      <c r="D30" s="47">
        <v>1</v>
      </c>
      <c r="F30" s="567">
        <v>2</v>
      </c>
      <c r="G30" s="567"/>
      <c r="H30" s="567">
        <v>2</v>
      </c>
      <c r="I30" s="567"/>
      <c r="J30" s="567"/>
      <c r="K30" s="567"/>
      <c r="L30" s="567">
        <v>3</v>
      </c>
      <c r="M30" s="567"/>
      <c r="N30" s="567"/>
      <c r="O30" s="567"/>
      <c r="P30" s="606">
        <f t="shared" si="1"/>
        <v>7</v>
      </c>
    </row>
    <row r="31" spans="1:16" x14ac:dyDescent="0.25">
      <c r="A31" s="44">
        <v>1000051</v>
      </c>
      <c r="B31" s="13" t="s">
        <v>43</v>
      </c>
      <c r="C31" s="41"/>
      <c r="D31" s="47">
        <v>1</v>
      </c>
      <c r="F31" s="567"/>
      <c r="G31" s="567"/>
      <c r="H31" s="567">
        <v>2</v>
      </c>
      <c r="I31" s="567"/>
      <c r="J31" s="567"/>
      <c r="K31" s="567"/>
      <c r="L31" s="567"/>
      <c r="M31" s="567"/>
      <c r="N31" s="567"/>
      <c r="O31" s="567"/>
      <c r="P31" s="606">
        <f t="shared" si="1"/>
        <v>2</v>
      </c>
    </row>
    <row r="32" spans="1:16" x14ac:dyDescent="0.25">
      <c r="A32" s="35">
        <v>1000048</v>
      </c>
      <c r="B32" s="12" t="s">
        <v>45</v>
      </c>
      <c r="C32" s="41"/>
      <c r="D32" s="47">
        <v>0</v>
      </c>
      <c r="E32" s="15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>
        <f t="shared" si="1"/>
        <v>0</v>
      </c>
    </row>
    <row r="33" spans="1:19" x14ac:dyDescent="0.25">
      <c r="A33" s="44">
        <v>1000076</v>
      </c>
      <c r="B33" s="13" t="s">
        <v>46</v>
      </c>
      <c r="C33" s="41"/>
      <c r="D33" s="47">
        <v>0</v>
      </c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>
        <f t="shared" si="1"/>
        <v>0</v>
      </c>
    </row>
    <row r="34" spans="1:19" x14ac:dyDescent="0.25">
      <c r="A34" s="44">
        <v>1000214</v>
      </c>
      <c r="B34" s="13" t="s">
        <v>49</v>
      </c>
      <c r="C34" s="41"/>
      <c r="D34" s="47">
        <v>0</v>
      </c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>
        <f t="shared" si="1"/>
        <v>0</v>
      </c>
    </row>
    <row r="35" spans="1:19" x14ac:dyDescent="0.25">
      <c r="A35" s="35">
        <v>1000092</v>
      </c>
      <c r="B35" s="12" t="s">
        <v>51</v>
      </c>
      <c r="C35" s="41"/>
      <c r="D35" s="47">
        <v>0</v>
      </c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>
        <f t="shared" si="1"/>
        <v>0</v>
      </c>
    </row>
    <row r="36" spans="1:19" x14ac:dyDescent="0.25">
      <c r="A36" s="35">
        <v>1000105</v>
      </c>
      <c r="B36" s="12" t="s">
        <v>58</v>
      </c>
      <c r="C36" s="41"/>
      <c r="D36" s="47">
        <v>0</v>
      </c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>
        <f t="shared" si="1"/>
        <v>0</v>
      </c>
    </row>
    <row r="37" spans="1:19" x14ac:dyDescent="0.25">
      <c r="A37" s="35">
        <v>1000064</v>
      </c>
      <c r="B37" s="12" t="s">
        <v>64</v>
      </c>
      <c r="C37" s="41"/>
      <c r="D37" s="47">
        <v>0</v>
      </c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>
        <f t="shared" si="1"/>
        <v>0</v>
      </c>
    </row>
    <row r="38" spans="1:19" x14ac:dyDescent="0.25">
      <c r="A38" s="35">
        <v>1000142</v>
      </c>
      <c r="B38" s="12" t="s">
        <v>54</v>
      </c>
      <c r="C38" s="41"/>
      <c r="D38" s="4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>
        <f t="shared" si="1"/>
        <v>0</v>
      </c>
    </row>
    <row r="39" spans="1:19" x14ac:dyDescent="0.25">
      <c r="A39" s="35">
        <v>10000015</v>
      </c>
      <c r="B39" s="12" t="s">
        <v>1</v>
      </c>
      <c r="C39" s="41"/>
      <c r="D39" s="4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>
        <f t="shared" si="1"/>
        <v>0</v>
      </c>
    </row>
    <row r="40" spans="1:19" x14ac:dyDescent="0.25">
      <c r="A40" s="35">
        <v>10000102</v>
      </c>
      <c r="B40" s="12" t="s">
        <v>2</v>
      </c>
      <c r="C40" s="41"/>
      <c r="D40" s="4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>
        <f t="shared" si="1"/>
        <v>0</v>
      </c>
    </row>
    <row r="41" spans="1:19" x14ac:dyDescent="0.25">
      <c r="A41" s="35">
        <v>1000100</v>
      </c>
      <c r="B41" s="12" t="s">
        <v>34</v>
      </c>
      <c r="C41" s="41"/>
      <c r="D41" s="4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>
        <f t="shared" si="1"/>
        <v>0</v>
      </c>
    </row>
    <row r="42" spans="1:19" x14ac:dyDescent="0.25">
      <c r="A42" s="35">
        <v>1000075</v>
      </c>
      <c r="B42" s="12" t="s">
        <v>47</v>
      </c>
      <c r="C42" s="41"/>
      <c r="D42" s="4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>
        <f t="shared" si="1"/>
        <v>0</v>
      </c>
    </row>
    <row r="43" spans="1:19" x14ac:dyDescent="0.25">
      <c r="A43" s="35">
        <v>1000030</v>
      </c>
      <c r="B43" s="12" t="s">
        <v>24</v>
      </c>
      <c r="C43" s="41"/>
      <c r="D43" s="4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>
        <f t="shared" si="1"/>
        <v>0</v>
      </c>
    </row>
    <row r="44" spans="1:19" x14ac:dyDescent="0.25">
      <c r="A44" s="35">
        <v>1000449</v>
      </c>
      <c r="B44" s="12" t="s">
        <v>202</v>
      </c>
      <c r="C44" s="41"/>
      <c r="D44" s="4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>
        <f t="shared" si="1"/>
        <v>0</v>
      </c>
      <c r="S44" s="645" t="s">
        <v>469</v>
      </c>
    </row>
    <row r="45" spans="1:19" x14ac:dyDescent="0.25">
      <c r="A45" s="35">
        <v>1000057</v>
      </c>
      <c r="B45" s="12" t="s">
        <v>70</v>
      </c>
      <c r="C45" s="41"/>
      <c r="D45" s="4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>
        <f t="shared" si="1"/>
        <v>0</v>
      </c>
    </row>
    <row r="46" spans="1:19" x14ac:dyDescent="0.25">
      <c r="A46" s="35">
        <v>1000472</v>
      </c>
      <c r="B46" s="12" t="s">
        <v>222</v>
      </c>
      <c r="C46" s="41"/>
      <c r="D46" s="4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>
        <f t="shared" si="1"/>
        <v>0</v>
      </c>
    </row>
    <row r="47" spans="1:19" x14ac:dyDescent="0.25">
      <c r="A47" s="35">
        <v>1000383</v>
      </c>
      <c r="B47" s="12" t="s">
        <v>231</v>
      </c>
      <c r="C47" s="41"/>
      <c r="D47" s="4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>
        <f t="shared" si="1"/>
        <v>0</v>
      </c>
    </row>
    <row r="48" spans="1:19" x14ac:dyDescent="0.25">
      <c r="A48" s="35">
        <v>1000147</v>
      </c>
      <c r="B48" s="12" t="s">
        <v>52</v>
      </c>
      <c r="C48" s="41"/>
      <c r="D48" s="4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>
        <f t="shared" si="1"/>
        <v>0</v>
      </c>
    </row>
    <row r="49" spans="1:16" x14ac:dyDescent="0.25">
      <c r="A49" s="35">
        <v>1000486</v>
      </c>
      <c r="B49" s="12" t="s">
        <v>263</v>
      </c>
      <c r="C49" s="41"/>
      <c r="D49" s="4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>
        <f t="shared" si="1"/>
        <v>0</v>
      </c>
    </row>
    <row r="50" spans="1:16" x14ac:dyDescent="0.25">
      <c r="A50" s="35">
        <v>10249</v>
      </c>
      <c r="B50" s="12" t="s">
        <v>181</v>
      </c>
      <c r="C50" s="41"/>
      <c r="D50" s="4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>
        <f t="shared" si="1"/>
        <v>0</v>
      </c>
    </row>
    <row r="51" spans="1:16" x14ac:dyDescent="0.25">
      <c r="A51" s="35">
        <v>1000080</v>
      </c>
      <c r="B51" s="12" t="s">
        <v>275</v>
      </c>
      <c r="C51" s="41"/>
      <c r="D51" s="47"/>
      <c r="F51" s="567"/>
      <c r="G51" s="567"/>
      <c r="H51" s="567"/>
      <c r="I51" s="567"/>
      <c r="J51" s="567"/>
      <c r="K51" s="567"/>
      <c r="L51" s="567">
        <v>12</v>
      </c>
      <c r="M51" s="567"/>
      <c r="N51" s="567"/>
      <c r="O51" s="567"/>
      <c r="P51" s="606">
        <f t="shared" si="1"/>
        <v>12</v>
      </c>
    </row>
    <row r="52" spans="1:16" x14ac:dyDescent="0.25">
      <c r="A52" s="35">
        <v>1000436</v>
      </c>
      <c r="B52" s="12" t="s">
        <v>276</v>
      </c>
      <c r="C52" s="41"/>
      <c r="D52" s="4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>
        <f t="shared" si="1"/>
        <v>0</v>
      </c>
    </row>
    <row r="53" spans="1:16" x14ac:dyDescent="0.25">
      <c r="A53" s="35">
        <v>1000550</v>
      </c>
      <c r="B53" s="12" t="s">
        <v>277</v>
      </c>
      <c r="C53" s="41"/>
      <c r="D53" s="47"/>
      <c r="F53" s="567">
        <v>16</v>
      </c>
      <c r="G53" s="567"/>
      <c r="H53" s="567"/>
      <c r="I53" s="567"/>
      <c r="J53" s="567"/>
      <c r="K53" s="567"/>
      <c r="L53" s="567">
        <v>32</v>
      </c>
      <c r="M53" s="567"/>
      <c r="N53" s="567"/>
      <c r="O53" s="567"/>
      <c r="P53" s="606">
        <f t="shared" si="1"/>
        <v>48</v>
      </c>
    </row>
    <row r="54" spans="1:16" ht="14.25" customHeight="1" x14ac:dyDescent="0.25">
      <c r="A54" s="35">
        <v>1000551</v>
      </c>
      <c r="B54" s="12" t="s">
        <v>278</v>
      </c>
      <c r="C54" s="41"/>
      <c r="D54" s="4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>
        <f t="shared" si="1"/>
        <v>0</v>
      </c>
    </row>
    <row r="55" spans="1:16" s="200" customFormat="1" ht="15.75" thickBot="1" x14ac:dyDescent="0.3">
      <c r="A55" s="38">
        <v>1000552</v>
      </c>
      <c r="B55" s="17" t="s">
        <v>279</v>
      </c>
      <c r="C55" s="41"/>
      <c r="D55" s="46"/>
      <c r="E55" s="2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>
        <f t="shared" si="1"/>
        <v>0</v>
      </c>
    </row>
    <row r="56" spans="1:16" ht="15.75" thickBot="1" x14ac:dyDescent="0.3">
      <c r="A56" s="35">
        <v>1000029</v>
      </c>
      <c r="B56" s="12" t="s">
        <v>30</v>
      </c>
      <c r="D56" s="46"/>
      <c r="F56" s="567"/>
      <c r="G56" s="567"/>
      <c r="H56" s="567">
        <v>2</v>
      </c>
      <c r="I56" s="567"/>
      <c r="J56" s="567"/>
      <c r="K56" s="567"/>
      <c r="L56" s="567"/>
      <c r="M56" s="567"/>
      <c r="N56" s="567"/>
      <c r="O56" s="567"/>
      <c r="P56" s="607">
        <v>1</v>
      </c>
    </row>
    <row r="57" spans="1:16" ht="15.75" thickBot="1" x14ac:dyDescent="0.3">
      <c r="A57" s="269"/>
      <c r="B57" s="267"/>
      <c r="D57" s="46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>
        <f t="shared" si="1"/>
        <v>0</v>
      </c>
    </row>
    <row r="58" spans="1:16" ht="15.75" thickBot="1" x14ac:dyDescent="0.3">
      <c r="A58" s="269"/>
      <c r="B58" s="267"/>
      <c r="D58" s="46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>
        <f t="shared" si="1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0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DA22-EB7D-44F4-AC9E-F4DBA4EA8BC3}">
  <sheetPr>
    <tabColor theme="7" tint="-0.249977111117893"/>
    <pageSetUpPr fitToPage="1"/>
  </sheetPr>
  <dimension ref="A1:P45"/>
  <sheetViews>
    <sheetView topLeftCell="A9" zoomScale="70" zoomScaleNormal="70" workbookViewId="0">
      <selection activeCell="R28" sqref="R28"/>
    </sheetView>
  </sheetViews>
  <sheetFormatPr baseColWidth="10" defaultColWidth="10.875" defaultRowHeight="15" x14ac:dyDescent="0.25"/>
  <cols>
    <col min="1" max="1" width="9.75" style="27" bestFit="1" customWidth="1"/>
    <col min="2" max="2" width="43.87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6.875" style="27" customWidth="1"/>
    <col min="10" max="10" width="9.125" style="27" bestFit="1" customWidth="1"/>
    <col min="11" max="11" width="6.5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6.125" style="27" customWidth="1"/>
    <col min="16" max="16" width="10" style="27" customWidth="1"/>
    <col min="17" max="16384" width="10.875" style="27"/>
  </cols>
  <sheetData>
    <row r="1" spans="1:16" ht="17.25" customHeight="1" x14ac:dyDescent="0.45">
      <c r="A1" s="686" t="s">
        <v>153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379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390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ref="P6:P42" si="0">SUM(F6:O6)</f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100</v>
      </c>
      <c r="F7" s="28"/>
      <c r="G7" s="28"/>
      <c r="H7" s="28">
        <v>100</v>
      </c>
      <c r="I7" s="28"/>
      <c r="J7" s="28"/>
      <c r="K7" s="28"/>
      <c r="L7" s="28"/>
      <c r="M7" s="28"/>
      <c r="N7" s="28"/>
      <c r="O7" s="28"/>
      <c r="P7" s="418">
        <f t="shared" si="0"/>
        <v>100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180</v>
      </c>
      <c r="F8" s="28"/>
      <c r="G8" s="28"/>
      <c r="H8" s="28"/>
      <c r="I8" s="28"/>
      <c r="J8" s="28"/>
      <c r="K8" s="28"/>
      <c r="L8" s="28">
        <v>100</v>
      </c>
      <c r="M8" s="28"/>
      <c r="N8" s="28"/>
      <c r="O8" s="28"/>
      <c r="P8" s="418">
        <f t="shared" si="0"/>
        <v>100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6</v>
      </c>
      <c r="F9" s="28"/>
      <c r="G9" s="28"/>
      <c r="H9" s="28">
        <v>3</v>
      </c>
      <c r="I9" s="28"/>
      <c r="J9" s="28"/>
      <c r="K9" s="28"/>
      <c r="L9" s="28">
        <v>2</v>
      </c>
      <c r="M9" s="28"/>
      <c r="N9" s="28"/>
      <c r="O9" s="28"/>
      <c r="P9" s="418">
        <f t="shared" si="0"/>
        <v>5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6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28"/>
      <c r="G12" s="28"/>
      <c r="H12" s="28"/>
      <c r="I12" s="28"/>
      <c r="J12" s="28"/>
      <c r="K12" s="28"/>
      <c r="L12" s="28">
        <v>1</v>
      </c>
      <c r="M12" s="28"/>
      <c r="N12" s="28"/>
      <c r="O12" s="28"/>
      <c r="P12" s="418">
        <f t="shared" si="0"/>
        <v>1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35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40</v>
      </c>
      <c r="F14" s="28"/>
      <c r="G14" s="28"/>
      <c r="H14" s="28"/>
      <c r="I14" s="28"/>
      <c r="J14" s="28"/>
      <c r="K14" s="28"/>
      <c r="L14" s="28">
        <v>10</v>
      </c>
      <c r="M14" s="28"/>
      <c r="N14" s="28"/>
      <c r="O14" s="28"/>
      <c r="P14" s="418">
        <f t="shared" si="0"/>
        <v>10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10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1000050</v>
      </c>
      <c r="B17" s="12" t="s">
        <v>22</v>
      </c>
      <c r="C17" s="41"/>
      <c r="D17" s="47">
        <v>1</v>
      </c>
      <c r="F17" s="28"/>
      <c r="G17" s="28"/>
      <c r="H17" s="28"/>
      <c r="I17" s="28"/>
      <c r="J17" s="28"/>
      <c r="K17" s="28"/>
      <c r="L17" s="28">
        <v>3</v>
      </c>
      <c r="M17" s="28"/>
      <c r="N17" s="28"/>
      <c r="O17" s="28"/>
      <c r="P17" s="418">
        <f t="shared" si="0"/>
        <v>3</v>
      </c>
    </row>
    <row r="18" spans="1:16" ht="15.75" thickBot="1" x14ac:dyDescent="0.3">
      <c r="A18" s="35">
        <v>1000045</v>
      </c>
      <c r="B18" s="12" t="s">
        <v>23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1000026</v>
      </c>
      <c r="B19" s="12" t="s">
        <v>31</v>
      </c>
      <c r="C19" s="41"/>
      <c r="D19" s="47">
        <v>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1000027</v>
      </c>
      <c r="B21" s="12" t="s">
        <v>33</v>
      </c>
      <c r="C21" s="41"/>
      <c r="D21" s="47">
        <v>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1000101</v>
      </c>
      <c r="B22" s="12" t="s">
        <v>35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1000146</v>
      </c>
      <c r="B23" s="12" t="s">
        <v>39</v>
      </c>
      <c r="C23" s="41"/>
      <c r="D23" s="47">
        <v>15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10248</v>
      </c>
      <c r="B24" s="12" t="s">
        <v>183</v>
      </c>
      <c r="C24" s="41"/>
      <c r="D24" s="47">
        <v>0</v>
      </c>
      <c r="F24" s="28"/>
      <c r="G24" s="28"/>
      <c r="H24" s="28"/>
      <c r="I24" s="28"/>
      <c r="J24" s="28"/>
      <c r="K24" s="28"/>
      <c r="L24" s="28">
        <v>9</v>
      </c>
      <c r="M24" s="28"/>
      <c r="N24" s="28"/>
      <c r="O24" s="28"/>
      <c r="P24" s="418">
        <f t="shared" si="0"/>
        <v>9</v>
      </c>
    </row>
    <row r="25" spans="1:16" ht="15.75" thickBot="1" x14ac:dyDescent="0.3">
      <c r="A25" s="35">
        <v>1000090</v>
      </c>
      <c r="B25" s="12" t="s">
        <v>40</v>
      </c>
      <c r="C25" s="41"/>
      <c r="D25" s="47">
        <v>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1000052</v>
      </c>
      <c r="B26" s="12" t="s">
        <v>41</v>
      </c>
      <c r="C26" s="41"/>
      <c r="D26" s="47">
        <v>2</v>
      </c>
      <c r="F26" s="28"/>
      <c r="G26" s="28"/>
      <c r="H26" s="28"/>
      <c r="I26" s="28"/>
      <c r="J26" s="28"/>
      <c r="K26" s="28"/>
      <c r="L26" s="28">
        <v>4</v>
      </c>
      <c r="M26" s="28"/>
      <c r="N26" s="28"/>
      <c r="O26" s="28"/>
      <c r="P26" s="418">
        <f t="shared" si="0"/>
        <v>4</v>
      </c>
    </row>
    <row r="27" spans="1:16" ht="15.75" thickBot="1" x14ac:dyDescent="0.3">
      <c r="A27" s="35">
        <v>1000089</v>
      </c>
      <c r="B27" s="12" t="s">
        <v>42</v>
      </c>
      <c r="C27" s="41"/>
      <c r="D27" s="47">
        <v>2</v>
      </c>
      <c r="F27" s="28"/>
      <c r="G27" s="28"/>
      <c r="H27" s="28"/>
      <c r="I27" s="28"/>
      <c r="J27" s="28"/>
      <c r="K27" s="28"/>
      <c r="L27" s="28">
        <v>3</v>
      </c>
      <c r="M27" s="28"/>
      <c r="N27" s="28"/>
      <c r="O27" s="28"/>
      <c r="P27" s="418">
        <f t="shared" si="0"/>
        <v>3</v>
      </c>
    </row>
    <row r="28" spans="1:16" ht="15.75" thickBot="1" x14ac:dyDescent="0.3">
      <c r="A28" s="35">
        <v>1000051</v>
      </c>
      <c r="B28" s="12" t="s">
        <v>43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1000048</v>
      </c>
      <c r="B29" s="12" t="s">
        <v>45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1000142</v>
      </c>
      <c r="B30" s="12" t="s">
        <v>54</v>
      </c>
      <c r="C30" s="41"/>
      <c r="D30" s="47">
        <v>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1000214</v>
      </c>
      <c r="B31" s="12" t="s">
        <v>49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1000049</v>
      </c>
      <c r="B32" s="12" t="s">
        <v>21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s="15" customFormat="1" ht="15.95" customHeight="1" thickBot="1" x14ac:dyDescent="0.3">
      <c r="A33" s="35">
        <v>1000073</v>
      </c>
      <c r="B33" s="12" t="s">
        <v>36</v>
      </c>
      <c r="C33" s="41"/>
      <c r="D33" s="4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1000070</v>
      </c>
      <c r="B34" s="12" t="s">
        <v>13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1000383</v>
      </c>
      <c r="B35" s="12" t="s">
        <v>231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1000522</v>
      </c>
      <c r="B36" s="12" t="s">
        <v>246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1000080</v>
      </c>
      <c r="B37" s="12" t="s">
        <v>275</v>
      </c>
      <c r="C37" s="41"/>
      <c r="D37" s="47"/>
      <c r="F37" s="28"/>
      <c r="G37" s="28"/>
      <c r="H37" s="28">
        <v>48</v>
      </c>
      <c r="I37" s="28"/>
      <c r="J37" s="28"/>
      <c r="K37" s="28"/>
      <c r="L37" s="28"/>
      <c r="M37" s="28"/>
      <c r="N37" s="28"/>
      <c r="O37" s="28"/>
      <c r="P37" s="418">
        <f t="shared" si="0"/>
        <v>48</v>
      </c>
    </row>
    <row r="38" spans="1:16" ht="15.75" thickBot="1" x14ac:dyDescent="0.3">
      <c r="A38" s="35">
        <v>1000436</v>
      </c>
      <c r="B38" s="12" t="s">
        <v>276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1000550</v>
      </c>
      <c r="B39" s="12" t="s">
        <v>277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1000551</v>
      </c>
      <c r="B40" s="12" t="s">
        <v>278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243">
        <v>1000552</v>
      </c>
      <c r="B41" s="251" t="s">
        <v>279</v>
      </c>
      <c r="C41" s="215"/>
      <c r="D41" s="38"/>
      <c r="E41" s="215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269">
        <v>1000084</v>
      </c>
      <c r="B42" s="267" t="s">
        <v>38</v>
      </c>
      <c r="D42" s="38"/>
      <c r="F42" s="28"/>
      <c r="G42" s="28"/>
      <c r="H42" s="28">
        <v>12</v>
      </c>
      <c r="I42" s="28"/>
      <c r="J42" s="28"/>
      <c r="K42" s="28"/>
      <c r="L42" s="28">
        <v>8</v>
      </c>
      <c r="M42" s="28"/>
      <c r="N42" s="28"/>
      <c r="O42" s="28"/>
      <c r="P42" s="418">
        <f t="shared" si="0"/>
        <v>20</v>
      </c>
    </row>
    <row r="43" spans="1:16" ht="15.75" thickBot="1" x14ac:dyDescent="0.3">
      <c r="A43" s="35">
        <v>1000031</v>
      </c>
      <c r="B43" s="14" t="s">
        <v>25</v>
      </c>
      <c r="D43" s="3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ref="P43:P44" si="1">SUM(F43:O43)</f>
        <v>0</v>
      </c>
    </row>
    <row r="44" spans="1:16" ht="15.75" thickBot="1" x14ac:dyDescent="0.3">
      <c r="A44" s="35">
        <v>1000011</v>
      </c>
      <c r="B44" s="12" t="s">
        <v>18</v>
      </c>
      <c r="D44" s="3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1"/>
        <v>0</v>
      </c>
    </row>
    <row r="45" spans="1:16" ht="15.75" thickBot="1" x14ac:dyDescent="0.3">
      <c r="A45" s="269"/>
      <c r="B45" s="267"/>
      <c r="D45" s="3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ref="P45" si="2">SUM(F45:O45)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338B-32E1-47E6-B547-68047F9DB59C}">
  <sheetPr>
    <tabColor theme="7" tint="-0.249977111117893"/>
    <pageSetUpPr fitToPage="1"/>
  </sheetPr>
  <dimension ref="A1:P52"/>
  <sheetViews>
    <sheetView topLeftCell="A9" zoomScale="70" zoomScaleNormal="70" workbookViewId="0">
      <selection activeCell="R15" sqref="R15"/>
    </sheetView>
  </sheetViews>
  <sheetFormatPr baseColWidth="10" defaultColWidth="10.875" defaultRowHeight="15" x14ac:dyDescent="0.25"/>
  <cols>
    <col min="1" max="1" width="10.2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875" style="27" customWidth="1"/>
    <col min="8" max="8" width="9" style="27" customWidth="1"/>
    <col min="9" max="9" width="6.875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6.625" style="27" customWidth="1"/>
    <col min="16" max="16384" width="10.875" style="27"/>
  </cols>
  <sheetData>
    <row r="1" spans="1:16" ht="17.25" customHeight="1" x14ac:dyDescent="0.45">
      <c r="A1" s="686" t="s">
        <v>150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391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100</v>
      </c>
      <c r="E5" s="29"/>
      <c r="F5" s="29">
        <v>50</v>
      </c>
      <c r="G5" s="29"/>
      <c r="H5" s="29">
        <v>50</v>
      </c>
      <c r="I5" s="29"/>
      <c r="J5" s="29">
        <v>50</v>
      </c>
      <c r="K5" s="29"/>
      <c r="L5" s="29">
        <v>100</v>
      </c>
      <c r="M5" s="29"/>
      <c r="N5" s="29">
        <v>50</v>
      </c>
      <c r="O5" s="29"/>
      <c r="P5" s="418">
        <f t="shared" ref="P5:P52" si="0">SUM(F5:O5)</f>
        <v>300</v>
      </c>
    </row>
    <row r="6" spans="1:16" ht="15.75" thickBot="1" x14ac:dyDescent="0.3">
      <c r="A6" s="35">
        <v>1000007</v>
      </c>
      <c r="B6" s="12" t="s">
        <v>5</v>
      </c>
      <c r="C6" s="41"/>
      <c r="D6" s="47">
        <v>90</v>
      </c>
      <c r="E6" s="29"/>
      <c r="F6" s="29">
        <v>50</v>
      </c>
      <c r="G6" s="29"/>
      <c r="H6" s="29">
        <v>50</v>
      </c>
      <c r="I6" s="29"/>
      <c r="J6" s="29">
        <v>50</v>
      </c>
      <c r="K6" s="29"/>
      <c r="L6" s="29">
        <v>100</v>
      </c>
      <c r="M6" s="29"/>
      <c r="N6" s="29">
        <v>50</v>
      </c>
      <c r="O6" s="29"/>
      <c r="P6" s="418">
        <f t="shared" si="0"/>
        <v>300</v>
      </c>
    </row>
    <row r="7" spans="1:16" ht="15.75" thickBot="1" x14ac:dyDescent="0.3">
      <c r="A7" s="35">
        <v>1000008</v>
      </c>
      <c r="B7" s="12" t="s">
        <v>7</v>
      </c>
      <c r="C7" s="41"/>
      <c r="D7" s="47">
        <v>2</v>
      </c>
      <c r="E7" s="29"/>
      <c r="F7" s="29">
        <v>50</v>
      </c>
      <c r="G7" s="29"/>
      <c r="H7" s="29"/>
      <c r="I7" s="29"/>
      <c r="J7" s="29"/>
      <c r="K7" s="29"/>
      <c r="L7" s="29">
        <v>50</v>
      </c>
      <c r="M7" s="29"/>
      <c r="N7" s="29">
        <v>50</v>
      </c>
      <c r="O7" s="29"/>
      <c r="P7" s="418">
        <f t="shared" si="0"/>
        <v>150</v>
      </c>
    </row>
    <row r="8" spans="1:16" ht="15.75" thickBot="1" x14ac:dyDescent="0.3">
      <c r="A8" s="35">
        <v>1000001</v>
      </c>
      <c r="B8" s="12" t="s">
        <v>8</v>
      </c>
      <c r="C8" s="41"/>
      <c r="D8" s="47">
        <v>3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30">
        <f t="shared" si="0"/>
        <v>0</v>
      </c>
    </row>
    <row r="9" spans="1:16" ht="15.75" thickBot="1" x14ac:dyDescent="0.3">
      <c r="A9" s="35">
        <v>1000002</v>
      </c>
      <c r="B9" s="12" t="s">
        <v>9</v>
      </c>
      <c r="C9" s="41"/>
      <c r="D9" s="47">
        <v>2</v>
      </c>
      <c r="E9" s="29"/>
      <c r="F9" s="29">
        <v>1</v>
      </c>
      <c r="G9" s="29"/>
      <c r="H9" s="29">
        <v>1</v>
      </c>
      <c r="I9" s="29"/>
      <c r="J9" s="29">
        <v>1</v>
      </c>
      <c r="K9" s="29"/>
      <c r="L9" s="29">
        <v>1</v>
      </c>
      <c r="M9" s="29"/>
      <c r="N9" s="29">
        <v>1</v>
      </c>
      <c r="O9" s="29"/>
      <c r="P9" s="418">
        <f t="shared" si="0"/>
        <v>5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2</v>
      </c>
      <c r="E10" s="29"/>
      <c r="F10" s="29">
        <v>3</v>
      </c>
      <c r="G10" s="29"/>
      <c r="H10" s="29">
        <v>3</v>
      </c>
      <c r="I10" s="29"/>
      <c r="J10" s="29">
        <v>3</v>
      </c>
      <c r="K10" s="29"/>
      <c r="L10" s="29">
        <v>5</v>
      </c>
      <c r="M10" s="29"/>
      <c r="N10" s="29">
        <v>3</v>
      </c>
      <c r="O10" s="29"/>
      <c r="P10" s="418">
        <f t="shared" si="0"/>
        <v>17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20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>
        <f t="shared" si="0"/>
        <v>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E12" s="29"/>
      <c r="F12" s="29"/>
      <c r="G12" s="29"/>
      <c r="H12" s="29"/>
      <c r="I12" s="29"/>
      <c r="J12" s="29">
        <v>1</v>
      </c>
      <c r="K12" s="29"/>
      <c r="L12" s="29"/>
      <c r="M12" s="29"/>
      <c r="N12" s="29"/>
      <c r="O12" s="29"/>
      <c r="P12" s="418">
        <f t="shared" si="0"/>
        <v>1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20</v>
      </c>
      <c r="E13" s="29"/>
      <c r="F13" s="29">
        <v>5</v>
      </c>
      <c r="G13" s="29"/>
      <c r="H13" s="29">
        <v>5</v>
      </c>
      <c r="I13" s="29"/>
      <c r="J13" s="29">
        <v>5</v>
      </c>
      <c r="K13" s="29"/>
      <c r="L13" s="29">
        <v>10</v>
      </c>
      <c r="M13" s="29"/>
      <c r="N13" s="29"/>
      <c r="O13" s="29"/>
      <c r="P13" s="418">
        <f t="shared" si="0"/>
        <v>25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E14" s="29"/>
      <c r="F14" s="29"/>
      <c r="G14" s="29"/>
      <c r="H14" s="29"/>
      <c r="I14" s="29"/>
      <c r="J14" s="29"/>
      <c r="K14" s="29"/>
      <c r="L14" s="29"/>
      <c r="M14" s="29"/>
      <c r="N14" s="29">
        <v>5</v>
      </c>
      <c r="O14" s="29"/>
      <c r="P14" s="418">
        <f t="shared" si="0"/>
        <v>5</v>
      </c>
    </row>
    <row r="15" spans="1:16" ht="15.75" thickBot="1" x14ac:dyDescent="0.3">
      <c r="A15" s="35">
        <v>1000050</v>
      </c>
      <c r="B15" s="12" t="s">
        <v>22</v>
      </c>
      <c r="C15" s="41"/>
      <c r="D15" s="47">
        <v>1</v>
      </c>
      <c r="E15" s="29"/>
      <c r="F15" s="29">
        <v>1</v>
      </c>
      <c r="G15" s="29"/>
      <c r="H15" s="29">
        <v>1</v>
      </c>
      <c r="I15" s="29"/>
      <c r="J15" s="29">
        <v>1</v>
      </c>
      <c r="K15" s="29"/>
      <c r="L15" s="29">
        <v>1</v>
      </c>
      <c r="M15" s="29"/>
      <c r="N15" s="29">
        <v>1</v>
      </c>
      <c r="O15" s="29"/>
      <c r="P15" s="418">
        <f t="shared" si="0"/>
        <v>5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1</v>
      </c>
      <c r="E16" s="29"/>
      <c r="F16" s="29">
        <v>1</v>
      </c>
      <c r="G16" s="29"/>
      <c r="H16" s="29"/>
      <c r="I16" s="29"/>
      <c r="J16" s="29"/>
      <c r="K16" s="29"/>
      <c r="L16" s="29"/>
      <c r="M16" s="29"/>
      <c r="N16" s="29"/>
      <c r="O16" s="29"/>
      <c r="P16" s="418">
        <f t="shared" si="0"/>
        <v>1</v>
      </c>
    </row>
    <row r="17" spans="1:16" ht="15.75" thickBot="1" x14ac:dyDescent="0.3">
      <c r="A17" s="35">
        <v>1000045</v>
      </c>
      <c r="B17" s="12" t="s">
        <v>23</v>
      </c>
      <c r="C17" s="41"/>
      <c r="D17" s="47">
        <v>0</v>
      </c>
      <c r="E17" s="29"/>
      <c r="F17" s="29"/>
      <c r="G17" s="29"/>
      <c r="H17" s="29"/>
      <c r="I17" s="29"/>
      <c r="J17" s="29"/>
      <c r="K17" s="29"/>
      <c r="L17" s="29">
        <v>2</v>
      </c>
      <c r="M17" s="29"/>
      <c r="N17" s="29"/>
      <c r="O17" s="29"/>
      <c r="P17" s="418">
        <f t="shared" si="0"/>
        <v>2</v>
      </c>
    </row>
    <row r="18" spans="1:16" ht="15.75" thickBot="1" x14ac:dyDescent="0.3">
      <c r="A18" s="35">
        <v>1000031</v>
      </c>
      <c r="B18" s="14" t="s">
        <v>25</v>
      </c>
      <c r="C18" s="41"/>
      <c r="D18" s="47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>
        <f t="shared" si="0"/>
        <v>0</v>
      </c>
    </row>
    <row r="19" spans="1:16" ht="15.75" thickBot="1" x14ac:dyDescent="0.3">
      <c r="A19" s="35">
        <v>1000032</v>
      </c>
      <c r="B19" s="12" t="s">
        <v>26</v>
      </c>
      <c r="C19" s="41"/>
      <c r="D19" s="47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>
        <f t="shared" si="0"/>
        <v>0</v>
      </c>
    </row>
    <row r="20" spans="1:16" ht="15.75" thickBot="1" x14ac:dyDescent="0.3">
      <c r="A20" s="35">
        <v>1000033</v>
      </c>
      <c r="B20" s="12" t="s">
        <v>27</v>
      </c>
      <c r="C20" s="41"/>
      <c r="D20" s="47"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>
        <f t="shared" si="0"/>
        <v>0</v>
      </c>
    </row>
    <row r="21" spans="1:16" ht="15.75" thickBot="1" x14ac:dyDescent="0.3">
      <c r="A21" s="35">
        <v>1000034</v>
      </c>
      <c r="B21" s="12" t="s">
        <v>28</v>
      </c>
      <c r="C21" s="41"/>
      <c r="D21" s="47"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>
        <f t="shared" si="0"/>
        <v>0</v>
      </c>
    </row>
    <row r="22" spans="1:16" ht="15.75" thickBot="1" x14ac:dyDescent="0.3">
      <c r="A22" s="35">
        <v>1000025</v>
      </c>
      <c r="B22" s="12" t="s">
        <v>32</v>
      </c>
      <c r="C22" s="41"/>
      <c r="D22" s="47">
        <v>2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>
        <f t="shared" si="0"/>
        <v>0</v>
      </c>
    </row>
    <row r="23" spans="1:16" ht="15.75" thickBot="1" x14ac:dyDescent="0.3">
      <c r="A23" s="35">
        <v>1000073</v>
      </c>
      <c r="B23" s="12" t="s">
        <v>36</v>
      </c>
      <c r="C23" s="41"/>
      <c r="D23" s="47">
        <v>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>
        <f t="shared" si="0"/>
        <v>0</v>
      </c>
    </row>
    <row r="24" spans="1:16" ht="15.75" thickBot="1" x14ac:dyDescent="0.3">
      <c r="A24" s="35">
        <v>1000082</v>
      </c>
      <c r="B24" s="12" t="s">
        <v>37</v>
      </c>
      <c r="C24" s="41"/>
      <c r="D24" s="47">
        <v>30</v>
      </c>
      <c r="E24" s="29"/>
      <c r="F24" s="29">
        <v>16</v>
      </c>
      <c r="G24" s="29"/>
      <c r="H24" s="29">
        <v>16</v>
      </c>
      <c r="I24" s="29"/>
      <c r="J24" s="29">
        <v>16</v>
      </c>
      <c r="K24" s="29"/>
      <c r="L24" s="29">
        <v>32</v>
      </c>
      <c r="M24" s="29"/>
      <c r="N24" s="29">
        <v>16</v>
      </c>
      <c r="O24" s="29"/>
      <c r="P24" s="418">
        <f t="shared" si="0"/>
        <v>96</v>
      </c>
    </row>
    <row r="25" spans="1:16" ht="15.75" thickBot="1" x14ac:dyDescent="0.3">
      <c r="A25" s="35">
        <v>1000084</v>
      </c>
      <c r="B25" s="12" t="s">
        <v>38</v>
      </c>
      <c r="C25" s="41"/>
      <c r="D25" s="47">
        <v>15</v>
      </c>
      <c r="E25" s="29"/>
      <c r="F25" s="29">
        <v>8</v>
      </c>
      <c r="G25" s="29"/>
      <c r="H25" s="29">
        <v>8</v>
      </c>
      <c r="I25" s="29"/>
      <c r="J25" s="29">
        <v>8</v>
      </c>
      <c r="K25" s="29"/>
      <c r="L25" s="29">
        <v>16</v>
      </c>
      <c r="M25" s="29"/>
      <c r="N25" s="29">
        <v>8</v>
      </c>
      <c r="O25" s="29"/>
      <c r="P25" s="418">
        <f t="shared" si="0"/>
        <v>48</v>
      </c>
    </row>
    <row r="26" spans="1:16" ht="15.75" thickBot="1" x14ac:dyDescent="0.3">
      <c r="A26" s="35">
        <v>1000146</v>
      </c>
      <c r="B26" s="12" t="s">
        <v>39</v>
      </c>
      <c r="C26" s="41"/>
      <c r="D26" s="47">
        <v>10</v>
      </c>
      <c r="E26" s="29"/>
      <c r="F26" s="29">
        <v>10</v>
      </c>
      <c r="G26" s="29"/>
      <c r="H26" s="29">
        <v>10</v>
      </c>
      <c r="I26" s="29"/>
      <c r="J26" s="29"/>
      <c r="K26" s="29"/>
      <c r="L26" s="29"/>
      <c r="M26" s="29"/>
      <c r="N26" s="29"/>
      <c r="O26" s="29"/>
      <c r="P26" s="418">
        <f t="shared" si="0"/>
        <v>20</v>
      </c>
    </row>
    <row r="27" spans="1:16" ht="15.75" thickBot="1" x14ac:dyDescent="0.3">
      <c r="A27" s="35">
        <v>10248</v>
      </c>
      <c r="B27" s="12" t="s">
        <v>183</v>
      </c>
      <c r="C27" s="41"/>
      <c r="D27" s="47">
        <v>0</v>
      </c>
      <c r="E27" s="29"/>
      <c r="F27" s="29">
        <v>9</v>
      </c>
      <c r="G27" s="29"/>
      <c r="H27" s="29">
        <v>9</v>
      </c>
      <c r="I27" s="29"/>
      <c r="J27" s="29">
        <v>9</v>
      </c>
      <c r="K27" s="29"/>
      <c r="L27" s="29">
        <v>15</v>
      </c>
      <c r="M27" s="29"/>
      <c r="N27" s="29">
        <v>9</v>
      </c>
      <c r="O27" s="29"/>
      <c r="P27" s="418">
        <f t="shared" si="0"/>
        <v>51</v>
      </c>
    </row>
    <row r="28" spans="1:16" ht="15.75" thickBot="1" x14ac:dyDescent="0.3">
      <c r="A28" s="35">
        <v>1000090</v>
      </c>
      <c r="B28" s="12" t="s">
        <v>40</v>
      </c>
      <c r="C28" s="41"/>
      <c r="D28" s="47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>
        <f t="shared" si="0"/>
        <v>0</v>
      </c>
    </row>
    <row r="29" spans="1:16" ht="15.75" thickBot="1" x14ac:dyDescent="0.3">
      <c r="A29" s="35">
        <v>1000052</v>
      </c>
      <c r="B29" s="12" t="s">
        <v>41</v>
      </c>
      <c r="C29" s="41"/>
      <c r="D29" s="47">
        <v>2</v>
      </c>
      <c r="E29" s="29"/>
      <c r="F29" s="29">
        <v>1</v>
      </c>
      <c r="G29" s="29"/>
      <c r="H29" s="29">
        <v>1</v>
      </c>
      <c r="I29" s="29"/>
      <c r="J29" s="29">
        <v>1</v>
      </c>
      <c r="K29" s="29"/>
      <c r="L29" s="29">
        <v>2</v>
      </c>
      <c r="M29" s="29"/>
      <c r="N29" s="29">
        <v>1</v>
      </c>
      <c r="O29" s="29"/>
      <c r="P29" s="418">
        <f t="shared" si="0"/>
        <v>6</v>
      </c>
    </row>
    <row r="30" spans="1:16" ht="15.75" thickBot="1" x14ac:dyDescent="0.3">
      <c r="A30" s="35">
        <v>1000089</v>
      </c>
      <c r="B30" s="12" t="s">
        <v>42</v>
      </c>
      <c r="C30" s="41"/>
      <c r="D30" s="47">
        <v>2</v>
      </c>
      <c r="E30" s="29"/>
      <c r="F30" s="29">
        <v>1</v>
      </c>
      <c r="G30" s="29"/>
      <c r="H30" s="29">
        <v>1</v>
      </c>
      <c r="I30" s="29"/>
      <c r="J30" s="29">
        <v>1</v>
      </c>
      <c r="K30" s="29"/>
      <c r="L30" s="29">
        <v>2</v>
      </c>
      <c r="M30" s="29"/>
      <c r="N30" s="29">
        <v>1</v>
      </c>
      <c r="O30" s="29"/>
      <c r="P30" s="418">
        <f t="shared" si="0"/>
        <v>6</v>
      </c>
    </row>
    <row r="31" spans="1:16" ht="15.75" thickBot="1" x14ac:dyDescent="0.3">
      <c r="A31" s="35">
        <v>1000051</v>
      </c>
      <c r="B31" s="12" t="s">
        <v>43</v>
      </c>
      <c r="C31" s="41"/>
      <c r="D31" s="47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>
        <f t="shared" si="0"/>
        <v>0</v>
      </c>
    </row>
    <row r="32" spans="1:16" ht="15.75" thickBot="1" x14ac:dyDescent="0.3">
      <c r="A32" s="35">
        <v>1000048</v>
      </c>
      <c r="B32" s="12" t="s">
        <v>45</v>
      </c>
      <c r="C32" s="41"/>
      <c r="D32" s="47">
        <v>0</v>
      </c>
      <c r="E32" s="29"/>
      <c r="F32" s="29"/>
      <c r="G32" s="29"/>
      <c r="H32" s="29">
        <v>1</v>
      </c>
      <c r="I32" s="29"/>
      <c r="J32" s="29"/>
      <c r="K32" s="29"/>
      <c r="L32" s="29">
        <v>1</v>
      </c>
      <c r="M32" s="29"/>
      <c r="N32" s="29"/>
      <c r="O32" s="29"/>
      <c r="P32" s="418">
        <f t="shared" si="0"/>
        <v>2</v>
      </c>
    </row>
    <row r="33" spans="1:16" ht="15.75" thickBot="1" x14ac:dyDescent="0.3">
      <c r="A33" s="35">
        <v>1000214</v>
      </c>
      <c r="B33" s="12" t="s">
        <v>49</v>
      </c>
      <c r="C33" s="41"/>
      <c r="D33" s="47"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>
        <f t="shared" si="0"/>
        <v>0</v>
      </c>
    </row>
    <row r="34" spans="1:16" ht="15.75" thickBot="1" x14ac:dyDescent="0.3">
      <c r="A34" s="35">
        <v>1000142</v>
      </c>
      <c r="B34" s="12" t="s">
        <v>54</v>
      </c>
      <c r="C34" s="41"/>
      <c r="D34" s="47">
        <v>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>
        <f t="shared" si="0"/>
        <v>0</v>
      </c>
    </row>
    <row r="35" spans="1:16" s="15" customFormat="1" ht="15.95" customHeight="1" thickBot="1" x14ac:dyDescent="0.3">
      <c r="A35" s="35">
        <v>1000101</v>
      </c>
      <c r="B35" s="12" t="s">
        <v>35</v>
      </c>
      <c r="C35" s="41"/>
      <c r="D35" s="4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>
        <f t="shared" si="0"/>
        <v>0</v>
      </c>
    </row>
    <row r="36" spans="1:16" ht="15.75" thickBot="1" x14ac:dyDescent="0.3">
      <c r="A36" s="35">
        <v>10000102</v>
      </c>
      <c r="B36" s="12" t="s">
        <v>2</v>
      </c>
      <c r="C36" s="41"/>
      <c r="D36" s="4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30">
        <f t="shared" si="0"/>
        <v>0</v>
      </c>
    </row>
    <row r="37" spans="1:16" ht="15.75" thickBot="1" x14ac:dyDescent="0.3">
      <c r="A37" s="35">
        <v>1000040</v>
      </c>
      <c r="B37" s="12" t="s">
        <v>77</v>
      </c>
      <c r="C37" s="41"/>
      <c r="D37" s="47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0">
        <f t="shared" si="0"/>
        <v>0</v>
      </c>
    </row>
    <row r="38" spans="1:16" ht="15.75" thickBot="1" x14ac:dyDescent="0.3">
      <c r="A38" s="35">
        <v>1000100</v>
      </c>
      <c r="B38" s="12" t="s">
        <v>34</v>
      </c>
      <c r="C38" s="41"/>
      <c r="D38" s="47"/>
      <c r="E38" s="29"/>
      <c r="F38" s="29"/>
      <c r="G38" s="29"/>
      <c r="H38" s="29">
        <v>1</v>
      </c>
      <c r="I38" s="29"/>
      <c r="J38" s="29"/>
      <c r="K38" s="29"/>
      <c r="L38" s="29">
        <v>1</v>
      </c>
      <c r="M38" s="29"/>
      <c r="N38" s="29"/>
      <c r="O38" s="29"/>
      <c r="P38" s="418">
        <f t="shared" si="0"/>
        <v>2</v>
      </c>
    </row>
    <row r="39" spans="1:16" ht="15.75" thickBot="1" x14ac:dyDescent="0.3">
      <c r="A39" s="35">
        <v>1000067</v>
      </c>
      <c r="B39" s="12" t="s">
        <v>11</v>
      </c>
      <c r="C39" s="41"/>
      <c r="D39" s="47"/>
      <c r="E39" s="29"/>
      <c r="F39" s="29"/>
      <c r="G39" s="29"/>
      <c r="H39" s="29"/>
      <c r="I39" s="29"/>
      <c r="J39" s="29"/>
      <c r="K39" s="29"/>
      <c r="L39" s="29">
        <v>1</v>
      </c>
      <c r="M39" s="29"/>
      <c r="N39" s="29"/>
      <c r="O39" s="29"/>
      <c r="P39" s="418">
        <f t="shared" si="0"/>
        <v>1</v>
      </c>
    </row>
    <row r="40" spans="1:16" ht="15.75" thickBot="1" x14ac:dyDescent="0.3">
      <c r="A40" s="35">
        <v>10000015</v>
      </c>
      <c r="B40" s="12" t="s">
        <v>1</v>
      </c>
      <c r="C40" s="41"/>
      <c r="D40" s="4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0">
        <f t="shared" si="0"/>
        <v>0</v>
      </c>
    </row>
    <row r="41" spans="1:16" ht="15.75" thickBot="1" x14ac:dyDescent="0.3">
      <c r="A41" s="35">
        <v>1000092</v>
      </c>
      <c r="B41" s="12" t="s">
        <v>51</v>
      </c>
      <c r="C41" s="41"/>
      <c r="D41" s="47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0">
        <f t="shared" si="0"/>
        <v>0</v>
      </c>
    </row>
    <row r="42" spans="1:16" ht="15.75" thickBot="1" x14ac:dyDescent="0.3">
      <c r="A42" s="35">
        <v>10211</v>
      </c>
      <c r="B42" s="12" t="s">
        <v>3</v>
      </c>
      <c r="C42" s="41"/>
      <c r="D42" s="47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0">
        <f t="shared" si="0"/>
        <v>0</v>
      </c>
    </row>
    <row r="43" spans="1:16" ht="15.75" thickBot="1" x14ac:dyDescent="0.3">
      <c r="A43" s="35">
        <v>1000147</v>
      </c>
      <c r="B43" s="12" t="s">
        <v>52</v>
      </c>
      <c r="C43" s="41"/>
      <c r="D43" s="47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>
        <f t="shared" si="0"/>
        <v>0</v>
      </c>
    </row>
    <row r="44" spans="1:16" ht="15.75" thickBot="1" x14ac:dyDescent="0.3">
      <c r="A44" s="35">
        <v>1000205</v>
      </c>
      <c r="B44" s="12" t="s">
        <v>82</v>
      </c>
      <c r="C44" s="41"/>
      <c r="D44" s="47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0">
        <f t="shared" si="0"/>
        <v>0</v>
      </c>
    </row>
    <row r="45" spans="1:16" ht="15.75" thickBot="1" x14ac:dyDescent="0.3">
      <c r="A45" s="35">
        <v>1000087</v>
      </c>
      <c r="B45" s="12" t="s">
        <v>69</v>
      </c>
      <c r="C45" s="41"/>
      <c r="D45" s="47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>
        <f t="shared" si="0"/>
        <v>0</v>
      </c>
    </row>
    <row r="46" spans="1:16" ht="15.75" thickBot="1" x14ac:dyDescent="0.3">
      <c r="A46" s="35">
        <v>1000075</v>
      </c>
      <c r="B46" s="12" t="s">
        <v>47</v>
      </c>
      <c r="C46" s="41"/>
      <c r="D46" s="47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0">
        <f t="shared" si="0"/>
        <v>0</v>
      </c>
    </row>
    <row r="47" spans="1:16" ht="15.75" thickBot="1" x14ac:dyDescent="0.3">
      <c r="A47" s="35">
        <v>1000080</v>
      </c>
      <c r="B47" s="12" t="s">
        <v>275</v>
      </c>
      <c r="C47" s="41"/>
      <c r="D47" s="47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0">
        <f t="shared" si="0"/>
        <v>0</v>
      </c>
    </row>
    <row r="48" spans="1:16" ht="15.75" thickBot="1" x14ac:dyDescent="0.3">
      <c r="A48" s="35">
        <v>1000436</v>
      </c>
      <c r="B48" s="12" t="s">
        <v>276</v>
      </c>
      <c r="C48" s="41"/>
      <c r="D48" s="47"/>
      <c r="E48" s="29"/>
      <c r="F48" s="29"/>
      <c r="G48" s="29"/>
      <c r="H48" s="29"/>
      <c r="I48" s="29"/>
      <c r="J48" s="29"/>
      <c r="K48" s="29"/>
      <c r="L48" s="29"/>
      <c r="M48" s="29"/>
      <c r="N48" s="29">
        <v>5</v>
      </c>
      <c r="O48" s="29"/>
      <c r="P48" s="418">
        <f t="shared" si="0"/>
        <v>5</v>
      </c>
    </row>
    <row r="49" spans="1:16" ht="15.75" thickBot="1" x14ac:dyDescent="0.3">
      <c r="A49" s="35">
        <v>1000550</v>
      </c>
      <c r="B49" s="12" t="s">
        <v>277</v>
      </c>
      <c r="C49" s="41"/>
      <c r="D49" s="47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0">
        <f t="shared" si="0"/>
        <v>0</v>
      </c>
    </row>
    <row r="50" spans="1:16" ht="15.75" thickBot="1" x14ac:dyDescent="0.3">
      <c r="A50" s="35">
        <v>1000551</v>
      </c>
      <c r="B50" s="12" t="s">
        <v>278</v>
      </c>
      <c r="C50" s="41"/>
      <c r="D50" s="47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0">
        <f t="shared" si="0"/>
        <v>0</v>
      </c>
    </row>
    <row r="51" spans="1:16" ht="15.75" thickBot="1" x14ac:dyDescent="0.3">
      <c r="A51" s="243">
        <v>1000552</v>
      </c>
      <c r="B51" s="251" t="s">
        <v>279</v>
      </c>
      <c r="C51" s="215"/>
      <c r="D51" s="38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0">
        <f t="shared" si="0"/>
        <v>0</v>
      </c>
    </row>
    <row r="52" spans="1:16" ht="15.75" thickBot="1" x14ac:dyDescent="0.3">
      <c r="A52" s="269"/>
      <c r="B52" s="655" t="s">
        <v>488</v>
      </c>
      <c r="D52" s="38"/>
      <c r="E52" s="29"/>
      <c r="F52" s="29"/>
      <c r="G52" s="29"/>
      <c r="H52" s="29"/>
      <c r="I52" s="29"/>
      <c r="J52" s="29"/>
      <c r="K52" s="29"/>
      <c r="L52" s="29">
        <v>1</v>
      </c>
      <c r="M52" s="29"/>
      <c r="N52" s="29"/>
      <c r="O52" s="29"/>
      <c r="P52" s="418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3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A786-0D11-469D-9319-F7139E2A3B1D}">
  <sheetPr>
    <tabColor theme="7" tint="-0.249977111117893"/>
    <pageSetUpPr fitToPage="1"/>
  </sheetPr>
  <dimension ref="A1:P60"/>
  <sheetViews>
    <sheetView topLeftCell="A25" zoomScale="85" zoomScaleNormal="85" workbookViewId="0">
      <selection activeCell="R56" sqref="R56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375" style="27" customWidth="1"/>
    <col min="8" max="8" width="9.125" style="27" bestFit="1" customWidth="1"/>
    <col min="9" max="9" width="6.75" style="27" customWidth="1"/>
    <col min="10" max="10" width="9.125" style="27" bestFit="1" customWidth="1"/>
    <col min="11" max="11" width="6.62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6.75" style="27" customWidth="1"/>
    <col min="16" max="16384" width="10.875" style="27"/>
  </cols>
  <sheetData>
    <row r="1" spans="1:16" ht="17.25" customHeight="1" x14ac:dyDescent="0.45">
      <c r="A1" s="686" t="s">
        <v>148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379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392</v>
      </c>
      <c r="C3" s="18"/>
      <c r="D3" s="18"/>
      <c r="F3" s="19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169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30">
        <f t="shared" ref="P5:P60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280</v>
      </c>
      <c r="F7" s="29"/>
      <c r="G7" s="29"/>
      <c r="H7" s="29"/>
      <c r="I7" s="29"/>
      <c r="J7" s="29"/>
      <c r="K7" s="29"/>
      <c r="L7" s="29">
        <v>200</v>
      </c>
      <c r="M7" s="29"/>
      <c r="N7" s="29">
        <v>150</v>
      </c>
      <c r="O7" s="29"/>
      <c r="P7" s="418">
        <f t="shared" si="0"/>
        <v>350</v>
      </c>
    </row>
    <row r="8" spans="1:16" ht="15.75" thickBot="1" x14ac:dyDescent="0.3">
      <c r="A8" s="35">
        <v>1000007</v>
      </c>
      <c r="B8" s="12" t="s">
        <v>5</v>
      </c>
      <c r="C8" s="41"/>
      <c r="D8" s="47">
        <v>250</v>
      </c>
      <c r="F8" s="29"/>
      <c r="G8" s="29"/>
      <c r="H8" s="29">
        <v>150</v>
      </c>
      <c r="I8" s="29"/>
      <c r="J8" s="29"/>
      <c r="K8" s="29"/>
      <c r="L8" s="29">
        <v>200</v>
      </c>
      <c r="M8" s="29"/>
      <c r="N8" s="29"/>
      <c r="O8" s="29"/>
      <c r="P8" s="418">
        <f t="shared" si="0"/>
        <v>350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4</v>
      </c>
      <c r="F9" s="29">
        <v>3</v>
      </c>
      <c r="G9" s="29"/>
      <c r="H9" s="29">
        <v>3</v>
      </c>
      <c r="I9" s="29"/>
      <c r="J9" s="29">
        <v>3</v>
      </c>
      <c r="K9" s="29"/>
      <c r="L9" s="29">
        <v>3</v>
      </c>
      <c r="M9" s="29"/>
      <c r="N9" s="29">
        <v>3</v>
      </c>
      <c r="O9" s="29"/>
      <c r="P9" s="418">
        <f t="shared" si="0"/>
        <v>15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9">
        <v>1</v>
      </c>
      <c r="G10" s="29"/>
      <c r="H10" s="29"/>
      <c r="I10" s="29"/>
      <c r="J10" s="29">
        <v>1</v>
      </c>
      <c r="K10" s="29"/>
      <c r="L10" s="29">
        <v>1</v>
      </c>
      <c r="M10" s="29"/>
      <c r="N10" s="29"/>
      <c r="O10" s="29"/>
      <c r="P10" s="418">
        <f t="shared" si="0"/>
        <v>3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2</v>
      </c>
      <c r="F11" s="29">
        <v>3</v>
      </c>
      <c r="G11" s="29"/>
      <c r="H11" s="29">
        <v>3</v>
      </c>
      <c r="I11" s="29"/>
      <c r="J11" s="29">
        <v>3</v>
      </c>
      <c r="K11" s="29"/>
      <c r="L11" s="29">
        <v>3</v>
      </c>
      <c r="M11" s="29"/>
      <c r="N11" s="29">
        <v>3</v>
      </c>
      <c r="O11" s="29"/>
      <c r="P11" s="418">
        <f t="shared" si="0"/>
        <v>15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55</v>
      </c>
      <c r="F13" s="29">
        <v>20</v>
      </c>
      <c r="G13" s="29"/>
      <c r="H13" s="29">
        <v>10</v>
      </c>
      <c r="I13" s="29"/>
      <c r="J13" s="29">
        <v>10</v>
      </c>
      <c r="K13" s="29"/>
      <c r="L13" s="29">
        <v>10</v>
      </c>
      <c r="M13" s="29"/>
      <c r="N13" s="29"/>
      <c r="O13" s="29"/>
      <c r="P13" s="418">
        <f t="shared" si="0"/>
        <v>50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0</v>
      </c>
      <c r="F14" s="29"/>
      <c r="G14" s="29"/>
      <c r="H14" s="29"/>
      <c r="I14" s="29"/>
      <c r="J14" s="29"/>
      <c r="K14" s="29"/>
      <c r="L14" s="29">
        <v>1</v>
      </c>
      <c r="M14" s="29"/>
      <c r="N14" s="29"/>
      <c r="O14" s="29"/>
      <c r="P14" s="418">
        <f t="shared" si="0"/>
        <v>1</v>
      </c>
    </row>
    <row r="15" spans="1:16" ht="15.75" thickBot="1" x14ac:dyDescent="0.3">
      <c r="A15" s="35">
        <v>1000017</v>
      </c>
      <c r="B15" s="12" t="s">
        <v>14</v>
      </c>
      <c r="C15" s="41"/>
      <c r="D15" s="47">
        <v>19.166666666666668</v>
      </c>
      <c r="F15" s="29">
        <v>20</v>
      </c>
      <c r="G15" s="29"/>
      <c r="H15" s="29">
        <v>30</v>
      </c>
      <c r="I15" s="29"/>
      <c r="J15" s="29">
        <v>20</v>
      </c>
      <c r="K15" s="29"/>
      <c r="L15" s="29">
        <v>40</v>
      </c>
      <c r="M15" s="29"/>
      <c r="N15" s="29">
        <v>20</v>
      </c>
      <c r="O15" s="29"/>
      <c r="P15" s="418">
        <f t="shared" si="0"/>
        <v>130</v>
      </c>
    </row>
    <row r="16" spans="1:16" ht="15.75" thickBot="1" x14ac:dyDescent="0.3">
      <c r="A16" s="35">
        <v>1000016</v>
      </c>
      <c r="B16" s="13" t="s">
        <v>15</v>
      </c>
      <c r="C16" s="41"/>
      <c r="D16" s="47">
        <v>5</v>
      </c>
      <c r="F16" s="29"/>
      <c r="G16" s="29"/>
      <c r="H16" s="29">
        <v>5</v>
      </c>
      <c r="I16" s="29"/>
      <c r="J16" s="29"/>
      <c r="K16" s="29"/>
      <c r="L16" s="29"/>
      <c r="M16" s="29"/>
      <c r="N16" s="29"/>
      <c r="O16" s="29"/>
      <c r="P16" s="418">
        <f t="shared" si="0"/>
        <v>5</v>
      </c>
    </row>
    <row r="17" spans="1:16" ht="15.75" thickBot="1" x14ac:dyDescent="0.3">
      <c r="A17" s="35">
        <v>1000010</v>
      </c>
      <c r="B17" s="12" t="s">
        <v>17</v>
      </c>
      <c r="C17" s="41"/>
      <c r="D17" s="47">
        <v>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>
        <f t="shared" si="0"/>
        <v>0</v>
      </c>
    </row>
    <row r="18" spans="1:16" ht="15.75" thickBot="1" x14ac:dyDescent="0.3">
      <c r="A18" s="35">
        <v>1000049</v>
      </c>
      <c r="B18" s="14" t="s">
        <v>21</v>
      </c>
      <c r="C18" s="41"/>
      <c r="D18" s="47">
        <v>0</v>
      </c>
      <c r="F18" s="29">
        <v>2</v>
      </c>
      <c r="G18" s="29"/>
      <c r="H18" s="29"/>
      <c r="I18" s="29"/>
      <c r="J18" s="29">
        <v>2</v>
      </c>
      <c r="K18" s="29"/>
      <c r="L18" s="29">
        <v>4</v>
      </c>
      <c r="M18" s="29"/>
      <c r="N18" s="29"/>
      <c r="O18" s="29"/>
      <c r="P18" s="418">
        <f t="shared" si="0"/>
        <v>8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0</v>
      </c>
      <c r="F19" s="29">
        <v>2</v>
      </c>
      <c r="G19" s="29"/>
      <c r="H19" s="29"/>
      <c r="I19" s="29"/>
      <c r="J19" s="29">
        <v>1</v>
      </c>
      <c r="K19" s="29"/>
      <c r="L19" s="29">
        <v>4</v>
      </c>
      <c r="M19" s="29"/>
      <c r="N19" s="29"/>
      <c r="O19" s="29"/>
      <c r="P19" s="418">
        <f t="shared" si="0"/>
        <v>7</v>
      </c>
    </row>
    <row r="20" spans="1:16" ht="15.75" thickBot="1" x14ac:dyDescent="0.3">
      <c r="A20" s="35">
        <v>1000030</v>
      </c>
      <c r="B20" s="12" t="s">
        <v>24</v>
      </c>
      <c r="C20" s="41"/>
      <c r="D20" s="47">
        <v>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>
        <f t="shared" si="0"/>
        <v>0</v>
      </c>
    </row>
    <row r="21" spans="1:16" ht="15.75" thickBot="1" x14ac:dyDescent="0.3">
      <c r="A21" s="35">
        <v>1000031</v>
      </c>
      <c r="B21" s="12" t="s">
        <v>25</v>
      </c>
      <c r="C21" s="41"/>
      <c r="D21" s="47">
        <v>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>
        <f t="shared" si="0"/>
        <v>0</v>
      </c>
    </row>
    <row r="22" spans="1:16" ht="15.75" thickBot="1" x14ac:dyDescent="0.3">
      <c r="A22" s="35">
        <v>1000033</v>
      </c>
      <c r="B22" s="12" t="s">
        <v>27</v>
      </c>
      <c r="C22" s="41"/>
      <c r="D22" s="47">
        <v>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>
        <f t="shared" si="0"/>
        <v>0</v>
      </c>
    </row>
    <row r="23" spans="1:16" ht="15.75" thickBot="1" x14ac:dyDescent="0.3">
      <c r="A23" s="35">
        <v>1000034</v>
      </c>
      <c r="B23" s="12" t="s">
        <v>28</v>
      </c>
      <c r="C23" s="41"/>
      <c r="D23" s="47">
        <v>1</v>
      </c>
      <c r="F23" s="29">
        <v>1</v>
      </c>
      <c r="G23" s="29"/>
      <c r="H23" s="29"/>
      <c r="I23" s="29"/>
      <c r="J23" s="29"/>
      <c r="K23" s="29"/>
      <c r="L23" s="29"/>
      <c r="M23" s="29"/>
      <c r="N23" s="29">
        <v>1</v>
      </c>
      <c r="O23" s="29"/>
      <c r="P23" s="418">
        <f t="shared" si="0"/>
        <v>2</v>
      </c>
    </row>
    <row r="24" spans="1:16" ht="15.75" thickBot="1" x14ac:dyDescent="0.3">
      <c r="A24" s="35">
        <v>1000029</v>
      </c>
      <c r="B24" s="12" t="s">
        <v>30</v>
      </c>
      <c r="C24" s="41"/>
      <c r="D24" s="47">
        <v>0</v>
      </c>
      <c r="F24" s="29">
        <v>1</v>
      </c>
      <c r="G24" s="29"/>
      <c r="H24" s="29">
        <v>1</v>
      </c>
      <c r="I24" s="29"/>
      <c r="J24" s="29"/>
      <c r="K24" s="29"/>
      <c r="L24" s="29"/>
      <c r="M24" s="29"/>
      <c r="N24" s="29"/>
      <c r="O24" s="29"/>
      <c r="P24" s="418">
        <f t="shared" si="0"/>
        <v>2</v>
      </c>
    </row>
    <row r="25" spans="1:16" ht="15.75" thickBot="1" x14ac:dyDescent="0.3">
      <c r="A25" s="35">
        <v>1000027</v>
      </c>
      <c r="B25" s="12" t="s">
        <v>33</v>
      </c>
      <c r="C25" s="41"/>
      <c r="D25" s="47">
        <v>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>
        <f t="shared" si="0"/>
        <v>0</v>
      </c>
    </row>
    <row r="26" spans="1:16" ht="15.75" thickBot="1" x14ac:dyDescent="0.3">
      <c r="A26" s="35">
        <v>1000100</v>
      </c>
      <c r="B26" s="12" t="s">
        <v>34</v>
      </c>
      <c r="C26" s="41"/>
      <c r="D26" s="47">
        <v>0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>
        <f t="shared" si="0"/>
        <v>0</v>
      </c>
    </row>
    <row r="27" spans="1:16" ht="15.75" thickBot="1" x14ac:dyDescent="0.3">
      <c r="A27" s="35">
        <v>1000101</v>
      </c>
      <c r="B27" s="12" t="s">
        <v>35</v>
      </c>
      <c r="C27" s="41"/>
      <c r="D27" s="47">
        <v>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>
        <f t="shared" si="0"/>
        <v>0</v>
      </c>
    </row>
    <row r="28" spans="1:16" ht="15.75" thickBot="1" x14ac:dyDescent="0.3">
      <c r="A28" s="35">
        <v>10248</v>
      </c>
      <c r="B28" s="12" t="s">
        <v>183</v>
      </c>
      <c r="C28" s="41"/>
      <c r="D28" s="47">
        <v>0</v>
      </c>
      <c r="F28" s="29">
        <v>9</v>
      </c>
      <c r="G28" s="29"/>
      <c r="H28" s="29">
        <v>9</v>
      </c>
      <c r="I28" s="29"/>
      <c r="J28" s="29">
        <v>9</v>
      </c>
      <c r="K28" s="29"/>
      <c r="L28" s="29">
        <v>9</v>
      </c>
      <c r="M28" s="29"/>
      <c r="N28" s="29">
        <v>9</v>
      </c>
      <c r="O28" s="29"/>
      <c r="P28" s="418">
        <f t="shared" si="0"/>
        <v>45</v>
      </c>
    </row>
    <row r="29" spans="1:16" ht="15.75" thickBot="1" x14ac:dyDescent="0.3">
      <c r="A29" s="35">
        <v>1000090</v>
      </c>
      <c r="B29" s="12" t="s">
        <v>40</v>
      </c>
      <c r="C29" s="41"/>
      <c r="D29" s="47">
        <v>2</v>
      </c>
      <c r="F29" s="29">
        <v>6</v>
      </c>
      <c r="G29" s="29"/>
      <c r="H29" s="29">
        <v>6</v>
      </c>
      <c r="I29" s="29"/>
      <c r="J29" s="29"/>
      <c r="K29" s="29"/>
      <c r="L29" s="29">
        <v>6</v>
      </c>
      <c r="M29" s="29"/>
      <c r="N29" s="29"/>
      <c r="O29" s="29"/>
      <c r="P29" s="418">
        <f t="shared" si="0"/>
        <v>18</v>
      </c>
    </row>
    <row r="30" spans="1:16" ht="15.75" thickBot="1" x14ac:dyDescent="0.3">
      <c r="A30" s="35">
        <v>1000052</v>
      </c>
      <c r="B30" s="12" t="s">
        <v>41</v>
      </c>
      <c r="C30" s="41"/>
      <c r="D30" s="47">
        <v>2</v>
      </c>
      <c r="F30" s="29"/>
      <c r="G30" s="29"/>
      <c r="H30" s="29">
        <v>3</v>
      </c>
      <c r="I30" s="29"/>
      <c r="J30" s="29">
        <v>3</v>
      </c>
      <c r="K30" s="29"/>
      <c r="L30" s="29">
        <v>4</v>
      </c>
      <c r="M30" s="29"/>
      <c r="N30" s="29"/>
      <c r="O30" s="29"/>
      <c r="P30" s="418">
        <f t="shared" si="0"/>
        <v>10</v>
      </c>
    </row>
    <row r="31" spans="1:16" ht="15.75" thickBot="1" x14ac:dyDescent="0.3">
      <c r="A31" s="35">
        <v>1000089</v>
      </c>
      <c r="B31" s="12" t="s">
        <v>42</v>
      </c>
      <c r="C31" s="41"/>
      <c r="D31" s="47">
        <v>2</v>
      </c>
      <c r="F31" s="29">
        <v>3</v>
      </c>
      <c r="G31" s="29"/>
      <c r="H31" s="29">
        <v>3</v>
      </c>
      <c r="I31" s="29"/>
      <c r="J31" s="29">
        <v>4</v>
      </c>
      <c r="K31" s="29"/>
      <c r="L31" s="29">
        <v>4</v>
      </c>
      <c r="M31" s="29"/>
      <c r="N31" s="29">
        <v>2</v>
      </c>
      <c r="O31" s="29"/>
      <c r="P31" s="418">
        <f t="shared" si="0"/>
        <v>16</v>
      </c>
    </row>
    <row r="32" spans="1:16" ht="15.75" thickBot="1" x14ac:dyDescent="0.3">
      <c r="A32" s="35">
        <v>1000051</v>
      </c>
      <c r="B32" s="12" t="s">
        <v>43</v>
      </c>
      <c r="C32" s="41"/>
      <c r="D32" s="47">
        <v>1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>
        <f t="shared" si="0"/>
        <v>0</v>
      </c>
    </row>
    <row r="33" spans="1:16" ht="15.75" thickBot="1" x14ac:dyDescent="0.3">
      <c r="A33" s="35">
        <v>1000048</v>
      </c>
      <c r="B33" s="12" t="s">
        <v>45</v>
      </c>
      <c r="C33" s="41"/>
      <c r="D33" s="47">
        <v>0</v>
      </c>
      <c r="F33" s="29"/>
      <c r="G33" s="29"/>
      <c r="H33" s="29"/>
      <c r="I33" s="29"/>
      <c r="J33" s="29"/>
      <c r="K33" s="29"/>
      <c r="L33" s="29">
        <v>2</v>
      </c>
      <c r="M33" s="29"/>
      <c r="N33" s="29"/>
      <c r="O33" s="29"/>
      <c r="P33" s="418">
        <f t="shared" si="0"/>
        <v>2</v>
      </c>
    </row>
    <row r="34" spans="1:16" ht="15.75" thickBot="1" x14ac:dyDescent="0.3">
      <c r="A34" s="35">
        <v>1000076</v>
      </c>
      <c r="B34" s="12" t="s">
        <v>46</v>
      </c>
      <c r="C34" s="41"/>
      <c r="D34" s="47">
        <v>0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>
        <f t="shared" si="0"/>
        <v>0</v>
      </c>
    </row>
    <row r="35" spans="1:16" ht="15.75" thickBot="1" x14ac:dyDescent="0.3">
      <c r="A35" s="35">
        <v>1000142</v>
      </c>
      <c r="B35" s="12" t="s">
        <v>54</v>
      </c>
      <c r="C35" s="41"/>
      <c r="D35" s="47">
        <v>1</v>
      </c>
      <c r="F35" s="29"/>
      <c r="G35" s="29"/>
      <c r="H35" s="29"/>
      <c r="I35" s="29"/>
      <c r="J35" s="29"/>
      <c r="K35" s="29"/>
      <c r="L35" s="29">
        <v>1</v>
      </c>
      <c r="M35" s="29"/>
      <c r="N35" s="29">
        <v>1</v>
      </c>
      <c r="O35" s="29"/>
      <c r="P35" s="418">
        <f t="shared" si="0"/>
        <v>2</v>
      </c>
    </row>
    <row r="36" spans="1:16" ht="15.75" thickBot="1" x14ac:dyDescent="0.3">
      <c r="A36" s="35">
        <v>1000412</v>
      </c>
      <c r="B36" s="12" t="s">
        <v>195</v>
      </c>
      <c r="C36" s="41"/>
      <c r="D36" s="47">
        <v>0</v>
      </c>
      <c r="F36" s="29"/>
      <c r="G36" s="29"/>
      <c r="H36" s="29"/>
      <c r="I36" s="29"/>
      <c r="J36" s="29"/>
      <c r="K36" s="29"/>
      <c r="L36" s="29">
        <v>3</v>
      </c>
      <c r="M36" s="29"/>
      <c r="N36" s="29"/>
      <c r="O36" s="29"/>
      <c r="P36" s="418">
        <f t="shared" si="0"/>
        <v>3</v>
      </c>
    </row>
    <row r="37" spans="1:16" ht="15.75" thickBot="1" x14ac:dyDescent="0.3">
      <c r="A37" s="35">
        <v>1000057</v>
      </c>
      <c r="B37" s="12" t="s">
        <v>70</v>
      </c>
      <c r="C37" s="41"/>
      <c r="D37" s="47">
        <v>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0">
        <f t="shared" si="0"/>
        <v>0</v>
      </c>
    </row>
    <row r="38" spans="1:16" ht="15.75" thickBot="1" x14ac:dyDescent="0.3">
      <c r="A38" s="35">
        <v>1000142</v>
      </c>
      <c r="B38" s="12" t="s">
        <v>54</v>
      </c>
      <c r="C38" s="41"/>
      <c r="D38" s="4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0">
        <f t="shared" si="0"/>
        <v>0</v>
      </c>
    </row>
    <row r="39" spans="1:16" ht="15.75" thickBot="1" x14ac:dyDescent="0.3">
      <c r="A39" s="35">
        <v>1000147</v>
      </c>
      <c r="B39" s="12" t="s">
        <v>52</v>
      </c>
      <c r="C39" s="41"/>
      <c r="D39" s="4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30">
        <f t="shared" si="0"/>
        <v>0</v>
      </c>
    </row>
    <row r="40" spans="1:16" ht="15.75" thickBot="1" x14ac:dyDescent="0.3">
      <c r="A40" s="35">
        <v>1000084</v>
      </c>
      <c r="B40" s="12" t="s">
        <v>38</v>
      </c>
      <c r="C40" s="41"/>
      <c r="D40" s="47"/>
      <c r="F40" s="29">
        <v>20</v>
      </c>
      <c r="G40" s="29"/>
      <c r="H40" s="29">
        <v>24</v>
      </c>
      <c r="I40" s="29"/>
      <c r="J40" s="29">
        <v>20</v>
      </c>
      <c r="K40" s="29"/>
      <c r="L40" s="29">
        <v>40</v>
      </c>
      <c r="M40" s="29"/>
      <c r="N40" s="29">
        <v>20</v>
      </c>
      <c r="O40" s="29"/>
      <c r="P40" s="418">
        <f t="shared" si="0"/>
        <v>124</v>
      </c>
    </row>
    <row r="41" spans="1:16" ht="15.75" thickBot="1" x14ac:dyDescent="0.3">
      <c r="A41" s="35">
        <v>1000082</v>
      </c>
      <c r="B41" s="12" t="s">
        <v>37</v>
      </c>
      <c r="C41" s="41"/>
      <c r="D41" s="47"/>
      <c r="F41" s="29">
        <v>24</v>
      </c>
      <c r="G41" s="29"/>
      <c r="H41" s="29"/>
      <c r="I41" s="29"/>
      <c r="J41" s="29">
        <v>24</v>
      </c>
      <c r="K41" s="29"/>
      <c r="L41" s="29">
        <v>40</v>
      </c>
      <c r="M41" s="29"/>
      <c r="N41" s="29"/>
      <c r="O41" s="29"/>
      <c r="P41" s="418">
        <f t="shared" si="0"/>
        <v>88</v>
      </c>
    </row>
    <row r="42" spans="1:16" ht="15.75" thickBot="1" x14ac:dyDescent="0.3">
      <c r="A42" s="35">
        <v>1000025</v>
      </c>
      <c r="B42" s="12" t="s">
        <v>32</v>
      </c>
      <c r="C42" s="41"/>
      <c r="D42" s="47"/>
      <c r="F42" s="29"/>
      <c r="G42" s="29"/>
      <c r="H42" s="29"/>
      <c r="I42" s="29"/>
      <c r="J42" s="29"/>
      <c r="K42" s="29"/>
      <c r="L42" s="29">
        <v>5</v>
      </c>
      <c r="M42" s="29"/>
      <c r="N42" s="29"/>
      <c r="O42" s="29"/>
      <c r="P42" s="418">
        <f t="shared" si="0"/>
        <v>5</v>
      </c>
    </row>
    <row r="43" spans="1:16" ht="15.75" thickBot="1" x14ac:dyDescent="0.3">
      <c r="A43" s="35">
        <v>1000085</v>
      </c>
      <c r="B43" s="12" t="s">
        <v>50</v>
      </c>
      <c r="C43" s="41"/>
      <c r="D43" s="47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>
        <f t="shared" si="0"/>
        <v>0</v>
      </c>
    </row>
    <row r="44" spans="1:16" ht="15.75" thickBot="1" x14ac:dyDescent="0.3">
      <c r="A44" s="35">
        <v>1000146</v>
      </c>
      <c r="B44" s="12" t="s">
        <v>39</v>
      </c>
      <c r="C44" s="41"/>
      <c r="D44" s="47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0">
        <f t="shared" si="0"/>
        <v>0</v>
      </c>
    </row>
    <row r="45" spans="1:16" ht="15.75" thickBot="1" x14ac:dyDescent="0.3">
      <c r="A45" s="35">
        <v>1000075</v>
      </c>
      <c r="B45" s="12" t="s">
        <v>47</v>
      </c>
      <c r="C45" s="41"/>
      <c r="D45" s="4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>
        <f t="shared" si="0"/>
        <v>0</v>
      </c>
    </row>
    <row r="46" spans="1:16" ht="15.75" thickBot="1" x14ac:dyDescent="0.3">
      <c r="A46" s="35">
        <v>1000092</v>
      </c>
      <c r="B46" s="12" t="s">
        <v>51</v>
      </c>
      <c r="C46" s="41"/>
      <c r="D46" s="47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0">
        <f t="shared" si="0"/>
        <v>0</v>
      </c>
    </row>
    <row r="47" spans="1:16" ht="15.75" thickBot="1" x14ac:dyDescent="0.3">
      <c r="A47" s="35">
        <v>1000214</v>
      </c>
      <c r="B47" s="12" t="s">
        <v>49</v>
      </c>
      <c r="C47" s="41"/>
      <c r="D47" s="4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0">
        <f t="shared" si="0"/>
        <v>0</v>
      </c>
    </row>
    <row r="48" spans="1:16" ht="15.75" thickBot="1" x14ac:dyDescent="0.3">
      <c r="A48" s="35">
        <v>1000045</v>
      </c>
      <c r="B48" s="12" t="s">
        <v>23</v>
      </c>
      <c r="C48" s="41"/>
      <c r="D48" s="47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0">
        <f t="shared" si="0"/>
        <v>0</v>
      </c>
    </row>
    <row r="49" spans="1:16" ht="15.75" thickBot="1" x14ac:dyDescent="0.3">
      <c r="A49" s="35">
        <v>1000104</v>
      </c>
      <c r="B49" s="12" t="s">
        <v>63</v>
      </c>
      <c r="C49" s="41"/>
      <c r="D49" s="47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0">
        <f t="shared" si="0"/>
        <v>0</v>
      </c>
    </row>
    <row r="50" spans="1:16" ht="15.75" thickBot="1" x14ac:dyDescent="0.3">
      <c r="A50" s="35">
        <v>1000008</v>
      </c>
      <c r="B50" s="12" t="s">
        <v>57</v>
      </c>
      <c r="C50" s="41"/>
      <c r="D50" s="47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0">
        <f t="shared" si="0"/>
        <v>0</v>
      </c>
    </row>
    <row r="51" spans="1:16" ht="15.75" thickBot="1" x14ac:dyDescent="0.3">
      <c r="A51" s="35">
        <v>1000007</v>
      </c>
      <c r="B51" s="12" t="s">
        <v>7</v>
      </c>
      <c r="C51" s="41"/>
      <c r="D51" s="47"/>
      <c r="F51" s="29"/>
      <c r="G51" s="29"/>
      <c r="H51" s="29">
        <v>50</v>
      </c>
      <c r="I51" s="29"/>
      <c r="J51" s="29"/>
      <c r="K51" s="29"/>
      <c r="L51" s="29"/>
      <c r="M51" s="29"/>
      <c r="N51" s="29"/>
      <c r="O51" s="29"/>
      <c r="P51" s="418">
        <f t="shared" si="0"/>
        <v>50</v>
      </c>
    </row>
    <row r="52" spans="1:16" ht="15.75" thickBot="1" x14ac:dyDescent="0.3">
      <c r="A52" s="35">
        <v>1000436</v>
      </c>
      <c r="B52" s="12" t="s">
        <v>276</v>
      </c>
      <c r="C52" s="41"/>
      <c r="D52" s="47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0">
        <f t="shared" si="0"/>
        <v>0</v>
      </c>
    </row>
    <row r="53" spans="1:16" ht="15.75" thickBot="1" x14ac:dyDescent="0.3">
      <c r="A53" s="35">
        <v>1000550</v>
      </c>
      <c r="B53" s="12" t="s">
        <v>277</v>
      </c>
      <c r="C53" s="41"/>
      <c r="D53" s="47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0">
        <f t="shared" si="0"/>
        <v>0</v>
      </c>
    </row>
    <row r="54" spans="1:16" ht="15.75" thickBot="1" x14ac:dyDescent="0.3">
      <c r="A54" s="35">
        <v>1000551</v>
      </c>
      <c r="B54" s="12" t="s">
        <v>278</v>
      </c>
      <c r="C54" s="41"/>
      <c r="D54" s="47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0">
        <f t="shared" si="0"/>
        <v>0</v>
      </c>
    </row>
    <row r="55" spans="1:16" ht="15.75" thickBot="1" x14ac:dyDescent="0.3">
      <c r="A55" s="35">
        <v>1000552</v>
      </c>
      <c r="B55" s="12" t="s">
        <v>279</v>
      </c>
      <c r="C55" s="41"/>
      <c r="D55" s="47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0">
        <f t="shared" si="0"/>
        <v>0</v>
      </c>
    </row>
    <row r="56" spans="1:16" s="200" customFormat="1" ht="15.75" thickBot="1" x14ac:dyDescent="0.3">
      <c r="A56" s="38">
        <v>1000080</v>
      </c>
      <c r="B56" s="17" t="s">
        <v>275</v>
      </c>
      <c r="C56" s="41"/>
      <c r="D56" s="46"/>
      <c r="E56" s="27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0">
        <f t="shared" si="0"/>
        <v>0</v>
      </c>
    </row>
    <row r="57" spans="1:16" ht="15.75" thickBot="1" x14ac:dyDescent="0.3">
      <c r="A57" s="35"/>
      <c r="B57" s="22" t="s">
        <v>488</v>
      </c>
      <c r="D57" s="46"/>
      <c r="F57" s="29">
        <v>1</v>
      </c>
      <c r="G57" s="29"/>
      <c r="H57" s="29"/>
      <c r="I57" s="29"/>
      <c r="J57" s="29">
        <v>1</v>
      </c>
      <c r="K57" s="29"/>
      <c r="L57" s="29"/>
      <c r="M57" s="29"/>
      <c r="N57" s="29"/>
      <c r="O57" s="29"/>
      <c r="P57" s="418">
        <f t="shared" si="0"/>
        <v>2</v>
      </c>
    </row>
    <row r="58" spans="1:16" ht="15.75" thickBot="1" x14ac:dyDescent="0.3">
      <c r="A58" s="35">
        <v>1000439</v>
      </c>
      <c r="B58" s="12" t="s">
        <v>193</v>
      </c>
      <c r="D58" s="46"/>
      <c r="F58" s="29">
        <v>2</v>
      </c>
      <c r="G58" s="29"/>
      <c r="H58" s="29">
        <v>3</v>
      </c>
      <c r="I58" s="29"/>
      <c r="J58" s="29">
        <v>3</v>
      </c>
      <c r="K58" s="29"/>
      <c r="L58" s="29"/>
      <c r="M58" s="29"/>
      <c r="N58" s="29">
        <v>3</v>
      </c>
      <c r="O58" s="29"/>
      <c r="P58" s="418">
        <f t="shared" si="0"/>
        <v>11</v>
      </c>
    </row>
    <row r="59" spans="1:16" ht="15.75" thickBot="1" x14ac:dyDescent="0.3">
      <c r="A59" s="35">
        <v>10211</v>
      </c>
      <c r="B59" s="22" t="s">
        <v>3</v>
      </c>
      <c r="D59" s="46"/>
      <c r="F59" s="29">
        <v>100</v>
      </c>
      <c r="G59" s="29"/>
      <c r="H59" s="29">
        <v>150</v>
      </c>
      <c r="I59" s="29"/>
      <c r="J59" s="29"/>
      <c r="K59" s="29"/>
      <c r="L59" s="29"/>
      <c r="M59" s="29"/>
      <c r="N59" s="29"/>
      <c r="O59" s="29"/>
      <c r="P59" s="418">
        <f t="shared" si="0"/>
        <v>250</v>
      </c>
    </row>
    <row r="60" spans="1:16" ht="15.75" thickBot="1" x14ac:dyDescent="0.3">
      <c r="A60" s="35">
        <v>1000440</v>
      </c>
      <c r="B60" s="14" t="s">
        <v>489</v>
      </c>
      <c r="D60" s="46"/>
      <c r="F60" s="29">
        <v>1</v>
      </c>
      <c r="G60" s="29"/>
      <c r="H60" s="29"/>
      <c r="I60" s="29"/>
      <c r="J60" s="29"/>
      <c r="K60" s="29"/>
      <c r="L60" s="29"/>
      <c r="M60" s="29"/>
      <c r="N60" s="29"/>
      <c r="O60" s="29"/>
      <c r="P60" s="418">
        <f t="shared" si="0"/>
        <v>1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8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919B-F7B2-417D-B8D7-A0D57EFFA83C}">
  <sheetPr>
    <tabColor theme="7" tint="-0.249977111117893"/>
    <pageSetUpPr fitToPage="1"/>
  </sheetPr>
  <dimension ref="A1:P49"/>
  <sheetViews>
    <sheetView topLeftCell="A7" zoomScale="70" zoomScaleNormal="70" workbookViewId="0">
      <selection activeCell="R14" sqref="R14:R15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62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7" style="27" customWidth="1"/>
    <col min="8" max="8" width="9.125" style="27" bestFit="1" customWidth="1"/>
    <col min="9" max="9" width="7.5" style="27" customWidth="1"/>
    <col min="10" max="10" width="9.125" style="27" bestFit="1" customWidth="1"/>
    <col min="11" max="11" width="6.125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5.375" style="27" customWidth="1"/>
    <col min="16" max="16384" width="10.875" style="27"/>
  </cols>
  <sheetData>
    <row r="1" spans="1:16" ht="15" customHeight="1" x14ac:dyDescent="0.45">
      <c r="A1" s="686" t="s">
        <v>125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379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5" t="s">
        <v>394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10000102</v>
      </c>
      <c r="B5" s="11" t="s">
        <v>2</v>
      </c>
      <c r="C5" s="41"/>
      <c r="D5" s="42"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8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3">
        <v>60</v>
      </c>
      <c r="F6" s="28"/>
      <c r="G6" s="28"/>
      <c r="H6" s="28">
        <v>50</v>
      </c>
      <c r="I6" s="28"/>
      <c r="J6" s="28"/>
      <c r="K6" s="28"/>
      <c r="L6" s="28">
        <v>50</v>
      </c>
      <c r="M6" s="28"/>
      <c r="N6" s="28"/>
      <c r="O6" s="28"/>
      <c r="P6" s="418">
        <f t="shared" si="0"/>
        <v>100</v>
      </c>
    </row>
    <row r="7" spans="1:16" ht="15.75" thickBot="1" x14ac:dyDescent="0.3">
      <c r="A7" s="35">
        <v>1000007</v>
      </c>
      <c r="B7" s="12" t="s">
        <v>5</v>
      </c>
      <c r="C7" s="41"/>
      <c r="D7" s="43">
        <v>10</v>
      </c>
      <c r="F7" s="28"/>
      <c r="G7" s="28"/>
      <c r="H7" s="28">
        <v>50</v>
      </c>
      <c r="I7" s="28"/>
      <c r="J7" s="28"/>
      <c r="K7" s="28"/>
      <c r="L7" s="28">
        <v>50</v>
      </c>
      <c r="M7" s="28"/>
      <c r="N7" s="28"/>
      <c r="O7" s="28"/>
      <c r="P7" s="418">
        <f t="shared" si="0"/>
        <v>100</v>
      </c>
    </row>
    <row r="8" spans="1:16" ht="15.75" thickBot="1" x14ac:dyDescent="0.3">
      <c r="A8" s="35">
        <v>1000001</v>
      </c>
      <c r="B8" s="12" t="s">
        <v>8</v>
      </c>
      <c r="C8" s="41"/>
      <c r="D8" s="43">
        <v>3</v>
      </c>
      <c r="F8" s="28"/>
      <c r="G8" s="28"/>
      <c r="H8" s="28">
        <v>3</v>
      </c>
      <c r="I8" s="28"/>
      <c r="J8" s="28"/>
      <c r="K8" s="28"/>
      <c r="L8" s="28">
        <v>3</v>
      </c>
      <c r="M8" s="28"/>
      <c r="N8" s="28"/>
      <c r="O8" s="28"/>
      <c r="P8" s="418">
        <f t="shared" si="0"/>
        <v>6</v>
      </c>
    </row>
    <row r="9" spans="1:16" ht="15.75" thickBot="1" x14ac:dyDescent="0.3">
      <c r="A9" s="35">
        <v>1000002</v>
      </c>
      <c r="B9" s="12" t="s">
        <v>9</v>
      </c>
      <c r="C9" s="41"/>
      <c r="D9" s="43">
        <v>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1000004</v>
      </c>
      <c r="B10" s="12" t="s">
        <v>10</v>
      </c>
      <c r="C10" s="41"/>
      <c r="D10" s="43">
        <v>1</v>
      </c>
      <c r="F10" s="28"/>
      <c r="G10" s="28"/>
      <c r="H10" s="28">
        <v>2</v>
      </c>
      <c r="I10" s="28"/>
      <c r="J10" s="28"/>
      <c r="K10" s="28"/>
      <c r="L10" s="28">
        <v>2</v>
      </c>
      <c r="M10" s="28"/>
      <c r="N10" s="28"/>
      <c r="O10" s="28"/>
      <c r="P10" s="418">
        <f t="shared" si="0"/>
        <v>4</v>
      </c>
    </row>
    <row r="11" spans="1:16" ht="15.75" thickBot="1" x14ac:dyDescent="0.3">
      <c r="A11" s="35">
        <v>1000067</v>
      </c>
      <c r="B11" s="12" t="s">
        <v>11</v>
      </c>
      <c r="C11" s="41"/>
      <c r="D11" s="43">
        <v>0</v>
      </c>
      <c r="F11" s="28"/>
      <c r="G11" s="28"/>
      <c r="H11" s="28">
        <v>1</v>
      </c>
      <c r="I11" s="28"/>
      <c r="J11" s="28"/>
      <c r="K11" s="28"/>
      <c r="L11" s="28"/>
      <c r="M11" s="28"/>
      <c r="N11" s="28"/>
      <c r="O11" s="28"/>
      <c r="P11" s="418">
        <f t="shared" si="0"/>
        <v>1</v>
      </c>
    </row>
    <row r="12" spans="1:16" ht="15.75" thickBot="1" x14ac:dyDescent="0.3">
      <c r="A12" s="35">
        <v>1000054</v>
      </c>
      <c r="B12" s="12" t="s">
        <v>12</v>
      </c>
      <c r="C12" s="41"/>
      <c r="D12" s="43">
        <v>10</v>
      </c>
      <c r="F12" s="28"/>
      <c r="G12" s="28"/>
      <c r="H12" s="28">
        <v>5</v>
      </c>
      <c r="I12" s="28"/>
      <c r="J12" s="28"/>
      <c r="K12" s="28"/>
      <c r="L12" s="28">
        <v>5</v>
      </c>
      <c r="M12" s="28"/>
      <c r="N12" s="28"/>
      <c r="O12" s="28"/>
      <c r="P12" s="418">
        <f t="shared" si="0"/>
        <v>10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10</v>
      </c>
      <c r="F13" s="28"/>
      <c r="G13" s="28"/>
      <c r="H13" s="28">
        <v>5</v>
      </c>
      <c r="I13" s="28"/>
      <c r="J13" s="28"/>
      <c r="K13" s="28"/>
      <c r="L13" s="28">
        <v>5</v>
      </c>
      <c r="M13" s="28"/>
      <c r="N13" s="28"/>
      <c r="O13" s="28"/>
      <c r="P13" s="418">
        <f t="shared" si="0"/>
        <v>10</v>
      </c>
    </row>
    <row r="14" spans="1:16" ht="15.75" thickBot="1" x14ac:dyDescent="0.3">
      <c r="A14" s="35">
        <v>1000016</v>
      </c>
      <c r="B14" s="12" t="s">
        <v>15</v>
      </c>
      <c r="C14" s="41"/>
      <c r="D14" s="43">
        <v>2</v>
      </c>
      <c r="F14" s="28"/>
      <c r="G14" s="28"/>
      <c r="H14" s="28">
        <v>5</v>
      </c>
      <c r="I14" s="28"/>
      <c r="J14" s="28"/>
      <c r="K14" s="28"/>
      <c r="L14" s="28"/>
      <c r="M14" s="28"/>
      <c r="N14" s="28"/>
      <c r="O14" s="28"/>
      <c r="P14" s="30">
        <f t="shared" si="0"/>
        <v>5</v>
      </c>
    </row>
    <row r="15" spans="1:16" ht="15.75" thickBot="1" x14ac:dyDescent="0.3">
      <c r="A15" s="35">
        <v>1000050</v>
      </c>
      <c r="B15" s="12" t="s">
        <v>22</v>
      </c>
      <c r="C15" s="41"/>
      <c r="D15" s="43">
        <v>0</v>
      </c>
      <c r="F15" s="28"/>
      <c r="G15" s="28"/>
      <c r="H15" s="28">
        <v>2</v>
      </c>
      <c r="I15" s="28"/>
      <c r="J15" s="28"/>
      <c r="K15" s="28"/>
      <c r="L15" s="28"/>
      <c r="M15" s="28"/>
      <c r="N15" s="28"/>
      <c r="O15" s="28"/>
      <c r="P15" s="418">
        <f t="shared" si="0"/>
        <v>2</v>
      </c>
    </row>
    <row r="16" spans="1:16" ht="15.75" thickBot="1" x14ac:dyDescent="0.3">
      <c r="A16" s="35">
        <v>1000031</v>
      </c>
      <c r="B16" s="12" t="s">
        <v>25</v>
      </c>
      <c r="C16" s="41"/>
      <c r="D16" s="43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1000025</v>
      </c>
      <c r="B17" s="12" t="s">
        <v>32</v>
      </c>
      <c r="C17" s="41"/>
      <c r="D17" s="43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1000100</v>
      </c>
      <c r="B18" s="12" t="s">
        <v>34</v>
      </c>
      <c r="C18" s="41"/>
      <c r="D18" s="43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1000084</v>
      </c>
      <c r="B19" s="12" t="s">
        <v>38</v>
      </c>
      <c r="C19" s="41"/>
      <c r="D19" s="43">
        <v>9</v>
      </c>
      <c r="F19" s="28"/>
      <c r="G19" s="28"/>
      <c r="H19" s="28">
        <v>12</v>
      </c>
      <c r="I19" s="28"/>
      <c r="J19" s="28"/>
      <c r="K19" s="28"/>
      <c r="L19" s="28">
        <v>12</v>
      </c>
      <c r="M19" s="28"/>
      <c r="N19" s="28"/>
      <c r="O19" s="28"/>
      <c r="P19" s="418">
        <f t="shared" si="0"/>
        <v>24</v>
      </c>
    </row>
    <row r="20" spans="1:16" ht="15.75" thickBot="1" x14ac:dyDescent="0.3">
      <c r="A20" s="35">
        <v>1000146</v>
      </c>
      <c r="B20" s="12" t="s">
        <v>39</v>
      </c>
      <c r="C20" s="41"/>
      <c r="D20" s="43">
        <v>12</v>
      </c>
      <c r="F20" s="28"/>
      <c r="G20" s="28"/>
      <c r="H20" s="28"/>
      <c r="I20" s="28"/>
      <c r="J20" s="28"/>
      <c r="K20" s="28"/>
      <c r="L20" s="28">
        <v>10</v>
      </c>
      <c r="M20" s="28"/>
      <c r="N20" s="28"/>
      <c r="O20" s="28"/>
      <c r="P20" s="418">
        <f t="shared" si="0"/>
        <v>10</v>
      </c>
    </row>
    <row r="21" spans="1:16" ht="15.75" thickBot="1" x14ac:dyDescent="0.3">
      <c r="A21" s="35">
        <v>10248</v>
      </c>
      <c r="B21" s="12" t="s">
        <v>183</v>
      </c>
      <c r="C21" s="41"/>
      <c r="D21" s="43">
        <v>0</v>
      </c>
      <c r="F21" s="28"/>
      <c r="G21" s="28"/>
      <c r="H21" s="28">
        <v>6</v>
      </c>
      <c r="I21" s="28"/>
      <c r="J21" s="28"/>
      <c r="K21" s="28"/>
      <c r="L21" s="28"/>
      <c r="M21" s="28"/>
      <c r="N21" s="28"/>
      <c r="O21" s="28"/>
      <c r="P21" s="418">
        <f t="shared" si="0"/>
        <v>6</v>
      </c>
    </row>
    <row r="22" spans="1:16" ht="15.75" thickBot="1" x14ac:dyDescent="0.3">
      <c r="A22" s="35">
        <v>1000052</v>
      </c>
      <c r="B22" s="12" t="s">
        <v>41</v>
      </c>
      <c r="C22" s="41"/>
      <c r="D22" s="43">
        <v>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1000089</v>
      </c>
      <c r="B23" s="12" t="s">
        <v>42</v>
      </c>
      <c r="C23" s="41"/>
      <c r="D23" s="43">
        <v>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1000051</v>
      </c>
      <c r="B24" s="12" t="s">
        <v>43</v>
      </c>
      <c r="C24" s="41"/>
      <c r="D24" s="43">
        <v>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1000048</v>
      </c>
      <c r="B25" s="12" t="s">
        <v>45</v>
      </c>
      <c r="C25" s="41"/>
      <c r="D25" s="43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1000076</v>
      </c>
      <c r="B26" s="12" t="s">
        <v>46</v>
      </c>
      <c r="C26" s="41"/>
      <c r="D26" s="43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1000142</v>
      </c>
      <c r="B27" s="12" t="s">
        <v>54</v>
      </c>
      <c r="C27" s="41"/>
      <c r="D27" s="43">
        <v>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1000049</v>
      </c>
      <c r="B28" s="12" t="s">
        <v>21</v>
      </c>
      <c r="C28" s="41"/>
      <c r="D28" s="43">
        <v>0</v>
      </c>
      <c r="F28" s="28"/>
      <c r="G28" s="28"/>
      <c r="H28" s="28">
        <v>3</v>
      </c>
      <c r="I28" s="28"/>
      <c r="J28" s="28"/>
      <c r="K28" s="28"/>
      <c r="L28" s="28"/>
      <c r="M28" s="28"/>
      <c r="N28" s="28"/>
      <c r="O28" s="28"/>
      <c r="P28" s="418">
        <f t="shared" si="0"/>
        <v>3</v>
      </c>
    </row>
    <row r="29" spans="1:16" ht="15.75" thickBot="1" x14ac:dyDescent="0.3">
      <c r="A29" s="35">
        <v>1000147</v>
      </c>
      <c r="B29" s="12" t="s">
        <v>52</v>
      </c>
      <c r="C29" s="41"/>
      <c r="D29" s="4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s="15" customFormat="1" ht="15.95" customHeight="1" thickBot="1" x14ac:dyDescent="0.3">
      <c r="A30" s="35">
        <v>1000070</v>
      </c>
      <c r="B30" s="12" t="s">
        <v>13</v>
      </c>
      <c r="C30" s="41"/>
      <c r="D30" s="43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1000027</v>
      </c>
      <c r="B31" s="12" t="s">
        <v>33</v>
      </c>
      <c r="C31" s="41"/>
      <c r="D31" s="4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1000030</v>
      </c>
      <c r="B32" s="12" t="s">
        <v>24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1000029</v>
      </c>
      <c r="B33" s="12" t="s">
        <v>30</v>
      </c>
      <c r="C33" s="41"/>
      <c r="D33" s="4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1000033</v>
      </c>
      <c r="B34" s="12" t="s">
        <v>27</v>
      </c>
      <c r="C34" s="41"/>
      <c r="D34" s="43"/>
      <c r="F34" s="28"/>
      <c r="G34" s="28"/>
      <c r="H34" s="28"/>
      <c r="I34" s="28"/>
      <c r="J34" s="28"/>
      <c r="K34" s="28"/>
      <c r="L34" s="28">
        <v>2</v>
      </c>
      <c r="M34" s="28"/>
      <c r="N34" s="28"/>
      <c r="O34" s="28"/>
      <c r="P34" s="418">
        <f t="shared" si="0"/>
        <v>2</v>
      </c>
    </row>
    <row r="35" spans="1:16" ht="15.75" thickBot="1" x14ac:dyDescent="0.3">
      <c r="A35" s="35">
        <v>1000092</v>
      </c>
      <c r="B35" s="12" t="s">
        <v>51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1000214</v>
      </c>
      <c r="B36" s="12" t="s">
        <v>49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1000008</v>
      </c>
      <c r="B37" s="12" t="s">
        <v>7</v>
      </c>
      <c r="C37" s="41"/>
      <c r="D37" s="43"/>
      <c r="F37" s="28"/>
      <c r="G37" s="28"/>
      <c r="H37" s="28">
        <v>50</v>
      </c>
      <c r="I37" s="28"/>
      <c r="J37" s="28"/>
      <c r="K37" s="28"/>
      <c r="L37" s="28">
        <v>50</v>
      </c>
      <c r="M37" s="28"/>
      <c r="N37" s="28"/>
      <c r="O37" s="28"/>
      <c r="P37" s="418">
        <f t="shared" si="0"/>
        <v>100</v>
      </c>
    </row>
    <row r="38" spans="1:16" ht="15.75" thickBot="1" x14ac:dyDescent="0.3">
      <c r="A38" s="35">
        <v>1000446</v>
      </c>
      <c r="B38" s="12" t="s">
        <v>201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1000383</v>
      </c>
      <c r="B39" s="12" t="s">
        <v>264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1000009</v>
      </c>
      <c r="B40" s="12" t="s">
        <v>19</v>
      </c>
      <c r="C40" s="41"/>
      <c r="D40" s="4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1000486</v>
      </c>
      <c r="B41" s="12" t="s">
        <v>263</v>
      </c>
      <c r="C41" s="41"/>
      <c r="D41" s="4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1000080</v>
      </c>
      <c r="B42" s="12" t="s">
        <v>275</v>
      </c>
      <c r="C42" s="41"/>
      <c r="D42" s="43"/>
      <c r="F42" s="28"/>
      <c r="G42" s="28"/>
      <c r="H42" s="28">
        <v>24</v>
      </c>
      <c r="I42" s="28"/>
      <c r="J42" s="28"/>
      <c r="K42" s="28"/>
      <c r="L42" s="28">
        <v>24</v>
      </c>
      <c r="M42" s="28"/>
      <c r="N42" s="28"/>
      <c r="O42" s="28"/>
      <c r="P42" s="418">
        <f t="shared" si="0"/>
        <v>48</v>
      </c>
    </row>
    <row r="43" spans="1:16" ht="15.75" thickBot="1" x14ac:dyDescent="0.3">
      <c r="A43" s="35">
        <v>1000436</v>
      </c>
      <c r="B43" s="12" t="s">
        <v>276</v>
      </c>
      <c r="C43" s="41"/>
      <c r="D43" s="4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1000550</v>
      </c>
      <c r="B44" s="12" t="s">
        <v>277</v>
      </c>
      <c r="C44" s="41"/>
      <c r="D44" s="4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1000551</v>
      </c>
      <c r="B45" s="12" t="s">
        <v>278</v>
      </c>
      <c r="C45" s="41"/>
      <c r="D45" s="4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243">
        <v>1000552</v>
      </c>
      <c r="B46" s="251" t="s">
        <v>279</v>
      </c>
      <c r="C46" s="215"/>
      <c r="D46" s="38"/>
      <c r="E46" s="215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1000025</v>
      </c>
      <c r="B47" s="12" t="s">
        <v>32</v>
      </c>
      <c r="D47" s="38"/>
      <c r="F47" s="28"/>
      <c r="G47" s="28"/>
      <c r="H47" s="28">
        <v>5</v>
      </c>
      <c r="I47" s="28"/>
      <c r="J47" s="28"/>
      <c r="K47" s="28"/>
      <c r="L47" s="28"/>
      <c r="M47" s="28"/>
      <c r="N47" s="28"/>
      <c r="O47" s="28"/>
      <c r="P47" s="418">
        <f t="shared" si="0"/>
        <v>5</v>
      </c>
    </row>
    <row r="48" spans="1:16" ht="15.75" thickBot="1" x14ac:dyDescent="0.3">
      <c r="A48" s="35">
        <v>1000440</v>
      </c>
      <c r="B48" s="14" t="s">
        <v>199</v>
      </c>
      <c r="D48" s="38"/>
      <c r="F48" s="28"/>
      <c r="G48" s="28"/>
      <c r="H48" s="28"/>
      <c r="I48" s="28"/>
      <c r="J48" s="28"/>
      <c r="K48" s="28"/>
      <c r="L48" s="28">
        <v>1</v>
      </c>
      <c r="M48" s="28"/>
      <c r="N48" s="28"/>
      <c r="O48" s="28"/>
      <c r="P48" s="418">
        <f t="shared" si="0"/>
        <v>1</v>
      </c>
    </row>
    <row r="49" spans="1:16" ht="15.75" thickBot="1" x14ac:dyDescent="0.3">
      <c r="A49" s="35"/>
      <c r="B49" s="14"/>
      <c r="D49" s="3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ref="P49" si="1">SUM(F49:O49)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1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5666-FCC6-49B6-B43D-EE64BE864754}">
  <sheetPr>
    <tabColor theme="7" tint="-0.249977111117893"/>
    <pageSetUpPr fitToPage="1"/>
  </sheetPr>
  <dimension ref="A1:P47"/>
  <sheetViews>
    <sheetView topLeftCell="A19" zoomScaleNormal="100" workbookViewId="0">
      <selection activeCell="A20" sqref="A20:B20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5" style="27" customWidth="1"/>
    <col min="8" max="8" width="9.125" style="27" bestFit="1" customWidth="1"/>
    <col min="9" max="9" width="6.625" style="27" customWidth="1"/>
    <col min="10" max="10" width="9.125" style="27" bestFit="1" customWidth="1"/>
    <col min="11" max="11" width="5.75" style="27" customWidth="1"/>
    <col min="12" max="12" width="9.125" style="27" bestFit="1" customWidth="1"/>
    <col min="13" max="13" width="6" style="27" customWidth="1"/>
    <col min="14" max="14" width="9.125" style="27" bestFit="1" customWidth="1"/>
    <col min="15" max="15" width="5.5" style="27" customWidth="1"/>
    <col min="16" max="16384" width="10.875" style="27"/>
  </cols>
  <sheetData>
    <row r="1" spans="1:16" ht="17.25" customHeight="1" x14ac:dyDescent="0.45">
      <c r="A1" s="686" t="s">
        <v>149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7.25" customHeight="1" thickBot="1" x14ac:dyDescent="0.5">
      <c r="A2" s="688"/>
      <c r="B2" s="689"/>
      <c r="C2" s="18"/>
      <c r="D2" s="431" t="s">
        <v>379</v>
      </c>
      <c r="F2" s="754"/>
      <c r="G2" s="755"/>
      <c r="H2" s="755"/>
      <c r="I2" s="755"/>
      <c r="J2" s="756"/>
      <c r="K2" s="2"/>
      <c r="L2"/>
      <c r="M2"/>
    </row>
    <row r="3" spans="1:16" s="3" customFormat="1" ht="24" customHeight="1" thickBot="1" x14ac:dyDescent="0.3">
      <c r="A3" s="5"/>
      <c r="B3" s="5" t="s">
        <v>396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5">
        <f t="shared" ref="P5:P47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5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35</v>
      </c>
      <c r="F7" s="28"/>
      <c r="G7" s="28"/>
      <c r="H7" s="28">
        <v>100</v>
      </c>
      <c r="I7" s="28"/>
      <c r="J7" s="28"/>
      <c r="K7" s="28"/>
      <c r="L7" s="28">
        <v>100</v>
      </c>
      <c r="M7" s="28"/>
      <c r="N7" s="28"/>
      <c r="O7" s="28"/>
      <c r="P7" s="415">
        <f t="shared" si="0"/>
        <v>200</v>
      </c>
    </row>
    <row r="8" spans="1:16" ht="15.75" thickBot="1" x14ac:dyDescent="0.3">
      <c r="A8" s="35">
        <v>1000007</v>
      </c>
      <c r="B8" s="12" t="s">
        <v>5</v>
      </c>
      <c r="C8" s="41"/>
      <c r="D8" s="47">
        <v>20</v>
      </c>
      <c r="F8" s="28"/>
      <c r="G8" s="28"/>
      <c r="H8" s="28"/>
      <c r="I8" s="28"/>
      <c r="J8" s="28"/>
      <c r="K8" s="28"/>
      <c r="L8" s="28">
        <v>100</v>
      </c>
      <c r="M8" s="28"/>
      <c r="N8" s="28"/>
      <c r="O8" s="28"/>
      <c r="P8" s="415">
        <f t="shared" si="0"/>
        <v>100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/>
      <c r="G9" s="28"/>
      <c r="H9" s="28">
        <v>3</v>
      </c>
      <c r="I9" s="28"/>
      <c r="J9" s="28"/>
      <c r="K9" s="28"/>
      <c r="L9" s="28">
        <v>3</v>
      </c>
      <c r="M9" s="28"/>
      <c r="N9" s="28"/>
      <c r="O9" s="28"/>
      <c r="P9" s="415">
        <f t="shared" si="0"/>
        <v>6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0</v>
      </c>
      <c r="F10" s="28"/>
      <c r="G10" s="28"/>
      <c r="H10" s="28"/>
      <c r="I10" s="28"/>
      <c r="J10" s="28"/>
      <c r="K10" s="28"/>
      <c r="L10" s="28">
        <v>1</v>
      </c>
      <c r="M10" s="28"/>
      <c r="N10" s="28"/>
      <c r="O10" s="28"/>
      <c r="P10" s="415">
        <f t="shared" si="0"/>
        <v>1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2</v>
      </c>
      <c r="F11" s="28"/>
      <c r="G11" s="28"/>
      <c r="H11" s="28">
        <v>3</v>
      </c>
      <c r="I11" s="28"/>
      <c r="J11" s="28"/>
      <c r="K11" s="28"/>
      <c r="L11" s="28">
        <v>3</v>
      </c>
      <c r="M11" s="28"/>
      <c r="N11" s="28"/>
      <c r="O11" s="28"/>
      <c r="P11" s="415">
        <f t="shared" si="0"/>
        <v>6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5</v>
      </c>
      <c r="F12" s="28"/>
      <c r="G12" s="28"/>
      <c r="H12" s="28">
        <v>20</v>
      </c>
      <c r="I12" s="28"/>
      <c r="J12" s="28"/>
      <c r="K12" s="28"/>
      <c r="L12" s="28">
        <v>20</v>
      </c>
      <c r="M12" s="28"/>
      <c r="N12" s="28"/>
      <c r="O12" s="28"/>
      <c r="P12" s="415">
        <f t="shared" si="0"/>
        <v>40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/>
      <c r="G13" s="28"/>
      <c r="H13" s="28">
        <v>1</v>
      </c>
      <c r="I13" s="28"/>
      <c r="J13" s="28"/>
      <c r="K13" s="28"/>
      <c r="L13" s="28">
        <v>1</v>
      </c>
      <c r="M13" s="28"/>
      <c r="N13" s="28"/>
      <c r="O13" s="28"/>
      <c r="P13" s="415">
        <f t="shared" si="0"/>
        <v>2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20</v>
      </c>
      <c r="F14" s="28"/>
      <c r="G14" s="28"/>
      <c r="H14" s="28">
        <v>20</v>
      </c>
      <c r="I14" s="28"/>
      <c r="J14" s="28"/>
      <c r="K14" s="28"/>
      <c r="L14" s="28">
        <v>20</v>
      </c>
      <c r="M14" s="28"/>
      <c r="N14" s="28"/>
      <c r="O14" s="28"/>
      <c r="P14" s="415">
        <f t="shared" si="0"/>
        <v>40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5">
        <f t="shared" si="0"/>
        <v>0</v>
      </c>
    </row>
    <row r="16" spans="1:16" ht="15.75" thickBot="1" x14ac:dyDescent="0.3">
      <c r="A16" s="35">
        <v>1000041</v>
      </c>
      <c r="B16" s="12" t="s">
        <v>16</v>
      </c>
      <c r="C16" s="41"/>
      <c r="D16" s="47">
        <v>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5">
        <f t="shared" si="0"/>
        <v>0</v>
      </c>
    </row>
    <row r="17" spans="1:16" ht="15.75" thickBot="1" x14ac:dyDescent="0.3">
      <c r="A17" s="35">
        <v>1000045</v>
      </c>
      <c r="B17" s="12" t="s">
        <v>23</v>
      </c>
      <c r="C17" s="41"/>
      <c r="D17" s="47">
        <v>0</v>
      </c>
      <c r="F17" s="28"/>
      <c r="G17" s="28"/>
      <c r="H17" s="28"/>
      <c r="I17" s="28"/>
      <c r="J17" s="28"/>
      <c r="K17" s="28"/>
      <c r="L17" s="28">
        <v>1</v>
      </c>
      <c r="M17" s="28"/>
      <c r="N17" s="28"/>
      <c r="O17" s="28"/>
      <c r="P17" s="415">
        <f t="shared" si="0"/>
        <v>1</v>
      </c>
    </row>
    <row r="18" spans="1:16" ht="15.75" thickBot="1" x14ac:dyDescent="0.3">
      <c r="A18" s="35">
        <v>1000033</v>
      </c>
      <c r="B18" s="12" t="s">
        <v>27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5">
        <f t="shared" si="0"/>
        <v>0</v>
      </c>
    </row>
    <row r="19" spans="1:16" ht="15.75" thickBot="1" x14ac:dyDescent="0.3">
      <c r="A19" s="35">
        <v>1000034</v>
      </c>
      <c r="B19" s="12" t="s">
        <v>28</v>
      </c>
      <c r="C19" s="41"/>
      <c r="D19" s="47">
        <v>0</v>
      </c>
      <c r="F19" s="28"/>
      <c r="G19" s="28"/>
      <c r="H19" s="28">
        <v>2</v>
      </c>
      <c r="I19" s="28"/>
      <c r="J19" s="28"/>
      <c r="K19" s="28"/>
      <c r="L19" s="28">
        <v>2</v>
      </c>
      <c r="M19" s="28"/>
      <c r="N19" s="28"/>
      <c r="O19" s="28"/>
      <c r="P19" s="415">
        <f t="shared" si="0"/>
        <v>4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1</v>
      </c>
      <c r="F20" s="28"/>
      <c r="G20" s="28"/>
      <c r="H20" s="28">
        <v>5</v>
      </c>
      <c r="I20" s="28"/>
      <c r="J20" s="28"/>
      <c r="K20" s="28"/>
      <c r="L20" s="28">
        <v>5</v>
      </c>
      <c r="M20" s="28"/>
      <c r="N20" s="28"/>
      <c r="O20" s="28"/>
      <c r="P20" s="415">
        <f t="shared" si="0"/>
        <v>10</v>
      </c>
    </row>
    <row r="21" spans="1:16" ht="15.75" thickBot="1" x14ac:dyDescent="0.3">
      <c r="A21" s="35">
        <v>1000100</v>
      </c>
      <c r="B21" s="12" t="s">
        <v>34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5">
        <f t="shared" si="0"/>
        <v>0</v>
      </c>
    </row>
    <row r="22" spans="1:16" ht="15.75" thickBot="1" x14ac:dyDescent="0.3">
      <c r="A22" s="35">
        <v>1000073</v>
      </c>
      <c r="B22" s="12" t="s">
        <v>36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5">
        <f t="shared" si="0"/>
        <v>0</v>
      </c>
    </row>
    <row r="23" spans="1:16" ht="15.75" thickBot="1" x14ac:dyDescent="0.3">
      <c r="A23" s="35">
        <v>1000084</v>
      </c>
      <c r="B23" s="12" t="s">
        <v>38</v>
      </c>
      <c r="C23" s="41"/>
      <c r="D23" s="47">
        <v>8</v>
      </c>
      <c r="F23" s="28"/>
      <c r="G23" s="28"/>
      <c r="H23" s="28">
        <v>20</v>
      </c>
      <c r="I23" s="28"/>
      <c r="J23" s="28"/>
      <c r="K23" s="28"/>
      <c r="L23" s="28">
        <v>20</v>
      </c>
      <c r="M23" s="28"/>
      <c r="N23" s="28"/>
      <c r="O23" s="28"/>
      <c r="P23" s="415">
        <f t="shared" si="0"/>
        <v>40</v>
      </c>
    </row>
    <row r="24" spans="1:16" ht="15.75" thickBot="1" x14ac:dyDescent="0.3">
      <c r="A24" s="35">
        <v>1000052</v>
      </c>
      <c r="B24" s="12" t="s">
        <v>41</v>
      </c>
      <c r="C24" s="41"/>
      <c r="D24" s="47">
        <v>3</v>
      </c>
      <c r="F24" s="28"/>
      <c r="G24" s="28"/>
      <c r="H24" s="28">
        <v>1</v>
      </c>
      <c r="I24" s="28"/>
      <c r="J24" s="28"/>
      <c r="K24" s="28"/>
      <c r="L24" s="28">
        <v>1</v>
      </c>
      <c r="M24" s="28"/>
      <c r="N24" s="28"/>
      <c r="O24" s="28"/>
      <c r="P24" s="415">
        <f t="shared" si="0"/>
        <v>2</v>
      </c>
    </row>
    <row r="25" spans="1:16" ht="15.75" thickBot="1" x14ac:dyDescent="0.3">
      <c r="A25" s="35">
        <v>1000089</v>
      </c>
      <c r="B25" s="12" t="s">
        <v>42</v>
      </c>
      <c r="C25" s="41"/>
      <c r="D25" s="47">
        <v>3</v>
      </c>
      <c r="F25" s="28"/>
      <c r="G25" s="28"/>
      <c r="H25" s="28">
        <v>3</v>
      </c>
      <c r="I25" s="28"/>
      <c r="J25" s="28"/>
      <c r="K25" s="28"/>
      <c r="L25" s="28">
        <v>2</v>
      </c>
      <c r="M25" s="28"/>
      <c r="N25" s="28"/>
      <c r="O25" s="28"/>
      <c r="P25" s="415">
        <f t="shared" si="0"/>
        <v>5</v>
      </c>
    </row>
    <row r="26" spans="1:16" ht="15.75" thickBot="1" x14ac:dyDescent="0.3">
      <c r="A26" s="35">
        <v>1000051</v>
      </c>
      <c r="B26" s="12" t="s">
        <v>43</v>
      </c>
      <c r="C26" s="41"/>
      <c r="D26" s="47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5">
        <f t="shared" si="0"/>
        <v>0</v>
      </c>
    </row>
    <row r="27" spans="1:16" ht="15.75" thickBot="1" x14ac:dyDescent="0.3">
      <c r="A27" s="35">
        <v>1000048</v>
      </c>
      <c r="B27" s="12" t="s">
        <v>45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5">
        <f t="shared" si="0"/>
        <v>0</v>
      </c>
    </row>
    <row r="28" spans="1:16" ht="15.75" thickBot="1" x14ac:dyDescent="0.3">
      <c r="A28" s="35">
        <v>1000076</v>
      </c>
      <c r="B28" s="12" t="s">
        <v>46</v>
      </c>
      <c r="C28" s="41"/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5">
        <f t="shared" si="0"/>
        <v>0</v>
      </c>
    </row>
    <row r="29" spans="1:16" ht="15.75" thickBot="1" x14ac:dyDescent="0.3">
      <c r="A29" s="35">
        <v>1000142</v>
      </c>
      <c r="B29" s="12" t="s">
        <v>54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5">
        <f t="shared" si="0"/>
        <v>0</v>
      </c>
    </row>
    <row r="30" spans="1:16" ht="15.75" thickBot="1" x14ac:dyDescent="0.3">
      <c r="A30" s="35">
        <v>1000214</v>
      </c>
      <c r="B30" s="12" t="s">
        <v>49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5">
        <f t="shared" si="0"/>
        <v>0</v>
      </c>
    </row>
    <row r="31" spans="1:16" ht="15.75" thickBot="1" x14ac:dyDescent="0.3">
      <c r="A31" s="35">
        <v>1000029</v>
      </c>
      <c r="B31" s="12" t="s">
        <v>30</v>
      </c>
      <c r="C31" s="41"/>
      <c r="D31" s="4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5">
        <f t="shared" si="0"/>
        <v>0</v>
      </c>
    </row>
    <row r="32" spans="1:16" s="15" customFormat="1" ht="15.95" customHeight="1" thickBot="1" x14ac:dyDescent="0.3">
      <c r="A32" s="35">
        <v>1000449</v>
      </c>
      <c r="B32" s="12" t="s">
        <v>202</v>
      </c>
      <c r="C32" s="41"/>
      <c r="D32" s="4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5">
        <f t="shared" si="0"/>
        <v>0</v>
      </c>
    </row>
    <row r="33" spans="1:16" ht="15.75" thickBot="1" x14ac:dyDescent="0.3">
      <c r="A33" s="35">
        <v>1000067</v>
      </c>
      <c r="B33" s="12" t="s">
        <v>11</v>
      </c>
      <c r="C33" s="41"/>
      <c r="D33" s="47"/>
      <c r="F33" s="28"/>
      <c r="G33" s="28"/>
      <c r="H33" s="28"/>
      <c r="I33" s="28"/>
      <c r="J33" s="28"/>
      <c r="K33" s="28"/>
      <c r="L33" s="28">
        <v>1</v>
      </c>
      <c r="M33" s="28"/>
      <c r="N33" s="28"/>
      <c r="O33" s="28"/>
      <c r="P33" s="415">
        <f t="shared" si="0"/>
        <v>1</v>
      </c>
    </row>
    <row r="34" spans="1:16" ht="15.75" thickBot="1" x14ac:dyDescent="0.3">
      <c r="A34" s="35">
        <v>1000049</v>
      </c>
      <c r="B34" s="12" t="s">
        <v>21</v>
      </c>
      <c r="C34" s="41"/>
      <c r="D34" s="47"/>
      <c r="F34" s="28"/>
      <c r="G34" s="28"/>
      <c r="H34" s="28"/>
      <c r="I34" s="28"/>
      <c r="J34" s="28"/>
      <c r="K34" s="28"/>
      <c r="L34" s="28">
        <v>2</v>
      </c>
      <c r="M34" s="28"/>
      <c r="N34" s="28"/>
      <c r="O34" s="28"/>
      <c r="P34" s="415">
        <f t="shared" si="0"/>
        <v>2</v>
      </c>
    </row>
    <row r="35" spans="1:16" ht="15.75" thickBot="1" x14ac:dyDescent="0.3">
      <c r="A35" s="35">
        <v>1000092</v>
      </c>
      <c r="B35" s="12" t="s">
        <v>51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5">
        <f t="shared" si="0"/>
        <v>0</v>
      </c>
    </row>
    <row r="36" spans="1:16" ht="15.75" thickBot="1" x14ac:dyDescent="0.3">
      <c r="A36" s="35">
        <v>10248</v>
      </c>
      <c r="B36" s="12" t="s">
        <v>183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5">
        <f t="shared" si="0"/>
        <v>0</v>
      </c>
    </row>
    <row r="37" spans="1:16" ht="15.75" thickBot="1" x14ac:dyDescent="0.3">
      <c r="A37" s="35">
        <v>1000050</v>
      </c>
      <c r="B37" s="12" t="s">
        <v>22</v>
      </c>
      <c r="C37" s="41"/>
      <c r="D37" s="47"/>
      <c r="F37" s="28"/>
      <c r="G37" s="28"/>
      <c r="H37" s="28">
        <v>1</v>
      </c>
      <c r="I37" s="28"/>
      <c r="J37" s="28"/>
      <c r="K37" s="28"/>
      <c r="L37" s="28">
        <v>2</v>
      </c>
      <c r="M37" s="28"/>
      <c r="N37" s="28"/>
      <c r="O37" s="28"/>
      <c r="P37" s="415">
        <f t="shared" si="0"/>
        <v>3</v>
      </c>
    </row>
    <row r="38" spans="1:16" ht="15.75" thickBot="1" x14ac:dyDescent="0.3">
      <c r="A38" s="35">
        <v>1000008</v>
      </c>
      <c r="B38" s="12" t="s">
        <v>7</v>
      </c>
      <c r="C38" s="41"/>
      <c r="D38" s="47"/>
      <c r="F38" s="28"/>
      <c r="G38" s="28"/>
      <c r="H38" s="28">
        <v>100</v>
      </c>
      <c r="I38" s="28"/>
      <c r="J38" s="28"/>
      <c r="K38" s="28"/>
      <c r="L38" s="28"/>
      <c r="M38" s="28"/>
      <c r="N38" s="28"/>
      <c r="O38" s="28"/>
      <c r="P38" s="415">
        <f t="shared" si="0"/>
        <v>100</v>
      </c>
    </row>
    <row r="39" spans="1:16" ht="15.75" thickBot="1" x14ac:dyDescent="0.3">
      <c r="A39" s="35">
        <v>1000439</v>
      </c>
      <c r="B39" s="12" t="s">
        <v>193</v>
      </c>
      <c r="C39" s="41"/>
      <c r="D39" s="47"/>
      <c r="F39" s="28"/>
      <c r="G39" s="28"/>
      <c r="H39" s="28"/>
      <c r="I39" s="28"/>
      <c r="J39" s="28"/>
      <c r="K39" s="28"/>
      <c r="L39" s="28">
        <v>2</v>
      </c>
      <c r="M39" s="28"/>
      <c r="N39" s="28"/>
      <c r="O39" s="28"/>
      <c r="P39" s="415">
        <f t="shared" si="0"/>
        <v>2</v>
      </c>
    </row>
    <row r="40" spans="1:16" ht="15.75" thickBot="1" x14ac:dyDescent="0.3">
      <c r="A40" s="35">
        <v>1000383</v>
      </c>
      <c r="B40" s="12" t="s">
        <v>264</v>
      </c>
      <c r="C40" s="41"/>
      <c r="D40" s="47"/>
      <c r="F40" s="28"/>
      <c r="G40" s="28"/>
      <c r="H40" s="28">
        <v>48</v>
      </c>
      <c r="I40" s="28"/>
      <c r="J40" s="28"/>
      <c r="K40" s="28"/>
      <c r="L40" s="28">
        <v>24</v>
      </c>
      <c r="M40" s="28"/>
      <c r="N40" s="28"/>
      <c r="O40" s="28"/>
      <c r="P40" s="415">
        <f t="shared" si="0"/>
        <v>72</v>
      </c>
    </row>
    <row r="41" spans="1:16" ht="15.75" thickBot="1" x14ac:dyDescent="0.3">
      <c r="A41" s="35">
        <v>1000080</v>
      </c>
      <c r="B41" s="12" t="s">
        <v>275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5">
        <f t="shared" si="0"/>
        <v>0</v>
      </c>
    </row>
    <row r="42" spans="1:16" ht="15.75" thickBot="1" x14ac:dyDescent="0.3">
      <c r="A42" s="35">
        <v>1000436</v>
      </c>
      <c r="B42" s="12" t="s">
        <v>276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5">
        <f t="shared" si="0"/>
        <v>0</v>
      </c>
    </row>
    <row r="43" spans="1:16" ht="15.75" thickBot="1" x14ac:dyDescent="0.3">
      <c r="A43" s="35">
        <v>1000550</v>
      </c>
      <c r="B43" s="12" t="s">
        <v>277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5">
        <f t="shared" si="0"/>
        <v>0</v>
      </c>
    </row>
    <row r="44" spans="1:16" ht="15.75" thickBot="1" x14ac:dyDescent="0.3">
      <c r="A44" s="35">
        <v>1000551</v>
      </c>
      <c r="B44" s="12" t="s">
        <v>278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5">
        <f t="shared" si="0"/>
        <v>0</v>
      </c>
    </row>
    <row r="45" spans="1:16" ht="16.5" thickBot="1" x14ac:dyDescent="0.3">
      <c r="A45" s="207">
        <v>1000552</v>
      </c>
      <c r="B45" s="246" t="s">
        <v>279</v>
      </c>
      <c r="C45"/>
      <c r="D45" s="38"/>
      <c r="E45" s="21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5">
        <f t="shared" si="0"/>
        <v>0</v>
      </c>
    </row>
    <row r="46" spans="1:16" ht="15.75" thickBot="1" x14ac:dyDescent="0.3">
      <c r="A46" s="35">
        <v>1000057</v>
      </c>
      <c r="B46" s="12" t="s">
        <v>70</v>
      </c>
      <c r="D46" s="3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5">
        <f t="shared" si="0"/>
        <v>0</v>
      </c>
    </row>
    <row r="47" spans="1:16" ht="15.75" thickBot="1" x14ac:dyDescent="0.3">
      <c r="A47" s="35">
        <v>1000440</v>
      </c>
      <c r="B47" s="14" t="s">
        <v>199</v>
      </c>
      <c r="D47" s="3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5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1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F84-F1FA-4A43-81A8-567E9A2F9D43}">
  <sheetPr>
    <tabColor theme="7" tint="-0.249977111117893"/>
    <pageSetUpPr fitToPage="1"/>
  </sheetPr>
  <dimension ref="A1:P41"/>
  <sheetViews>
    <sheetView topLeftCell="A5" zoomScale="85" zoomScaleNormal="85" workbookViewId="0">
      <selection activeCell="B30" sqref="B29:B30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87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5.5" style="27" customWidth="1"/>
    <col min="8" max="8" width="9.125" style="27" bestFit="1" customWidth="1"/>
    <col min="9" max="9" width="5.625" style="27" customWidth="1"/>
    <col min="10" max="10" width="9.125" style="27" bestFit="1" customWidth="1"/>
    <col min="11" max="11" width="5" style="27" customWidth="1"/>
    <col min="12" max="12" width="9.125" style="27" bestFit="1" customWidth="1"/>
    <col min="13" max="13" width="5.625" style="27" customWidth="1"/>
    <col min="14" max="14" width="9.125" style="27" bestFit="1" customWidth="1"/>
    <col min="15" max="15" width="5.875" style="27" customWidth="1"/>
    <col min="16" max="16384" width="10.875" style="27"/>
  </cols>
  <sheetData>
    <row r="1" spans="1:16" ht="15" customHeight="1" x14ac:dyDescent="0.45">
      <c r="A1" s="686" t="s">
        <v>119</v>
      </c>
      <c r="B1" s="687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4"/>
      <c r="D2" s="434" t="s">
        <v>379</v>
      </c>
      <c r="F2" s="754"/>
      <c r="G2" s="755"/>
      <c r="H2" s="755"/>
      <c r="I2" s="755"/>
      <c r="J2" s="756"/>
      <c r="K2" s="2"/>
    </row>
    <row r="3" spans="1:16" s="3" customFormat="1" ht="21" customHeight="1" thickBot="1" x14ac:dyDescent="0.3">
      <c r="A3" s="5"/>
      <c r="B3" s="5" t="s">
        <v>393</v>
      </c>
      <c r="C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5.75" thickBot="1" x14ac:dyDescent="0.3">
      <c r="A5" s="30">
        <v>1000001</v>
      </c>
      <c r="B5" s="11" t="s">
        <v>8</v>
      </c>
      <c r="D5" s="59">
        <v>0</v>
      </c>
      <c r="F5" s="28">
        <v>2</v>
      </c>
      <c r="G5" s="28"/>
      <c r="H5" s="28">
        <v>2</v>
      </c>
      <c r="I5" s="28"/>
      <c r="J5" s="28"/>
      <c r="K5" s="28"/>
      <c r="L5" s="28"/>
      <c r="M5" s="28"/>
      <c r="N5" s="28"/>
      <c r="O5" s="28"/>
      <c r="P5" s="418">
        <f t="shared" ref="P5:P40" si="0">SUM(F5:O5)</f>
        <v>4</v>
      </c>
    </row>
    <row r="6" spans="1:16" ht="15.75" thickBot="1" x14ac:dyDescent="0.3">
      <c r="A6" s="35">
        <v>1000067</v>
      </c>
      <c r="B6" s="12" t="s">
        <v>11</v>
      </c>
      <c r="D6" s="37">
        <v>0</v>
      </c>
      <c r="F6" s="28"/>
      <c r="G6" s="28"/>
      <c r="H6" s="28">
        <v>1</v>
      </c>
      <c r="I6" s="28"/>
      <c r="J6" s="28"/>
      <c r="K6" s="28"/>
      <c r="L6" s="28"/>
      <c r="M6" s="28"/>
      <c r="N6" s="28"/>
      <c r="O6" s="28"/>
      <c r="P6" s="418">
        <f t="shared" si="0"/>
        <v>1</v>
      </c>
    </row>
    <row r="7" spans="1:16" ht="15.75" thickBot="1" x14ac:dyDescent="0.3">
      <c r="A7" s="35">
        <v>1000054</v>
      </c>
      <c r="B7" s="12" t="s">
        <v>12</v>
      </c>
      <c r="D7" s="37">
        <v>7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1000050</v>
      </c>
      <c r="B8" s="12" t="s">
        <v>22</v>
      </c>
      <c r="D8" s="37">
        <v>0</v>
      </c>
      <c r="F8" s="28"/>
      <c r="G8" s="28"/>
      <c r="H8" s="28">
        <v>2</v>
      </c>
      <c r="I8" s="28"/>
      <c r="J8" s="28"/>
      <c r="K8" s="28"/>
      <c r="L8" s="28"/>
      <c r="M8" s="28"/>
      <c r="N8" s="28"/>
      <c r="O8" s="28"/>
      <c r="P8" s="418">
        <f t="shared" si="0"/>
        <v>2</v>
      </c>
    </row>
    <row r="9" spans="1:16" ht="15.75" thickBot="1" x14ac:dyDescent="0.3">
      <c r="A9" s="35">
        <v>1000033</v>
      </c>
      <c r="B9" s="12" t="s">
        <v>27</v>
      </c>
      <c r="D9" s="37">
        <v>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10248</v>
      </c>
      <c r="B10" s="12" t="s">
        <v>183</v>
      </c>
      <c r="D10" s="37">
        <v>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1000052</v>
      </c>
      <c r="B11" s="12" t="s">
        <v>41</v>
      </c>
      <c r="D11" s="37">
        <v>1</v>
      </c>
      <c r="F11" s="28"/>
      <c r="G11" s="28"/>
      <c r="H11" s="28">
        <v>2</v>
      </c>
      <c r="I11" s="28"/>
      <c r="J11" s="28"/>
      <c r="K11" s="28"/>
      <c r="L11" s="28"/>
      <c r="M11" s="28"/>
      <c r="N11" s="28"/>
      <c r="O11" s="28"/>
      <c r="P11" s="418">
        <f t="shared" si="0"/>
        <v>2</v>
      </c>
    </row>
    <row r="12" spans="1:16" ht="15.75" thickBot="1" x14ac:dyDescent="0.3">
      <c r="A12" s="35">
        <v>1000089</v>
      </c>
      <c r="B12" s="12" t="s">
        <v>42</v>
      </c>
      <c r="D12" s="37">
        <v>1</v>
      </c>
      <c r="F12" s="28"/>
      <c r="G12" s="28"/>
      <c r="H12" s="28">
        <v>2</v>
      </c>
      <c r="I12" s="28"/>
      <c r="J12" s="28"/>
      <c r="K12" s="28"/>
      <c r="L12" s="28"/>
      <c r="M12" s="28"/>
      <c r="N12" s="28"/>
      <c r="O12" s="28"/>
      <c r="P12" s="418">
        <f t="shared" si="0"/>
        <v>2</v>
      </c>
    </row>
    <row r="13" spans="1:16" ht="15.75" thickBot="1" x14ac:dyDescent="0.3">
      <c r="A13" s="35">
        <v>1000048</v>
      </c>
      <c r="B13" s="12" t="s">
        <v>45</v>
      </c>
      <c r="D13" s="37">
        <v>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1000142</v>
      </c>
      <c r="B14" s="12" t="s">
        <v>54</v>
      </c>
      <c r="D14" s="37">
        <v>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1000006</v>
      </c>
      <c r="B15" s="12" t="s">
        <v>4</v>
      </c>
      <c r="D15" s="37">
        <v>150</v>
      </c>
      <c r="F15" s="28"/>
      <c r="G15" s="28"/>
      <c r="H15" s="28">
        <v>50</v>
      </c>
      <c r="I15" s="28"/>
      <c r="J15" s="28"/>
      <c r="K15" s="28"/>
      <c r="L15" s="28"/>
      <c r="M15" s="28"/>
      <c r="N15" s="28"/>
      <c r="O15" s="28"/>
      <c r="P15" s="418">
        <f t="shared" si="0"/>
        <v>50</v>
      </c>
    </row>
    <row r="16" spans="1:16" s="15" customFormat="1" ht="15.95" customHeight="1" thickBot="1" x14ac:dyDescent="0.3">
      <c r="A16" s="35">
        <v>1000002</v>
      </c>
      <c r="B16" s="12" t="s">
        <v>9</v>
      </c>
      <c r="C16" s="27"/>
      <c r="D16" s="37"/>
      <c r="E16" s="27"/>
      <c r="F16" s="28"/>
      <c r="G16" s="28"/>
      <c r="H16" s="28">
        <v>1</v>
      </c>
      <c r="I16" s="28"/>
      <c r="J16" s="28"/>
      <c r="K16" s="28"/>
      <c r="L16" s="28"/>
      <c r="M16" s="28"/>
      <c r="N16" s="28"/>
      <c r="O16" s="28"/>
      <c r="P16" s="418">
        <f t="shared" si="0"/>
        <v>1</v>
      </c>
    </row>
    <row r="17" spans="1:16" ht="15.75" thickBot="1" x14ac:dyDescent="0.3">
      <c r="A17" s="35">
        <v>1000051</v>
      </c>
      <c r="B17" s="12" t="s">
        <v>43</v>
      </c>
      <c r="D17" s="3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1000007</v>
      </c>
      <c r="B18" s="12" t="s">
        <v>5</v>
      </c>
      <c r="D18" s="37"/>
      <c r="F18" s="28"/>
      <c r="G18" s="28"/>
      <c r="H18" s="28">
        <v>50</v>
      </c>
      <c r="I18" s="28"/>
      <c r="J18" s="28"/>
      <c r="K18" s="28"/>
      <c r="L18" s="28"/>
      <c r="M18" s="28"/>
      <c r="N18" s="28"/>
      <c r="O18" s="28"/>
      <c r="P18" s="418">
        <f t="shared" si="0"/>
        <v>50</v>
      </c>
    </row>
    <row r="19" spans="1:16" ht="15.75" thickBot="1" x14ac:dyDescent="0.3">
      <c r="A19" s="35">
        <v>1000004</v>
      </c>
      <c r="B19" s="12" t="s">
        <v>10</v>
      </c>
      <c r="D19" s="37"/>
      <c r="F19" s="28"/>
      <c r="G19" s="28"/>
      <c r="H19" s="28">
        <v>2</v>
      </c>
      <c r="I19" s="28"/>
      <c r="J19" s="28"/>
      <c r="K19" s="28"/>
      <c r="L19" s="28"/>
      <c r="M19" s="28"/>
      <c r="N19" s="28"/>
      <c r="O19" s="28"/>
      <c r="P19" s="418">
        <f t="shared" si="0"/>
        <v>2</v>
      </c>
    </row>
    <row r="20" spans="1:16" ht="15.75" thickBot="1" x14ac:dyDescent="0.3">
      <c r="A20" s="35">
        <v>1000084</v>
      </c>
      <c r="B20" s="12" t="s">
        <v>38</v>
      </c>
      <c r="D20" s="37"/>
      <c r="F20" s="28"/>
      <c r="G20" s="28"/>
      <c r="H20" s="28">
        <v>8</v>
      </c>
      <c r="I20" s="28"/>
      <c r="J20" s="28"/>
      <c r="K20" s="28"/>
      <c r="L20" s="28"/>
      <c r="M20" s="28"/>
      <c r="N20" s="28"/>
      <c r="O20" s="28"/>
      <c r="P20" s="418">
        <f t="shared" si="0"/>
        <v>8</v>
      </c>
    </row>
    <row r="21" spans="1:16" ht="15.75" thickBot="1" x14ac:dyDescent="0.3">
      <c r="A21" s="35">
        <v>1000082</v>
      </c>
      <c r="B21" s="12" t="s">
        <v>37</v>
      </c>
      <c r="D21" s="37"/>
      <c r="F21" s="28"/>
      <c r="G21" s="28"/>
      <c r="H21" s="28">
        <v>8</v>
      </c>
      <c r="I21" s="28"/>
      <c r="J21" s="28"/>
      <c r="K21" s="28"/>
      <c r="L21" s="28"/>
      <c r="M21" s="28"/>
      <c r="N21" s="28"/>
      <c r="O21" s="28"/>
      <c r="P21" s="418">
        <f t="shared" si="0"/>
        <v>8</v>
      </c>
    </row>
    <row r="22" spans="1:16" ht="15.75" thickBot="1" x14ac:dyDescent="0.3">
      <c r="A22" s="35">
        <v>10000102</v>
      </c>
      <c r="B22" s="12" t="s">
        <v>2</v>
      </c>
      <c r="D22" s="3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1000100</v>
      </c>
      <c r="B23" s="12" t="s">
        <v>34</v>
      </c>
      <c r="D23" s="37"/>
      <c r="F23" s="28"/>
      <c r="G23" s="28"/>
      <c r="H23" s="28">
        <v>1</v>
      </c>
      <c r="I23" s="28"/>
      <c r="J23" s="28"/>
      <c r="K23" s="28"/>
      <c r="L23" s="28"/>
      <c r="M23" s="28"/>
      <c r="N23" s="28"/>
      <c r="O23" s="28"/>
      <c r="P23" s="418">
        <f t="shared" si="0"/>
        <v>1</v>
      </c>
    </row>
    <row r="24" spans="1:16" ht="15.75" thickBot="1" x14ac:dyDescent="0.3">
      <c r="A24" s="35">
        <v>1000076</v>
      </c>
      <c r="B24" s="12" t="s">
        <v>46</v>
      </c>
      <c r="D24" s="3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1000070</v>
      </c>
      <c r="B25" s="12" t="s">
        <v>13</v>
      </c>
      <c r="D25" s="3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1000029</v>
      </c>
      <c r="B26" s="12" t="s">
        <v>30</v>
      </c>
      <c r="D26" s="3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1000087</v>
      </c>
      <c r="B27" s="12" t="s">
        <v>197</v>
      </c>
      <c r="D27" s="3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1000016</v>
      </c>
      <c r="B28" s="12" t="s">
        <v>15</v>
      </c>
      <c r="D28" s="3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1000073</v>
      </c>
      <c r="B29" s="12" t="s">
        <v>36</v>
      </c>
      <c r="D29" s="3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1000017</v>
      </c>
      <c r="B30" s="12" t="s">
        <v>14</v>
      </c>
      <c r="D30" s="37"/>
      <c r="F30" s="28">
        <v>5</v>
      </c>
      <c r="G30" s="28"/>
      <c r="H30" s="28"/>
      <c r="I30" s="28"/>
      <c r="J30" s="28"/>
      <c r="K30" s="28"/>
      <c r="L30" s="28"/>
      <c r="M30" s="28"/>
      <c r="N30" s="28"/>
      <c r="O30" s="28"/>
      <c r="P30" s="418">
        <f t="shared" si="0"/>
        <v>5</v>
      </c>
    </row>
    <row r="31" spans="1:16" ht="15.75" thickBot="1" x14ac:dyDescent="0.3">
      <c r="A31" s="35">
        <v>1000027</v>
      </c>
      <c r="B31" s="12" t="s">
        <v>33</v>
      </c>
      <c r="D31" s="3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1000045</v>
      </c>
      <c r="B32" s="12" t="s">
        <v>23</v>
      </c>
      <c r="D32" s="3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1000034</v>
      </c>
      <c r="B33" s="12" t="s">
        <v>28</v>
      </c>
      <c r="D33" s="3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1000436</v>
      </c>
      <c r="B34" s="12" t="s">
        <v>276</v>
      </c>
      <c r="D34" s="3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1000550</v>
      </c>
      <c r="B35" s="12" t="s">
        <v>277</v>
      </c>
      <c r="D35" s="3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1000551</v>
      </c>
      <c r="B36" s="12" t="s">
        <v>278</v>
      </c>
      <c r="D36" s="3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1000552</v>
      </c>
      <c r="B37" s="12" t="s">
        <v>279</v>
      </c>
      <c r="D37" s="3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s="200" customFormat="1" ht="15.75" thickBot="1" x14ac:dyDescent="0.3">
      <c r="A38" s="38">
        <v>1000080</v>
      </c>
      <c r="B38" s="17" t="s">
        <v>275</v>
      </c>
      <c r="C38" s="41"/>
      <c r="D38" s="46"/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/>
      <c r="B39" s="12" t="s">
        <v>488</v>
      </c>
      <c r="D39" s="46"/>
      <c r="F39" s="28">
        <v>1</v>
      </c>
      <c r="G39" s="28"/>
      <c r="H39" s="28"/>
      <c r="I39" s="28"/>
      <c r="J39" s="28"/>
      <c r="K39" s="28"/>
      <c r="L39" s="28"/>
      <c r="M39" s="28"/>
      <c r="N39" s="28"/>
      <c r="O39" s="28"/>
      <c r="P39" s="418">
        <f t="shared" si="0"/>
        <v>1</v>
      </c>
    </row>
    <row r="40" spans="1:16" ht="15.75" thickBot="1" x14ac:dyDescent="0.3">
      <c r="A40" s="35"/>
      <c r="B40" s="655" t="s">
        <v>454</v>
      </c>
      <c r="D40" s="46"/>
      <c r="F40" s="28">
        <v>1</v>
      </c>
      <c r="G40" s="28"/>
      <c r="H40" s="28"/>
      <c r="I40" s="28"/>
      <c r="J40" s="28"/>
      <c r="K40" s="28"/>
      <c r="L40" s="28"/>
      <c r="M40" s="28"/>
      <c r="N40" s="28"/>
      <c r="O40" s="28"/>
      <c r="P40" s="418">
        <f t="shared" si="0"/>
        <v>1</v>
      </c>
    </row>
    <row r="41" spans="1:16" ht="15.75" thickBot="1" x14ac:dyDescent="0.3">
      <c r="A41" s="269"/>
      <c r="B41" s="655"/>
      <c r="D41" s="4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ref="P41" si="1">SUM(F41:O41)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81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F4D7-E609-451E-8C30-16C48ED23A4F}">
  <sheetPr>
    <tabColor theme="7" tint="-0.249977111117893"/>
  </sheetPr>
  <dimension ref="A1:N57"/>
  <sheetViews>
    <sheetView topLeftCell="B27" workbookViewId="0">
      <selection activeCell="R17" sqref="R17"/>
    </sheetView>
  </sheetViews>
  <sheetFormatPr baseColWidth="10" defaultRowHeight="15.75" x14ac:dyDescent="0.25"/>
  <cols>
    <col min="2" max="2" width="44.625" customWidth="1"/>
    <col min="3" max="3" width="0.25" customWidth="1"/>
    <col min="4" max="4" width="8.875" customWidth="1"/>
    <col min="5" max="5" width="3.5" customWidth="1"/>
    <col min="6" max="6" width="8.5" customWidth="1"/>
    <col min="7" max="7" width="3.625" customWidth="1"/>
    <col min="8" max="8" width="8.625" customWidth="1"/>
    <col min="9" max="9" width="3.875" customWidth="1"/>
    <col min="10" max="10" width="8.25" customWidth="1"/>
    <col min="11" max="11" width="3.875" customWidth="1"/>
    <col min="12" max="12" width="8.625" customWidth="1"/>
    <col min="13" max="13" width="4" customWidth="1"/>
    <col min="14" max="14" width="9.125" customWidth="1"/>
  </cols>
  <sheetData>
    <row r="1" spans="1:14" x14ac:dyDescent="0.25">
      <c r="A1" s="784" t="s">
        <v>330</v>
      </c>
      <c r="B1" s="785"/>
      <c r="C1" s="658"/>
      <c r="D1" s="788" t="s">
        <v>474</v>
      </c>
      <c r="E1" s="789"/>
      <c r="F1" s="789"/>
      <c r="G1" s="789"/>
      <c r="H1" s="790"/>
      <c r="I1" s="659"/>
      <c r="J1" s="660"/>
      <c r="K1" s="660"/>
      <c r="L1" s="660"/>
      <c r="M1" s="660"/>
      <c r="N1" s="660"/>
    </row>
    <row r="2" spans="1:14" ht="16.5" thickBot="1" x14ac:dyDescent="0.3">
      <c r="A2" s="786"/>
      <c r="B2" s="787"/>
      <c r="C2" s="661" t="s">
        <v>379</v>
      </c>
      <c r="D2" s="791"/>
      <c r="E2" s="792"/>
      <c r="F2" s="792"/>
      <c r="G2" s="792"/>
      <c r="H2" s="793"/>
      <c r="I2" s="659"/>
      <c r="J2" s="662" t="s">
        <v>379</v>
      </c>
      <c r="K2" s="660"/>
      <c r="L2" s="660"/>
      <c r="M2" s="660"/>
      <c r="N2" s="660"/>
    </row>
    <row r="3" spans="1:14" ht="18" customHeight="1" thickBot="1" x14ac:dyDescent="0.3">
      <c r="A3" s="663"/>
      <c r="B3" s="664" t="s">
        <v>397</v>
      </c>
      <c r="C3" s="665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</row>
    <row r="4" spans="1:14" ht="16.5" thickBot="1" x14ac:dyDescent="0.3">
      <c r="A4" s="666" t="s">
        <v>0</v>
      </c>
      <c r="B4" s="667" t="s">
        <v>105</v>
      </c>
      <c r="C4" s="668" t="s">
        <v>106</v>
      </c>
      <c r="D4" s="669" t="s">
        <v>308</v>
      </c>
      <c r="E4" s="670" t="s">
        <v>325</v>
      </c>
      <c r="F4" s="669" t="s">
        <v>310</v>
      </c>
      <c r="G4" s="670" t="s">
        <v>325</v>
      </c>
      <c r="H4" s="669" t="s">
        <v>311</v>
      </c>
      <c r="I4" s="670" t="s">
        <v>325</v>
      </c>
      <c r="J4" s="669" t="s">
        <v>312</v>
      </c>
      <c r="K4" s="670" t="s">
        <v>325</v>
      </c>
      <c r="L4" s="669" t="s">
        <v>313</v>
      </c>
      <c r="M4" s="670" t="s">
        <v>325</v>
      </c>
      <c r="N4" s="671" t="s">
        <v>98</v>
      </c>
    </row>
    <row r="5" spans="1:14" ht="16.5" thickBot="1" x14ac:dyDescent="0.3">
      <c r="A5" s="672">
        <v>10000015</v>
      </c>
      <c r="B5" s="673" t="s">
        <v>1</v>
      </c>
      <c r="C5" s="674">
        <v>1</v>
      </c>
      <c r="D5" s="675">
        <v>10</v>
      </c>
      <c r="E5" s="675"/>
      <c r="F5" s="675"/>
      <c r="G5" s="675"/>
      <c r="H5" s="675">
        <v>5</v>
      </c>
      <c r="I5" s="675"/>
      <c r="J5" s="675"/>
      <c r="K5" s="675"/>
      <c r="L5" s="675"/>
      <c r="M5" s="675"/>
      <c r="N5" s="676">
        <f t="shared" ref="N5:N57" si="0">SUM(D5:M5)</f>
        <v>15</v>
      </c>
    </row>
    <row r="6" spans="1:14" ht="16.5" thickBot="1" x14ac:dyDescent="0.3">
      <c r="A6" s="677">
        <v>1000006</v>
      </c>
      <c r="B6" s="678" t="s">
        <v>4</v>
      </c>
      <c r="C6" s="674">
        <v>500</v>
      </c>
      <c r="D6" s="675">
        <v>50</v>
      </c>
      <c r="E6" s="675"/>
      <c r="F6" s="675">
        <v>50</v>
      </c>
      <c r="G6" s="675"/>
      <c r="H6" s="675"/>
      <c r="I6" s="675"/>
      <c r="J6" s="675">
        <v>100</v>
      </c>
      <c r="K6" s="675"/>
      <c r="L6" s="675"/>
      <c r="M6" s="675"/>
      <c r="N6" s="679">
        <f t="shared" si="0"/>
        <v>200</v>
      </c>
    </row>
    <row r="7" spans="1:14" ht="16.5" thickBot="1" x14ac:dyDescent="0.3">
      <c r="A7" s="677">
        <v>1000008</v>
      </c>
      <c r="B7" s="678" t="s">
        <v>7</v>
      </c>
      <c r="C7" s="674">
        <v>100</v>
      </c>
      <c r="D7" s="675"/>
      <c r="E7" s="675"/>
      <c r="F7" s="675"/>
      <c r="G7" s="675"/>
      <c r="H7" s="675"/>
      <c r="I7" s="675"/>
      <c r="J7" s="675"/>
      <c r="K7" s="675"/>
      <c r="L7" s="675"/>
      <c r="M7" s="675"/>
      <c r="N7" s="676">
        <f t="shared" si="0"/>
        <v>0</v>
      </c>
    </row>
    <row r="8" spans="1:14" ht="16.5" thickBot="1" x14ac:dyDescent="0.3">
      <c r="A8" s="677">
        <v>1000001</v>
      </c>
      <c r="B8" s="678" t="s">
        <v>8</v>
      </c>
      <c r="C8" s="674">
        <v>3</v>
      </c>
      <c r="D8" s="675">
        <v>3</v>
      </c>
      <c r="E8" s="675"/>
      <c r="F8" s="675">
        <v>4</v>
      </c>
      <c r="G8" s="675"/>
      <c r="H8" s="675">
        <v>3</v>
      </c>
      <c r="I8" s="675"/>
      <c r="J8" s="675">
        <v>5</v>
      </c>
      <c r="K8" s="675"/>
      <c r="L8" s="675"/>
      <c r="M8" s="675"/>
      <c r="N8" s="679">
        <f t="shared" si="0"/>
        <v>15</v>
      </c>
    </row>
    <row r="9" spans="1:14" ht="16.5" thickBot="1" x14ac:dyDescent="0.3">
      <c r="A9" s="677">
        <v>1000002</v>
      </c>
      <c r="B9" s="678" t="s">
        <v>9</v>
      </c>
      <c r="C9" s="674">
        <v>1</v>
      </c>
      <c r="D9" s="675"/>
      <c r="E9" s="675"/>
      <c r="F9" s="675"/>
      <c r="G9" s="675"/>
      <c r="H9" s="675"/>
      <c r="I9" s="675"/>
      <c r="J9" s="675"/>
      <c r="K9" s="675"/>
      <c r="L9" s="675"/>
      <c r="M9" s="675"/>
      <c r="N9" s="679">
        <f t="shared" si="0"/>
        <v>0</v>
      </c>
    </row>
    <row r="10" spans="1:14" ht="16.5" thickBot="1" x14ac:dyDescent="0.3">
      <c r="A10" s="677">
        <v>1000004</v>
      </c>
      <c r="B10" s="678" t="s">
        <v>10</v>
      </c>
      <c r="C10" s="674">
        <v>2</v>
      </c>
      <c r="D10" s="675">
        <v>2</v>
      </c>
      <c r="E10" s="675"/>
      <c r="F10" s="675">
        <v>1</v>
      </c>
      <c r="G10" s="675"/>
      <c r="H10" s="675">
        <v>2</v>
      </c>
      <c r="I10" s="675"/>
      <c r="J10" s="675">
        <v>2</v>
      </c>
      <c r="K10" s="675"/>
      <c r="L10" s="675"/>
      <c r="M10" s="675"/>
      <c r="N10" s="679">
        <f t="shared" si="0"/>
        <v>7</v>
      </c>
    </row>
    <row r="11" spans="1:14" ht="16.5" thickBot="1" x14ac:dyDescent="0.3">
      <c r="A11" s="677">
        <v>1000054</v>
      </c>
      <c r="B11" s="678" t="s">
        <v>12</v>
      </c>
      <c r="C11" s="674">
        <v>60</v>
      </c>
      <c r="D11" s="675"/>
      <c r="E11" s="675"/>
      <c r="F11" s="675"/>
      <c r="G11" s="675"/>
      <c r="H11" s="675">
        <v>5</v>
      </c>
      <c r="I11" s="675"/>
      <c r="J11" s="675">
        <v>10</v>
      </c>
      <c r="K11" s="675"/>
      <c r="L11" s="675"/>
      <c r="M11" s="675"/>
      <c r="N11" s="679">
        <f t="shared" si="0"/>
        <v>15</v>
      </c>
    </row>
    <row r="12" spans="1:14" ht="16.5" thickBot="1" x14ac:dyDescent="0.3">
      <c r="A12" s="677">
        <v>1000017</v>
      </c>
      <c r="B12" s="678" t="s">
        <v>14</v>
      </c>
      <c r="C12" s="674">
        <v>20</v>
      </c>
      <c r="D12" s="675">
        <v>10</v>
      </c>
      <c r="E12" s="675"/>
      <c r="F12" s="675">
        <v>10</v>
      </c>
      <c r="G12" s="675"/>
      <c r="H12" s="675">
        <v>15</v>
      </c>
      <c r="I12" s="675"/>
      <c r="J12" s="675">
        <v>20</v>
      </c>
      <c r="K12" s="675"/>
      <c r="L12" s="675"/>
      <c r="M12" s="675"/>
      <c r="N12" s="679">
        <f t="shared" si="0"/>
        <v>55</v>
      </c>
    </row>
    <row r="13" spans="1:14" ht="16.5" thickBot="1" x14ac:dyDescent="0.3">
      <c r="A13" s="677">
        <v>1000016</v>
      </c>
      <c r="B13" s="678" t="s">
        <v>15</v>
      </c>
      <c r="C13" s="674">
        <v>5</v>
      </c>
      <c r="D13" s="675"/>
      <c r="E13" s="675"/>
      <c r="F13" s="675">
        <v>5</v>
      </c>
      <c r="G13" s="675"/>
      <c r="H13" s="675"/>
      <c r="I13" s="675"/>
      <c r="J13" s="675"/>
      <c r="K13" s="675"/>
      <c r="L13" s="675"/>
      <c r="M13" s="675"/>
      <c r="N13" s="676">
        <f t="shared" si="0"/>
        <v>5</v>
      </c>
    </row>
    <row r="14" spans="1:14" ht="16.5" thickBot="1" x14ac:dyDescent="0.3">
      <c r="A14" s="677">
        <v>1000041</v>
      </c>
      <c r="B14" s="678" t="s">
        <v>16</v>
      </c>
      <c r="C14" s="674">
        <v>10</v>
      </c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676">
        <f t="shared" si="0"/>
        <v>0</v>
      </c>
    </row>
    <row r="15" spans="1:14" ht="16.5" thickBot="1" x14ac:dyDescent="0.3">
      <c r="A15" s="677">
        <v>1000049</v>
      </c>
      <c r="B15" s="680" t="s">
        <v>21</v>
      </c>
      <c r="C15" s="674">
        <v>1</v>
      </c>
      <c r="D15" s="675"/>
      <c r="E15" s="675"/>
      <c r="F15" s="675"/>
      <c r="G15" s="675"/>
      <c r="H15" s="675"/>
      <c r="I15" s="675"/>
      <c r="J15" s="675"/>
      <c r="K15" s="675"/>
      <c r="L15" s="675"/>
      <c r="M15" s="675"/>
      <c r="N15" s="679">
        <f t="shared" si="0"/>
        <v>0</v>
      </c>
    </row>
    <row r="16" spans="1:14" ht="16.5" thickBot="1" x14ac:dyDescent="0.3">
      <c r="A16" s="677">
        <v>1000050</v>
      </c>
      <c r="B16" s="678" t="s">
        <v>22</v>
      </c>
      <c r="C16" s="674">
        <v>1</v>
      </c>
      <c r="D16" s="675"/>
      <c r="E16" s="675"/>
      <c r="F16" s="675"/>
      <c r="G16" s="675"/>
      <c r="H16" s="675"/>
      <c r="I16" s="675"/>
      <c r="J16" s="675"/>
      <c r="K16" s="675"/>
      <c r="L16" s="675"/>
      <c r="M16" s="675"/>
      <c r="N16" s="679">
        <f t="shared" si="0"/>
        <v>0</v>
      </c>
    </row>
    <row r="17" spans="1:14" ht="16.5" thickBot="1" x14ac:dyDescent="0.3">
      <c r="A17" s="677">
        <v>1000045</v>
      </c>
      <c r="B17" s="678" t="s">
        <v>23</v>
      </c>
      <c r="C17" s="674">
        <v>1</v>
      </c>
      <c r="D17" s="675"/>
      <c r="E17" s="675"/>
      <c r="F17" s="675"/>
      <c r="G17" s="675"/>
      <c r="H17" s="675"/>
      <c r="I17" s="675"/>
      <c r="J17" s="675"/>
      <c r="K17" s="675"/>
      <c r="L17" s="675"/>
      <c r="M17" s="675"/>
      <c r="N17" s="676">
        <f t="shared" si="0"/>
        <v>0</v>
      </c>
    </row>
    <row r="18" spans="1:14" ht="16.5" thickBot="1" x14ac:dyDescent="0.3">
      <c r="A18" s="677">
        <v>1000030</v>
      </c>
      <c r="B18" s="678" t="s">
        <v>24</v>
      </c>
      <c r="C18" s="674">
        <v>4</v>
      </c>
      <c r="D18" s="675"/>
      <c r="E18" s="675"/>
      <c r="F18" s="675"/>
      <c r="G18" s="675"/>
      <c r="H18" s="675"/>
      <c r="I18" s="675"/>
      <c r="J18" s="675"/>
      <c r="K18" s="675"/>
      <c r="L18" s="675"/>
      <c r="M18" s="675"/>
      <c r="N18" s="676">
        <f t="shared" si="0"/>
        <v>0</v>
      </c>
    </row>
    <row r="19" spans="1:14" ht="16.5" thickBot="1" x14ac:dyDescent="0.3">
      <c r="A19" s="677">
        <v>1000031</v>
      </c>
      <c r="B19" s="678" t="s">
        <v>25</v>
      </c>
      <c r="C19" s="674">
        <v>4</v>
      </c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6">
        <f t="shared" si="0"/>
        <v>0</v>
      </c>
    </row>
    <row r="20" spans="1:14" ht="16.5" thickBot="1" x14ac:dyDescent="0.3">
      <c r="A20" s="677">
        <v>1000026</v>
      </c>
      <c r="B20" s="678" t="s">
        <v>31</v>
      </c>
      <c r="C20" s="674">
        <v>4</v>
      </c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6">
        <f t="shared" si="0"/>
        <v>0</v>
      </c>
    </row>
    <row r="21" spans="1:14" ht="16.5" thickBot="1" x14ac:dyDescent="0.3">
      <c r="A21" s="677">
        <v>1000027</v>
      </c>
      <c r="B21" s="678" t="s">
        <v>33</v>
      </c>
      <c r="C21" s="674">
        <v>12</v>
      </c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6">
        <f t="shared" si="0"/>
        <v>0</v>
      </c>
    </row>
    <row r="22" spans="1:14" ht="16.5" thickBot="1" x14ac:dyDescent="0.3">
      <c r="A22" s="677">
        <v>1000100</v>
      </c>
      <c r="B22" s="678" t="s">
        <v>34</v>
      </c>
      <c r="C22" s="674">
        <v>1</v>
      </c>
      <c r="D22" s="675"/>
      <c r="E22" s="675"/>
      <c r="F22" s="675"/>
      <c r="G22" s="675"/>
      <c r="H22" s="675"/>
      <c r="I22" s="675"/>
      <c r="J22" s="675"/>
      <c r="K22" s="675"/>
      <c r="L22" s="675"/>
      <c r="M22" s="675"/>
      <c r="N22" s="676">
        <f t="shared" si="0"/>
        <v>0</v>
      </c>
    </row>
    <row r="23" spans="1:14" ht="16.5" thickBot="1" x14ac:dyDescent="0.3">
      <c r="A23" s="677">
        <v>1000082</v>
      </c>
      <c r="B23" s="678" t="s">
        <v>37</v>
      </c>
      <c r="C23" s="674">
        <v>60</v>
      </c>
      <c r="D23" s="675"/>
      <c r="E23" s="675"/>
      <c r="F23" s="675"/>
      <c r="G23" s="675"/>
      <c r="H23" s="675"/>
      <c r="I23" s="675"/>
      <c r="J23" s="675"/>
      <c r="K23" s="675"/>
      <c r="L23" s="675"/>
      <c r="M23" s="675"/>
      <c r="N23" s="676">
        <f t="shared" si="0"/>
        <v>0</v>
      </c>
    </row>
    <row r="24" spans="1:14" ht="16.5" thickBot="1" x14ac:dyDescent="0.3">
      <c r="A24" s="677">
        <v>1000084</v>
      </c>
      <c r="B24" s="678" t="s">
        <v>38</v>
      </c>
      <c r="C24" s="674">
        <v>30</v>
      </c>
      <c r="D24" s="675">
        <v>12</v>
      </c>
      <c r="E24" s="675"/>
      <c r="F24" s="675">
        <v>12</v>
      </c>
      <c r="G24" s="675"/>
      <c r="H24" s="675">
        <v>8</v>
      </c>
      <c r="I24" s="675"/>
      <c r="J24" s="675">
        <v>12</v>
      </c>
      <c r="K24" s="675"/>
      <c r="L24" s="675"/>
      <c r="M24" s="675"/>
      <c r="N24" s="679">
        <f t="shared" si="0"/>
        <v>44</v>
      </c>
    </row>
    <row r="25" spans="1:14" ht="16.5" thickBot="1" x14ac:dyDescent="0.3">
      <c r="A25" s="677">
        <v>1000052</v>
      </c>
      <c r="B25" s="678" t="s">
        <v>41</v>
      </c>
      <c r="C25" s="674">
        <v>6</v>
      </c>
      <c r="D25" s="675">
        <v>3</v>
      </c>
      <c r="E25" s="675"/>
      <c r="F25" s="675">
        <v>3</v>
      </c>
      <c r="G25" s="675"/>
      <c r="H25" s="675">
        <v>3</v>
      </c>
      <c r="I25" s="675"/>
      <c r="J25" s="675">
        <v>4</v>
      </c>
      <c r="K25" s="675"/>
      <c r="L25" s="675"/>
      <c r="M25" s="675"/>
      <c r="N25" s="679">
        <f t="shared" si="0"/>
        <v>13</v>
      </c>
    </row>
    <row r="26" spans="1:14" ht="16.5" thickBot="1" x14ac:dyDescent="0.3">
      <c r="A26" s="677">
        <v>1000089</v>
      </c>
      <c r="B26" s="678" t="s">
        <v>42</v>
      </c>
      <c r="C26" s="674">
        <v>6</v>
      </c>
      <c r="D26" s="675"/>
      <c r="E26" s="675"/>
      <c r="F26" s="675">
        <v>2</v>
      </c>
      <c r="G26" s="675"/>
      <c r="H26" s="675">
        <v>3</v>
      </c>
      <c r="I26" s="675"/>
      <c r="J26" s="675">
        <v>4</v>
      </c>
      <c r="K26" s="675"/>
      <c r="L26" s="675"/>
      <c r="M26" s="675"/>
      <c r="N26" s="679">
        <f t="shared" si="0"/>
        <v>9</v>
      </c>
    </row>
    <row r="27" spans="1:14" ht="16.5" thickBot="1" x14ac:dyDescent="0.3">
      <c r="A27" s="677">
        <v>1000051</v>
      </c>
      <c r="B27" s="678" t="s">
        <v>43</v>
      </c>
      <c r="C27" s="674">
        <v>1</v>
      </c>
      <c r="D27" s="675">
        <v>1</v>
      </c>
      <c r="E27" s="675"/>
      <c r="F27" s="675"/>
      <c r="G27" s="675"/>
      <c r="H27" s="675">
        <v>2</v>
      </c>
      <c r="I27" s="675"/>
      <c r="J27" s="675"/>
      <c r="K27" s="675"/>
      <c r="L27" s="675"/>
      <c r="M27" s="675"/>
      <c r="N27" s="676">
        <f t="shared" si="0"/>
        <v>3</v>
      </c>
    </row>
    <row r="28" spans="1:14" ht="16.5" thickBot="1" x14ac:dyDescent="0.3">
      <c r="A28" s="677">
        <v>1000048</v>
      </c>
      <c r="B28" s="678" t="s">
        <v>45</v>
      </c>
      <c r="C28" s="674">
        <v>1</v>
      </c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6">
        <f t="shared" si="0"/>
        <v>0</v>
      </c>
    </row>
    <row r="29" spans="1:14" ht="16.5" thickBot="1" x14ac:dyDescent="0.3">
      <c r="A29" s="677">
        <v>1000142</v>
      </c>
      <c r="B29" s="678" t="s">
        <v>54</v>
      </c>
      <c r="C29" s="674">
        <v>1</v>
      </c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6">
        <f t="shared" si="0"/>
        <v>0</v>
      </c>
    </row>
    <row r="30" spans="1:14" ht="16.5" thickBot="1" x14ac:dyDescent="0.3">
      <c r="A30" s="677">
        <v>1000205</v>
      </c>
      <c r="B30" s="678" t="s">
        <v>82</v>
      </c>
      <c r="C30" s="674">
        <v>1</v>
      </c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6">
        <f t="shared" si="0"/>
        <v>0</v>
      </c>
    </row>
    <row r="31" spans="1:14" ht="16.5" thickBot="1" x14ac:dyDescent="0.3">
      <c r="A31" s="677">
        <v>1000070</v>
      </c>
      <c r="B31" s="678" t="s">
        <v>13</v>
      </c>
      <c r="C31" s="674">
        <v>1</v>
      </c>
      <c r="D31" s="675"/>
      <c r="E31" s="675"/>
      <c r="F31" s="675">
        <v>1</v>
      </c>
      <c r="G31" s="675"/>
      <c r="H31" s="675"/>
      <c r="I31" s="675"/>
      <c r="J31" s="675"/>
      <c r="K31" s="675"/>
      <c r="L31" s="675"/>
      <c r="M31" s="675"/>
      <c r="N31" s="676">
        <f t="shared" si="0"/>
        <v>1</v>
      </c>
    </row>
    <row r="32" spans="1:14" ht="16.5" thickBot="1" x14ac:dyDescent="0.3">
      <c r="A32" s="677">
        <v>1000067</v>
      </c>
      <c r="B32" s="678" t="s">
        <v>11</v>
      </c>
      <c r="C32" s="674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6">
        <f t="shared" si="0"/>
        <v>0</v>
      </c>
    </row>
    <row r="33" spans="1:14" ht="16.5" thickBot="1" x14ac:dyDescent="0.3">
      <c r="A33" s="677">
        <v>1000146</v>
      </c>
      <c r="B33" s="678" t="s">
        <v>39</v>
      </c>
      <c r="C33" s="674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6">
        <f t="shared" si="0"/>
        <v>0</v>
      </c>
    </row>
    <row r="34" spans="1:14" ht="16.5" thickBot="1" x14ac:dyDescent="0.3">
      <c r="A34" s="677">
        <v>1000032</v>
      </c>
      <c r="B34" s="678" t="s">
        <v>26</v>
      </c>
      <c r="C34" s="674"/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76">
        <f t="shared" si="0"/>
        <v>0</v>
      </c>
    </row>
    <row r="35" spans="1:14" ht="16.5" thickBot="1" x14ac:dyDescent="0.3">
      <c r="A35" s="677">
        <v>1000087</v>
      </c>
      <c r="B35" s="678" t="s">
        <v>197</v>
      </c>
      <c r="C35" s="674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9">
        <f t="shared" si="0"/>
        <v>0</v>
      </c>
    </row>
    <row r="36" spans="1:14" ht="16.5" thickBot="1" x14ac:dyDescent="0.3">
      <c r="A36" s="677">
        <v>1000011</v>
      </c>
      <c r="B36" s="678" t="s">
        <v>18</v>
      </c>
      <c r="C36" s="674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6">
        <f t="shared" si="0"/>
        <v>0</v>
      </c>
    </row>
    <row r="37" spans="1:14" ht="16.5" thickBot="1" x14ac:dyDescent="0.3">
      <c r="A37" s="677">
        <v>1000075</v>
      </c>
      <c r="B37" s="678" t="s">
        <v>47</v>
      </c>
      <c r="C37" s="674"/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79">
        <f t="shared" si="0"/>
        <v>0</v>
      </c>
    </row>
    <row r="38" spans="1:14" ht="16.5" thickBot="1" x14ac:dyDescent="0.3">
      <c r="A38" s="677">
        <v>1000147</v>
      </c>
      <c r="B38" s="678" t="s">
        <v>52</v>
      </c>
      <c r="C38" s="674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6">
        <f t="shared" si="0"/>
        <v>0</v>
      </c>
    </row>
    <row r="39" spans="1:14" ht="16.5" thickBot="1" x14ac:dyDescent="0.3">
      <c r="A39" s="677">
        <v>10000102</v>
      </c>
      <c r="B39" s="678" t="s">
        <v>2</v>
      </c>
      <c r="C39" s="674"/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76">
        <f t="shared" si="0"/>
        <v>0</v>
      </c>
    </row>
    <row r="40" spans="1:14" ht="16.5" thickBot="1" x14ac:dyDescent="0.3">
      <c r="A40" s="677">
        <v>1000029</v>
      </c>
      <c r="B40" s="678" t="s">
        <v>30</v>
      </c>
      <c r="C40" s="674"/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6">
        <f t="shared" si="0"/>
        <v>0</v>
      </c>
    </row>
    <row r="41" spans="1:14" ht="16.5" thickBot="1" x14ac:dyDescent="0.3">
      <c r="A41" s="677">
        <v>1000073</v>
      </c>
      <c r="B41" s="678" t="s">
        <v>36</v>
      </c>
      <c r="C41" s="674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6">
        <f t="shared" si="0"/>
        <v>0</v>
      </c>
    </row>
    <row r="42" spans="1:14" ht="16.5" thickBot="1" x14ac:dyDescent="0.3">
      <c r="A42" s="677">
        <v>1000076</v>
      </c>
      <c r="B42" s="678" t="s">
        <v>46</v>
      </c>
      <c r="C42" s="674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6">
        <f t="shared" si="0"/>
        <v>0</v>
      </c>
    </row>
    <row r="43" spans="1:14" ht="16.5" thickBot="1" x14ac:dyDescent="0.3">
      <c r="A43" s="677">
        <v>10211</v>
      </c>
      <c r="B43" s="678" t="s">
        <v>3</v>
      </c>
      <c r="C43" s="674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6">
        <f t="shared" si="0"/>
        <v>0</v>
      </c>
    </row>
    <row r="44" spans="1:14" ht="16.5" thickBot="1" x14ac:dyDescent="0.3">
      <c r="A44" s="677">
        <v>1000007</v>
      </c>
      <c r="B44" s="678" t="s">
        <v>5</v>
      </c>
      <c r="C44" s="674"/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76">
        <f t="shared" si="0"/>
        <v>0</v>
      </c>
    </row>
    <row r="45" spans="1:14" ht="16.5" thickBot="1" x14ac:dyDescent="0.3">
      <c r="A45" s="677">
        <v>1000033</v>
      </c>
      <c r="B45" s="678" t="s">
        <v>27</v>
      </c>
      <c r="C45" s="674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9">
        <f t="shared" si="0"/>
        <v>0</v>
      </c>
    </row>
    <row r="46" spans="1:14" ht="16.5" thickBot="1" x14ac:dyDescent="0.3">
      <c r="A46" s="677">
        <v>10248</v>
      </c>
      <c r="B46" s="678" t="s">
        <v>183</v>
      </c>
      <c r="C46" s="674"/>
      <c r="D46" s="675">
        <v>6</v>
      </c>
      <c r="E46" s="675"/>
      <c r="F46" s="675">
        <v>6</v>
      </c>
      <c r="G46" s="675"/>
      <c r="H46" s="675">
        <v>9</v>
      </c>
      <c r="I46" s="675"/>
      <c r="J46" s="675">
        <v>9</v>
      </c>
      <c r="K46" s="675"/>
      <c r="L46" s="675"/>
      <c r="M46" s="675"/>
      <c r="N46" s="679">
        <f t="shared" si="0"/>
        <v>30</v>
      </c>
    </row>
    <row r="47" spans="1:14" ht="16.5" thickBot="1" x14ac:dyDescent="0.3">
      <c r="A47" s="677">
        <v>1000025</v>
      </c>
      <c r="B47" s="678" t="s">
        <v>32</v>
      </c>
      <c r="C47" s="674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6">
        <f t="shared" si="0"/>
        <v>0</v>
      </c>
    </row>
    <row r="48" spans="1:14" ht="16.5" thickBot="1" x14ac:dyDescent="0.3">
      <c r="A48" s="677">
        <v>1000067</v>
      </c>
      <c r="B48" s="678" t="s">
        <v>11</v>
      </c>
      <c r="C48" s="674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6">
        <f t="shared" si="0"/>
        <v>0</v>
      </c>
    </row>
    <row r="49" spans="1:14" ht="16.5" thickBot="1" x14ac:dyDescent="0.3">
      <c r="A49" s="677">
        <v>1000090</v>
      </c>
      <c r="B49" s="678" t="s">
        <v>40</v>
      </c>
      <c r="C49" s="674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9">
        <f t="shared" si="0"/>
        <v>0</v>
      </c>
    </row>
    <row r="50" spans="1:14" ht="16.5" thickBot="1" x14ac:dyDescent="0.3">
      <c r="A50" s="677">
        <v>1000383</v>
      </c>
      <c r="B50" s="678" t="s">
        <v>264</v>
      </c>
      <c r="C50" s="674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6">
        <f t="shared" si="0"/>
        <v>0</v>
      </c>
    </row>
    <row r="51" spans="1:14" ht="16.5" thickBot="1" x14ac:dyDescent="0.3">
      <c r="A51" s="677">
        <v>1000436</v>
      </c>
      <c r="B51" s="678" t="s">
        <v>276</v>
      </c>
      <c r="C51" s="674"/>
      <c r="D51" s="675"/>
      <c r="E51" s="675"/>
      <c r="F51" s="675"/>
      <c r="G51" s="675"/>
      <c r="H51" s="675"/>
      <c r="I51" s="675"/>
      <c r="J51" s="675"/>
      <c r="K51" s="675"/>
      <c r="L51" s="675"/>
      <c r="M51" s="675"/>
      <c r="N51" s="676">
        <f t="shared" si="0"/>
        <v>0</v>
      </c>
    </row>
    <row r="52" spans="1:14" ht="16.5" thickBot="1" x14ac:dyDescent="0.3">
      <c r="A52" s="677">
        <v>1000550</v>
      </c>
      <c r="B52" s="678" t="s">
        <v>277</v>
      </c>
      <c r="C52" s="674"/>
      <c r="D52" s="675"/>
      <c r="E52" s="675"/>
      <c r="F52" s="675"/>
      <c r="G52" s="675"/>
      <c r="H52" s="675"/>
      <c r="I52" s="675"/>
      <c r="J52" s="675"/>
      <c r="K52" s="675"/>
      <c r="L52" s="675"/>
      <c r="M52" s="675"/>
      <c r="N52" s="676">
        <f t="shared" si="0"/>
        <v>0</v>
      </c>
    </row>
    <row r="53" spans="1:14" ht="16.5" thickBot="1" x14ac:dyDescent="0.3">
      <c r="A53" s="677">
        <v>1000551</v>
      </c>
      <c r="B53" s="678" t="s">
        <v>278</v>
      </c>
      <c r="C53" s="677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6">
        <f t="shared" si="0"/>
        <v>0</v>
      </c>
    </row>
    <row r="54" spans="1:14" ht="16.5" thickBot="1" x14ac:dyDescent="0.3">
      <c r="A54" s="681">
        <v>1000092</v>
      </c>
      <c r="B54" s="678" t="s">
        <v>51</v>
      </c>
      <c r="C54" s="682"/>
      <c r="D54" s="675">
        <v>1</v>
      </c>
      <c r="E54" s="675"/>
      <c r="F54" s="675"/>
      <c r="G54" s="675"/>
      <c r="H54" s="675"/>
      <c r="I54" s="675"/>
      <c r="J54" s="675"/>
      <c r="K54" s="675"/>
      <c r="L54" s="675"/>
      <c r="M54" s="675"/>
      <c r="N54" s="679">
        <f t="shared" si="0"/>
        <v>1</v>
      </c>
    </row>
    <row r="55" spans="1:14" ht="16.5" thickBot="1" x14ac:dyDescent="0.3">
      <c r="A55" s="681">
        <v>10249</v>
      </c>
      <c r="B55" s="678" t="s">
        <v>181</v>
      </c>
      <c r="C55" s="677"/>
      <c r="D55" s="675">
        <v>16</v>
      </c>
      <c r="E55" s="675"/>
      <c r="F55" s="675">
        <v>16</v>
      </c>
      <c r="G55" s="675"/>
      <c r="H55" s="675">
        <v>16</v>
      </c>
      <c r="I55" s="675"/>
      <c r="J55" s="675">
        <v>24</v>
      </c>
      <c r="K55" s="675"/>
      <c r="L55" s="675"/>
      <c r="M55" s="675"/>
      <c r="N55" s="679">
        <f t="shared" si="0"/>
        <v>72</v>
      </c>
    </row>
    <row r="56" spans="1:14" ht="16.5" thickBot="1" x14ac:dyDescent="0.3">
      <c r="A56" s="681">
        <v>1000057</v>
      </c>
      <c r="B56" s="678" t="s">
        <v>465</v>
      </c>
      <c r="C56" s="677"/>
      <c r="D56" s="675"/>
      <c r="E56" s="675"/>
      <c r="F56" s="675"/>
      <c r="G56" s="675"/>
      <c r="H56" s="675"/>
      <c r="I56" s="675"/>
      <c r="J56" s="675">
        <v>1</v>
      </c>
      <c r="K56" s="675"/>
      <c r="L56" s="675"/>
      <c r="M56" s="675"/>
      <c r="N56" s="679">
        <f t="shared" si="0"/>
        <v>1</v>
      </c>
    </row>
    <row r="57" spans="1:14" x14ac:dyDescent="0.25">
      <c r="A57" s="681"/>
      <c r="B57" s="678"/>
      <c r="C57" s="677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9">
        <f t="shared" si="0"/>
        <v>0</v>
      </c>
    </row>
  </sheetData>
  <mergeCells count="2">
    <mergeCell ref="A1:B2"/>
    <mergeCell ref="D1:H2"/>
  </mergeCells>
  <phoneticPr fontId="108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57BE-6AA7-4DAC-9622-0E6523800E21}">
  <sheetPr>
    <tabColor theme="7" tint="-0.249977111117893"/>
    <pageSetUpPr fitToPage="1"/>
  </sheetPr>
  <dimension ref="A1:P50"/>
  <sheetViews>
    <sheetView topLeftCell="A6" zoomScale="70" zoomScaleNormal="70" workbookViewId="0">
      <selection activeCell="R43" sqref="R43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.125" style="27" customWidth="1"/>
    <col min="4" max="4" width="8.125" style="27" bestFit="1" customWidth="1"/>
    <col min="5" max="5" width="1.625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7" style="27" customWidth="1"/>
    <col min="10" max="10" width="9.125" style="27" bestFit="1" customWidth="1"/>
    <col min="11" max="11" width="6.2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7" style="27" customWidth="1"/>
    <col min="16" max="16384" width="10.875" style="27"/>
  </cols>
  <sheetData>
    <row r="1" spans="1:16" ht="15" customHeight="1" x14ac:dyDescent="0.45">
      <c r="A1" s="686" t="s">
        <v>124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379</v>
      </c>
      <c r="F2" s="754"/>
      <c r="G2" s="755"/>
      <c r="H2" s="755"/>
      <c r="I2" s="755"/>
      <c r="J2" s="756"/>
      <c r="K2" s="2"/>
    </row>
    <row r="3" spans="1:16" s="3" customFormat="1" ht="29.25" customHeight="1" thickBot="1" x14ac:dyDescent="0.3">
      <c r="A3" s="5"/>
      <c r="B3" s="5" t="s">
        <v>395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>
        <v>5</v>
      </c>
      <c r="M5" s="28"/>
      <c r="N5" s="28"/>
      <c r="O5" s="28"/>
      <c r="P5" s="446">
        <f>SUM(F5:O5)</f>
        <v>5</v>
      </c>
    </row>
    <row r="6" spans="1:16" ht="15.75" thickBot="1" x14ac:dyDescent="0.3">
      <c r="A6" s="35">
        <v>1000006</v>
      </c>
      <c r="B6" s="12" t="s">
        <v>4</v>
      </c>
      <c r="C6" s="41"/>
      <c r="D6" s="47">
        <v>50</v>
      </c>
      <c r="F6" s="28"/>
      <c r="G6" s="28"/>
      <c r="H6" s="28">
        <v>50</v>
      </c>
      <c r="I6" s="28"/>
      <c r="J6" s="28"/>
      <c r="K6" s="28"/>
      <c r="L6" s="28">
        <v>50</v>
      </c>
      <c r="M6" s="28"/>
      <c r="N6" s="28"/>
      <c r="O6" s="28"/>
      <c r="P6" s="446">
        <f t="shared" ref="P6:P50" si="0">SUM(F6:O6)</f>
        <v>100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50</v>
      </c>
      <c r="F7" s="28"/>
      <c r="G7" s="28"/>
      <c r="H7" s="28">
        <v>50</v>
      </c>
      <c r="I7" s="28"/>
      <c r="J7" s="28"/>
      <c r="K7" s="28"/>
      <c r="L7" s="28">
        <v>50</v>
      </c>
      <c r="M7" s="28"/>
      <c r="N7" s="28"/>
      <c r="O7" s="28"/>
      <c r="P7" s="446">
        <f t="shared" si="0"/>
        <v>100</v>
      </c>
    </row>
    <row r="8" spans="1:16" ht="15.75" thickBot="1" x14ac:dyDescent="0.3">
      <c r="A8" s="35">
        <v>1000008</v>
      </c>
      <c r="B8" s="12" t="s">
        <v>7</v>
      </c>
      <c r="C8" s="41"/>
      <c r="D8" s="47">
        <v>4</v>
      </c>
      <c r="F8" s="28"/>
      <c r="G8" s="28"/>
      <c r="H8" s="28">
        <v>50</v>
      </c>
      <c r="I8" s="28"/>
      <c r="J8" s="28"/>
      <c r="K8" s="28"/>
      <c r="L8" s="28"/>
      <c r="M8" s="28"/>
      <c r="N8" s="28"/>
      <c r="O8" s="28"/>
      <c r="P8" s="446">
        <f t="shared" si="0"/>
        <v>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/>
      <c r="G9" s="28"/>
      <c r="H9" s="28">
        <v>3</v>
      </c>
      <c r="I9" s="28"/>
      <c r="J9" s="28"/>
      <c r="K9" s="28"/>
      <c r="L9" s="28">
        <v>3</v>
      </c>
      <c r="M9" s="28"/>
      <c r="N9" s="28"/>
      <c r="O9" s="28"/>
      <c r="P9" s="446">
        <f t="shared" si="0"/>
        <v>6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117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1</v>
      </c>
      <c r="F11" s="28"/>
      <c r="G11" s="28"/>
      <c r="H11" s="28">
        <v>2</v>
      </c>
      <c r="I11" s="28"/>
      <c r="J11" s="28"/>
      <c r="K11" s="28"/>
      <c r="L11" s="28">
        <v>2</v>
      </c>
      <c r="M11" s="28"/>
      <c r="N11" s="28"/>
      <c r="O11" s="28"/>
      <c r="P11" s="446">
        <f t="shared" si="0"/>
        <v>4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5</v>
      </c>
      <c r="F12" s="28"/>
      <c r="G12" s="28"/>
      <c r="H12" s="28">
        <v>5</v>
      </c>
      <c r="I12" s="28"/>
      <c r="J12" s="28"/>
      <c r="K12" s="28"/>
      <c r="L12" s="28">
        <v>5</v>
      </c>
      <c r="M12" s="28"/>
      <c r="N12" s="28"/>
      <c r="O12" s="28"/>
      <c r="P12" s="446">
        <f t="shared" si="0"/>
        <v>10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/>
      <c r="G13" s="28"/>
      <c r="H13" s="28">
        <v>1</v>
      </c>
      <c r="I13" s="28"/>
      <c r="J13" s="28"/>
      <c r="K13" s="28"/>
      <c r="L13" s="28"/>
      <c r="M13" s="28"/>
      <c r="N13" s="28"/>
      <c r="O13" s="28"/>
      <c r="P13" s="446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10</v>
      </c>
      <c r="F14" s="28"/>
      <c r="G14" s="28"/>
      <c r="H14" s="28">
        <v>15</v>
      </c>
      <c r="I14" s="28"/>
      <c r="J14" s="28"/>
      <c r="K14" s="28"/>
      <c r="L14" s="28">
        <v>15</v>
      </c>
      <c r="M14" s="28"/>
      <c r="N14" s="28"/>
      <c r="O14" s="28"/>
      <c r="P14" s="446">
        <f t="shared" si="0"/>
        <v>30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2</v>
      </c>
      <c r="F15" s="28"/>
      <c r="G15" s="28"/>
      <c r="H15" s="28">
        <v>5</v>
      </c>
      <c r="I15" s="28"/>
      <c r="J15" s="28"/>
      <c r="K15" s="28"/>
      <c r="L15" s="28"/>
      <c r="M15" s="28"/>
      <c r="N15" s="28"/>
      <c r="O15" s="28"/>
      <c r="P15" s="446">
        <f t="shared" si="0"/>
        <v>5</v>
      </c>
    </row>
    <row r="16" spans="1:16" ht="15.75" thickBot="1" x14ac:dyDescent="0.3">
      <c r="A16" s="35">
        <v>1000050</v>
      </c>
      <c r="B16" s="13" t="s">
        <v>22</v>
      </c>
      <c r="C16" s="41"/>
      <c r="D16" s="47">
        <v>1</v>
      </c>
      <c r="F16" s="28"/>
      <c r="G16" s="28"/>
      <c r="H16" s="28">
        <v>2</v>
      </c>
      <c r="I16" s="28"/>
      <c r="J16" s="28"/>
      <c r="K16" s="28"/>
      <c r="L16" s="28">
        <v>2</v>
      </c>
      <c r="M16" s="28"/>
      <c r="N16" s="28"/>
      <c r="O16" s="28"/>
      <c r="P16" s="446">
        <f t="shared" si="0"/>
        <v>4</v>
      </c>
    </row>
    <row r="17" spans="1:16" ht="15.75" thickBot="1" x14ac:dyDescent="0.3">
      <c r="A17" s="35">
        <v>1000025</v>
      </c>
      <c r="B17" s="12" t="s">
        <v>32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117">
        <f t="shared" si="0"/>
        <v>0</v>
      </c>
    </row>
    <row r="18" spans="1:16" ht="15.75" thickBot="1" x14ac:dyDescent="0.3">
      <c r="A18" s="35">
        <v>1000082</v>
      </c>
      <c r="B18" s="12" t="s">
        <v>37</v>
      </c>
      <c r="C18" s="41"/>
      <c r="D18" s="47">
        <v>13</v>
      </c>
      <c r="F18" s="28"/>
      <c r="G18" s="28"/>
      <c r="H18" s="28">
        <v>24</v>
      </c>
      <c r="I18" s="28"/>
      <c r="J18" s="28"/>
      <c r="K18" s="28"/>
      <c r="L18" s="28">
        <v>24</v>
      </c>
      <c r="M18" s="28"/>
      <c r="N18" s="28"/>
      <c r="O18" s="28"/>
      <c r="P18" s="446">
        <f t="shared" si="0"/>
        <v>48</v>
      </c>
    </row>
    <row r="19" spans="1:16" ht="15.75" thickBot="1" x14ac:dyDescent="0.3">
      <c r="A19" s="35">
        <v>1000084</v>
      </c>
      <c r="B19" s="12" t="s">
        <v>38</v>
      </c>
      <c r="C19" s="41"/>
      <c r="D19" s="47">
        <v>6</v>
      </c>
      <c r="F19" s="28"/>
      <c r="G19" s="28"/>
      <c r="H19" s="28">
        <v>16</v>
      </c>
      <c r="I19" s="28"/>
      <c r="J19" s="28"/>
      <c r="K19" s="28"/>
      <c r="L19" s="28">
        <v>16</v>
      </c>
      <c r="M19" s="28"/>
      <c r="N19" s="28"/>
      <c r="O19" s="28"/>
      <c r="P19" s="446">
        <f t="shared" si="0"/>
        <v>32</v>
      </c>
    </row>
    <row r="20" spans="1:16" ht="15.75" thickBot="1" x14ac:dyDescent="0.3">
      <c r="A20" s="35">
        <v>1000146</v>
      </c>
      <c r="B20" s="12" t="s">
        <v>39</v>
      </c>
      <c r="C20" s="41"/>
      <c r="D20" s="47">
        <v>8</v>
      </c>
      <c r="F20" s="28"/>
      <c r="G20" s="28"/>
      <c r="H20" s="28">
        <v>20</v>
      </c>
      <c r="I20" s="28"/>
      <c r="J20" s="28"/>
      <c r="K20" s="28"/>
      <c r="L20" s="28">
        <v>20</v>
      </c>
      <c r="M20" s="28"/>
      <c r="N20" s="28"/>
      <c r="O20" s="28"/>
      <c r="P20" s="446">
        <f t="shared" si="0"/>
        <v>40</v>
      </c>
    </row>
    <row r="21" spans="1:16" ht="15.75" thickBot="1" x14ac:dyDescent="0.3">
      <c r="A21" s="35">
        <v>10248</v>
      </c>
      <c r="B21" s="12" t="s">
        <v>183</v>
      </c>
      <c r="C21" s="41"/>
      <c r="D21" s="47">
        <v>0</v>
      </c>
      <c r="F21" s="28"/>
      <c r="G21" s="28"/>
      <c r="H21" s="28">
        <v>9</v>
      </c>
      <c r="I21" s="28"/>
      <c r="J21" s="28"/>
      <c r="K21" s="28"/>
      <c r="L21" s="28">
        <v>9</v>
      </c>
      <c r="M21" s="28"/>
      <c r="N21" s="28"/>
      <c r="O21" s="28"/>
      <c r="P21" s="446">
        <f t="shared" si="0"/>
        <v>18</v>
      </c>
    </row>
    <row r="22" spans="1:16" ht="15.75" thickBot="1" x14ac:dyDescent="0.3">
      <c r="A22" s="35">
        <v>1000090</v>
      </c>
      <c r="B22" s="12" t="s">
        <v>40</v>
      </c>
      <c r="C22" s="41"/>
      <c r="D22" s="47">
        <v>0</v>
      </c>
      <c r="F22" s="28"/>
      <c r="G22" s="28"/>
      <c r="H22" s="28">
        <v>1</v>
      </c>
      <c r="I22" s="28"/>
      <c r="J22" s="28"/>
      <c r="K22" s="28"/>
      <c r="L22" s="28">
        <v>2</v>
      </c>
      <c r="M22" s="28"/>
      <c r="N22" s="28"/>
      <c r="O22" s="28"/>
      <c r="P22" s="446">
        <f t="shared" si="0"/>
        <v>3</v>
      </c>
    </row>
    <row r="23" spans="1:16" ht="15.75" thickBot="1" x14ac:dyDescent="0.3">
      <c r="A23" s="35">
        <v>1000052</v>
      </c>
      <c r="B23" s="12" t="s">
        <v>41</v>
      </c>
      <c r="C23" s="41"/>
      <c r="D23" s="47">
        <v>1</v>
      </c>
      <c r="F23" s="28"/>
      <c r="G23" s="28"/>
      <c r="H23" s="28">
        <v>2</v>
      </c>
      <c r="I23" s="28"/>
      <c r="J23" s="28"/>
      <c r="K23" s="28"/>
      <c r="L23" s="28">
        <v>2</v>
      </c>
      <c r="M23" s="28"/>
      <c r="N23" s="28"/>
      <c r="O23" s="28"/>
      <c r="P23" s="446">
        <f t="shared" si="0"/>
        <v>4</v>
      </c>
    </row>
    <row r="24" spans="1:16" ht="15.75" thickBot="1" x14ac:dyDescent="0.3">
      <c r="A24" s="35">
        <v>1000089</v>
      </c>
      <c r="B24" s="12" t="s">
        <v>42</v>
      </c>
      <c r="C24" s="41"/>
      <c r="D24" s="47">
        <v>1</v>
      </c>
      <c r="F24" s="28"/>
      <c r="G24" s="28"/>
      <c r="H24" s="28">
        <v>2</v>
      </c>
      <c r="I24" s="28"/>
      <c r="J24" s="28"/>
      <c r="K24" s="28"/>
      <c r="L24" s="28">
        <v>1</v>
      </c>
      <c r="M24" s="28"/>
      <c r="N24" s="28"/>
      <c r="O24" s="28"/>
      <c r="P24" s="446">
        <f t="shared" si="0"/>
        <v>3</v>
      </c>
    </row>
    <row r="25" spans="1:16" ht="15.75" thickBot="1" x14ac:dyDescent="0.3">
      <c r="A25" s="35">
        <v>1000051</v>
      </c>
      <c r="B25" s="12" t="s">
        <v>43</v>
      </c>
      <c r="C25" s="41"/>
      <c r="D25" s="47">
        <v>1</v>
      </c>
      <c r="F25" s="28"/>
      <c r="G25" s="28"/>
      <c r="H25" s="28">
        <v>1</v>
      </c>
      <c r="I25" s="28"/>
      <c r="J25" s="28"/>
      <c r="K25" s="28"/>
      <c r="L25" s="28"/>
      <c r="M25" s="28"/>
      <c r="N25" s="28"/>
      <c r="O25" s="28"/>
      <c r="P25" s="446">
        <f t="shared" si="0"/>
        <v>1</v>
      </c>
    </row>
    <row r="26" spans="1:16" ht="15.75" thickBot="1" x14ac:dyDescent="0.3">
      <c r="A26" s="35">
        <v>1000048</v>
      </c>
      <c r="B26" s="12" t="s">
        <v>45</v>
      </c>
      <c r="C26" s="41"/>
      <c r="D26" s="47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7">
        <f t="shared" si="0"/>
        <v>0</v>
      </c>
    </row>
    <row r="27" spans="1:16" ht="15.75" thickBot="1" x14ac:dyDescent="0.3">
      <c r="A27" s="35">
        <v>1000092</v>
      </c>
      <c r="B27" s="12" t="s">
        <v>51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17">
        <f t="shared" si="0"/>
        <v>0</v>
      </c>
    </row>
    <row r="28" spans="1:16" ht="15.75" thickBot="1" x14ac:dyDescent="0.3">
      <c r="A28" s="35">
        <v>1000045</v>
      </c>
      <c r="B28" s="12" t="s">
        <v>23</v>
      </c>
      <c r="C28" s="41"/>
      <c r="D28" s="4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17">
        <f t="shared" si="0"/>
        <v>0</v>
      </c>
    </row>
    <row r="29" spans="1:16" s="15" customFormat="1" ht="15.95" customHeight="1" thickBot="1" x14ac:dyDescent="0.3">
      <c r="A29" s="35">
        <v>1000029</v>
      </c>
      <c r="B29" s="12" t="s">
        <v>30</v>
      </c>
      <c r="C29" s="41"/>
      <c r="D29" s="47"/>
      <c r="E29" s="27"/>
      <c r="F29" s="28"/>
      <c r="G29" s="28"/>
      <c r="H29" s="28">
        <v>1</v>
      </c>
      <c r="I29" s="28"/>
      <c r="J29" s="28"/>
      <c r="K29" s="28"/>
      <c r="L29" s="28"/>
      <c r="M29" s="28"/>
      <c r="N29" s="28"/>
      <c r="O29" s="28"/>
      <c r="P29" s="446">
        <f t="shared" si="0"/>
        <v>1</v>
      </c>
    </row>
    <row r="30" spans="1:16" ht="15.75" thickBot="1" x14ac:dyDescent="0.3">
      <c r="A30" s="35">
        <v>1000033</v>
      </c>
      <c r="B30" s="12" t="s">
        <v>28</v>
      </c>
      <c r="C30" s="41"/>
      <c r="D30" s="4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17">
        <f t="shared" si="0"/>
        <v>0</v>
      </c>
    </row>
    <row r="31" spans="1:16" ht="15.75" thickBot="1" x14ac:dyDescent="0.3">
      <c r="A31" s="35">
        <v>1000142</v>
      </c>
      <c r="B31" s="12" t="s">
        <v>54</v>
      </c>
      <c r="C31" s="41"/>
      <c r="D31" s="47"/>
      <c r="F31" s="28"/>
      <c r="G31" s="28"/>
      <c r="H31" s="28">
        <v>1</v>
      </c>
      <c r="I31" s="28"/>
      <c r="J31" s="28"/>
      <c r="K31" s="28"/>
      <c r="L31" s="28"/>
      <c r="M31" s="28"/>
      <c r="N31" s="28"/>
      <c r="O31" s="28"/>
      <c r="P31" s="446">
        <f t="shared" si="0"/>
        <v>1</v>
      </c>
    </row>
    <row r="32" spans="1:16" ht="15.75" thickBot="1" x14ac:dyDescent="0.3">
      <c r="A32" s="35">
        <v>1000067</v>
      </c>
      <c r="B32" s="12" t="s">
        <v>11</v>
      </c>
      <c r="C32" s="41"/>
      <c r="D32" s="47"/>
      <c r="F32" s="28"/>
      <c r="G32" s="28"/>
      <c r="H32" s="28">
        <v>1</v>
      </c>
      <c r="I32" s="28"/>
      <c r="J32" s="28"/>
      <c r="K32" s="28"/>
      <c r="L32" s="28">
        <v>1</v>
      </c>
      <c r="M32" s="28"/>
      <c r="N32" s="28"/>
      <c r="O32" s="28"/>
      <c r="P32" s="446">
        <f t="shared" si="0"/>
        <v>2</v>
      </c>
    </row>
    <row r="33" spans="1:16" ht="15.75" thickBot="1" x14ac:dyDescent="0.3">
      <c r="A33" s="35">
        <v>1000049</v>
      </c>
      <c r="B33" s="12" t="s">
        <v>21</v>
      </c>
      <c r="C33" s="41"/>
      <c r="D33" s="47"/>
      <c r="F33" s="28"/>
      <c r="G33" s="28"/>
      <c r="H33" s="28">
        <v>2</v>
      </c>
      <c r="I33" s="28"/>
      <c r="J33" s="28"/>
      <c r="K33" s="28"/>
      <c r="L33" s="28">
        <v>2</v>
      </c>
      <c r="M33" s="28"/>
      <c r="N33" s="28"/>
      <c r="O33" s="28"/>
      <c r="P33" s="446">
        <f t="shared" si="0"/>
        <v>4</v>
      </c>
    </row>
    <row r="34" spans="1:16" ht="15.75" thickBot="1" x14ac:dyDescent="0.3">
      <c r="A34" s="35">
        <v>10000102</v>
      </c>
      <c r="B34" s="12" t="s">
        <v>2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117">
        <f t="shared" si="0"/>
        <v>0</v>
      </c>
    </row>
    <row r="35" spans="1:16" ht="15.75" thickBot="1" x14ac:dyDescent="0.3">
      <c r="A35" s="35">
        <v>1000075</v>
      </c>
      <c r="B35" s="12" t="s">
        <v>47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117">
        <f>SUM(F35:O35)</f>
        <v>0</v>
      </c>
    </row>
    <row r="36" spans="1:16" ht="15.75" thickBot="1" x14ac:dyDescent="0.3">
      <c r="A36" s="35">
        <v>1000100</v>
      </c>
      <c r="B36" s="12" t="s">
        <v>34</v>
      </c>
      <c r="C36" s="41"/>
      <c r="D36" s="47"/>
      <c r="F36" s="28"/>
      <c r="G36" s="28"/>
      <c r="H36" s="28">
        <v>1</v>
      </c>
      <c r="I36" s="28"/>
      <c r="J36" s="28"/>
      <c r="K36" s="28"/>
      <c r="L36" s="28"/>
      <c r="M36" s="28"/>
      <c r="N36" s="28"/>
      <c r="O36" s="28"/>
      <c r="P36" s="446">
        <f t="shared" si="0"/>
        <v>1</v>
      </c>
    </row>
    <row r="37" spans="1:16" ht="15.75" thickBot="1" x14ac:dyDescent="0.3">
      <c r="A37" s="35">
        <v>1000147</v>
      </c>
      <c r="B37" s="12" t="s">
        <v>52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117">
        <f t="shared" si="0"/>
        <v>0</v>
      </c>
    </row>
    <row r="38" spans="1:16" ht="15.75" thickBot="1" x14ac:dyDescent="0.3">
      <c r="A38" s="35">
        <v>1000412</v>
      </c>
      <c r="B38" s="12" t="s">
        <v>195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117">
        <f t="shared" si="0"/>
        <v>0</v>
      </c>
    </row>
    <row r="39" spans="1:16" ht="15.75" thickBot="1" x14ac:dyDescent="0.3">
      <c r="A39" s="35">
        <v>1000041</v>
      </c>
      <c r="B39" s="12" t="s">
        <v>16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117">
        <f t="shared" si="0"/>
        <v>0</v>
      </c>
    </row>
    <row r="40" spans="1:16" ht="15.75" thickBot="1" x14ac:dyDescent="0.3">
      <c r="A40" s="35">
        <v>1000073</v>
      </c>
      <c r="B40" s="12" t="s">
        <v>36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117">
        <f t="shared" si="0"/>
        <v>0</v>
      </c>
    </row>
    <row r="41" spans="1:16" ht="15.75" thickBot="1" x14ac:dyDescent="0.3">
      <c r="A41" s="35">
        <v>1000027</v>
      </c>
      <c r="B41" s="12" t="s">
        <v>33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117">
        <f t="shared" si="0"/>
        <v>0</v>
      </c>
    </row>
    <row r="42" spans="1:16" ht="15.75" thickBot="1" x14ac:dyDescent="0.3">
      <c r="A42" s="35">
        <v>1000033</v>
      </c>
      <c r="B42" s="12" t="s">
        <v>27</v>
      </c>
      <c r="C42" s="41"/>
      <c r="D42" s="47"/>
      <c r="F42" s="28"/>
      <c r="G42" s="28"/>
      <c r="H42" s="28">
        <v>1</v>
      </c>
      <c r="I42" s="28"/>
      <c r="J42" s="28"/>
      <c r="K42" s="28"/>
      <c r="L42" s="28">
        <v>1</v>
      </c>
      <c r="M42" s="28"/>
      <c r="N42" s="28"/>
      <c r="O42" s="28"/>
      <c r="P42" s="446">
        <f t="shared" si="0"/>
        <v>2</v>
      </c>
    </row>
    <row r="43" spans="1:16" ht="15.75" thickBot="1" x14ac:dyDescent="0.3">
      <c r="A43" s="35">
        <v>1000065</v>
      </c>
      <c r="B43" s="12" t="s">
        <v>63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117">
        <f t="shared" si="0"/>
        <v>0</v>
      </c>
    </row>
    <row r="44" spans="1:16" ht="15.75" thickBot="1" x14ac:dyDescent="0.3">
      <c r="A44" s="35">
        <v>1000486</v>
      </c>
      <c r="B44" s="12" t="s">
        <v>263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117">
        <f t="shared" si="0"/>
        <v>0</v>
      </c>
    </row>
    <row r="45" spans="1:16" ht="15.75" thickBot="1" x14ac:dyDescent="0.3">
      <c r="A45" s="35">
        <v>1000080</v>
      </c>
      <c r="B45" s="12" t="s">
        <v>275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117">
        <f t="shared" si="0"/>
        <v>0</v>
      </c>
    </row>
    <row r="46" spans="1:16" ht="15.75" thickBot="1" x14ac:dyDescent="0.3">
      <c r="A46" s="35">
        <v>1000436</v>
      </c>
      <c r="B46" s="12" t="s">
        <v>276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117">
        <f t="shared" si="0"/>
        <v>0</v>
      </c>
    </row>
    <row r="47" spans="1:16" ht="15.75" thickBot="1" x14ac:dyDescent="0.3">
      <c r="A47" s="35">
        <v>1000550</v>
      </c>
      <c r="B47" s="12" t="s">
        <v>277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117">
        <f t="shared" si="0"/>
        <v>0</v>
      </c>
    </row>
    <row r="48" spans="1:16" ht="15.75" thickBot="1" x14ac:dyDescent="0.3">
      <c r="A48" s="35">
        <v>1000551</v>
      </c>
      <c r="B48" s="12" t="s">
        <v>278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117">
        <f t="shared" si="0"/>
        <v>0</v>
      </c>
    </row>
    <row r="49" spans="1:16" ht="15.75" thickBot="1" x14ac:dyDescent="0.3">
      <c r="A49" s="243">
        <v>1000552</v>
      </c>
      <c r="B49" s="251" t="s">
        <v>279</v>
      </c>
      <c r="C49" s="215"/>
      <c r="D49" s="38"/>
      <c r="E49" s="215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117">
        <f t="shared" si="0"/>
        <v>0</v>
      </c>
    </row>
    <row r="50" spans="1:16" ht="15.75" thickBot="1" x14ac:dyDescent="0.3">
      <c r="A50" s="243"/>
      <c r="B50" s="251" t="s">
        <v>63</v>
      </c>
      <c r="D50" s="3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117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4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44BB-67F0-49C2-A981-5E30E10441B0}">
  <sheetPr>
    <tabColor theme="7" tint="-0.249977111117893"/>
    <pageSetUpPr fitToPage="1"/>
  </sheetPr>
  <dimension ref="A1:P56"/>
  <sheetViews>
    <sheetView topLeftCell="A18" zoomScale="70" zoomScaleNormal="70" workbookViewId="0">
      <selection activeCell="U42" sqref="U42"/>
    </sheetView>
  </sheetViews>
  <sheetFormatPr baseColWidth="10" defaultColWidth="10.875" defaultRowHeight="15" x14ac:dyDescent="0.25"/>
  <cols>
    <col min="1" max="1" width="9.75" style="27" bestFit="1" customWidth="1"/>
    <col min="2" max="2" width="43.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6.5" style="27" customWidth="1"/>
    <col min="8" max="8" width="9.125" style="27" bestFit="1" customWidth="1"/>
    <col min="9" max="9" width="5.75" style="27" customWidth="1"/>
    <col min="10" max="10" width="9.125" style="27" bestFit="1" customWidth="1"/>
    <col min="11" max="11" width="6.5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6" style="27" customWidth="1"/>
    <col min="16" max="16384" width="10.875" style="27"/>
  </cols>
  <sheetData>
    <row r="1" spans="1:16" ht="17.25" customHeight="1" x14ac:dyDescent="0.45">
      <c r="A1" s="686" t="s">
        <v>274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3" t="s">
        <v>379</v>
      </c>
      <c r="F2" s="754"/>
      <c r="G2" s="755"/>
      <c r="H2" s="755"/>
      <c r="I2" s="755"/>
      <c r="J2" s="756"/>
      <c r="K2" s="2"/>
    </row>
    <row r="3" spans="1:16" s="3" customFormat="1" ht="27" customHeight="1" thickBot="1" x14ac:dyDescent="0.3">
      <c r="A3" s="5"/>
      <c r="B3" s="5" t="s">
        <v>398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0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0">
        <f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0">
        <f t="shared" ref="P6:P55" si="0">SUM(F6:O6)</f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220</v>
      </c>
      <c r="F7" s="33">
        <v>150</v>
      </c>
      <c r="G7" s="33"/>
      <c r="H7" s="33">
        <v>150</v>
      </c>
      <c r="I7" s="33"/>
      <c r="J7" s="33">
        <v>100</v>
      </c>
      <c r="K7" s="33"/>
      <c r="L7" s="33">
        <v>150</v>
      </c>
      <c r="M7" s="33"/>
      <c r="N7" s="33"/>
      <c r="O7" s="33"/>
      <c r="P7" s="418">
        <f t="shared" si="0"/>
        <v>550</v>
      </c>
    </row>
    <row r="8" spans="1:16" ht="15.75" thickBot="1" x14ac:dyDescent="0.3">
      <c r="A8" s="35">
        <v>1000007</v>
      </c>
      <c r="B8" s="12" t="s">
        <v>5</v>
      </c>
      <c r="C8" s="41"/>
      <c r="D8" s="47">
        <v>100</v>
      </c>
      <c r="F8" s="33">
        <v>150</v>
      </c>
      <c r="G8" s="33"/>
      <c r="H8" s="33">
        <v>100</v>
      </c>
      <c r="I8" s="33"/>
      <c r="J8" s="33">
        <v>100</v>
      </c>
      <c r="K8" s="33"/>
      <c r="L8" s="33">
        <v>200</v>
      </c>
      <c r="M8" s="33"/>
      <c r="N8" s="33"/>
      <c r="O8" s="33"/>
      <c r="P8" s="418">
        <f t="shared" si="0"/>
        <v>550</v>
      </c>
    </row>
    <row r="9" spans="1:16" ht="15.75" thickBot="1" x14ac:dyDescent="0.3">
      <c r="A9" s="35">
        <v>1000001</v>
      </c>
      <c r="B9" s="12" t="s">
        <v>8</v>
      </c>
      <c r="C9" s="41"/>
      <c r="D9" s="47">
        <v>3</v>
      </c>
      <c r="F9" s="33">
        <v>3</v>
      </c>
      <c r="G9" s="33"/>
      <c r="H9" s="33">
        <v>3</v>
      </c>
      <c r="I9" s="33"/>
      <c r="J9" s="33">
        <v>3</v>
      </c>
      <c r="K9" s="33"/>
      <c r="L9" s="33">
        <v>4</v>
      </c>
      <c r="M9" s="33"/>
      <c r="N9" s="33"/>
      <c r="O9" s="33"/>
      <c r="P9" s="418">
        <f t="shared" si="0"/>
        <v>13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0">
        <f t="shared" si="0"/>
        <v>0</v>
      </c>
    </row>
    <row r="11" spans="1:16" ht="15.75" thickBot="1" x14ac:dyDescent="0.3">
      <c r="A11" s="35">
        <v>1000004</v>
      </c>
      <c r="B11" s="12" t="s">
        <v>10</v>
      </c>
      <c r="C11" s="41"/>
      <c r="D11" s="47">
        <v>1</v>
      </c>
      <c r="F11" s="33">
        <v>3</v>
      </c>
      <c r="G11" s="33"/>
      <c r="H11" s="33">
        <v>3</v>
      </c>
      <c r="I11" s="33"/>
      <c r="J11" s="33">
        <v>3</v>
      </c>
      <c r="K11" s="33"/>
      <c r="L11" s="33">
        <v>3</v>
      </c>
      <c r="M11" s="33"/>
      <c r="N11" s="33"/>
      <c r="O11" s="33"/>
      <c r="P11" s="418">
        <f t="shared" si="0"/>
        <v>12</v>
      </c>
    </row>
    <row r="12" spans="1:16" ht="15.75" thickBot="1" x14ac:dyDescent="0.3">
      <c r="A12" s="35">
        <v>1000067</v>
      </c>
      <c r="B12" s="12" t="s">
        <v>11</v>
      </c>
      <c r="C12" s="41"/>
      <c r="D12" s="47">
        <v>0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0">
        <f t="shared" si="0"/>
        <v>0</v>
      </c>
    </row>
    <row r="13" spans="1:16" ht="15.75" thickBot="1" x14ac:dyDescent="0.3">
      <c r="A13" s="35">
        <v>1000054</v>
      </c>
      <c r="B13" s="12" t="s">
        <v>12</v>
      </c>
      <c r="C13" s="41"/>
      <c r="D13" s="47">
        <v>8</v>
      </c>
      <c r="F13" s="33"/>
      <c r="G13" s="33"/>
      <c r="H13" s="33"/>
      <c r="I13" s="33"/>
      <c r="J13" s="33"/>
      <c r="K13" s="33"/>
      <c r="L13" s="33">
        <v>5</v>
      </c>
      <c r="M13" s="33"/>
      <c r="N13" s="33"/>
      <c r="O13" s="33"/>
      <c r="P13" s="418">
        <f t="shared" si="0"/>
        <v>5</v>
      </c>
    </row>
    <row r="14" spans="1:16" ht="15.75" thickBot="1" x14ac:dyDescent="0.3">
      <c r="A14" s="35">
        <v>1000070</v>
      </c>
      <c r="B14" s="12" t="s">
        <v>13</v>
      </c>
      <c r="C14" s="41"/>
      <c r="D14" s="47">
        <v>0</v>
      </c>
      <c r="F14" s="33">
        <v>1</v>
      </c>
      <c r="G14" s="33"/>
      <c r="H14" s="33">
        <v>1</v>
      </c>
      <c r="I14" s="33"/>
      <c r="J14" s="33"/>
      <c r="K14" s="33"/>
      <c r="L14" s="33">
        <v>1</v>
      </c>
      <c r="M14" s="33"/>
      <c r="N14" s="33"/>
      <c r="O14" s="33"/>
      <c r="P14" s="418">
        <f t="shared" si="0"/>
        <v>3</v>
      </c>
    </row>
    <row r="15" spans="1:16" ht="15.75" thickBot="1" x14ac:dyDescent="0.3">
      <c r="A15" s="35">
        <v>1000017</v>
      </c>
      <c r="B15" s="13" t="s">
        <v>14</v>
      </c>
      <c r="C15" s="41"/>
      <c r="D15" s="47">
        <v>11</v>
      </c>
      <c r="F15" s="33">
        <v>5</v>
      </c>
      <c r="G15" s="33"/>
      <c r="H15" s="33">
        <v>5</v>
      </c>
      <c r="I15" s="33"/>
      <c r="J15" s="33">
        <v>5</v>
      </c>
      <c r="K15" s="33"/>
      <c r="L15" s="33">
        <v>5</v>
      </c>
      <c r="M15" s="33"/>
      <c r="N15" s="33"/>
      <c r="O15" s="33"/>
      <c r="P15" s="418">
        <f t="shared" si="0"/>
        <v>20</v>
      </c>
    </row>
    <row r="16" spans="1:16" ht="15.75" thickBot="1" x14ac:dyDescent="0.3">
      <c r="A16" s="35">
        <v>1000016</v>
      </c>
      <c r="B16" s="12" t="s">
        <v>15</v>
      </c>
      <c r="C16" s="41"/>
      <c r="D16" s="47">
        <v>5</v>
      </c>
      <c r="F16" s="33"/>
      <c r="G16" s="33"/>
      <c r="H16" s="33">
        <v>5</v>
      </c>
      <c r="I16" s="33"/>
      <c r="J16" s="33"/>
      <c r="K16" s="33"/>
      <c r="L16" s="33"/>
      <c r="M16" s="33"/>
      <c r="N16" s="33"/>
      <c r="O16" s="33"/>
      <c r="P16" s="418">
        <f t="shared" si="0"/>
        <v>5</v>
      </c>
    </row>
    <row r="17" spans="1:16" ht="15.75" thickBot="1" x14ac:dyDescent="0.3">
      <c r="A17" s="35">
        <v>1000041</v>
      </c>
      <c r="B17" s="14" t="s">
        <v>16</v>
      </c>
      <c r="C17" s="41"/>
      <c r="D17" s="47">
        <v>0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0">
        <f t="shared" si="0"/>
        <v>0</v>
      </c>
    </row>
    <row r="18" spans="1:16" ht="15.75" thickBot="1" x14ac:dyDescent="0.3">
      <c r="A18" s="35">
        <v>1000049</v>
      </c>
      <c r="B18" s="12" t="s">
        <v>21</v>
      </c>
      <c r="C18" s="41"/>
      <c r="D18" s="47">
        <v>0</v>
      </c>
      <c r="F18" s="33"/>
      <c r="G18" s="33"/>
      <c r="H18" s="33">
        <v>2</v>
      </c>
      <c r="I18" s="33"/>
      <c r="J18" s="33"/>
      <c r="K18" s="33"/>
      <c r="L18" s="33"/>
      <c r="M18" s="33"/>
      <c r="N18" s="33"/>
      <c r="O18" s="33"/>
      <c r="P18" s="418">
        <f t="shared" si="0"/>
        <v>2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33"/>
      <c r="G19" s="33"/>
      <c r="H19" s="33">
        <v>2</v>
      </c>
      <c r="I19" s="33"/>
      <c r="J19" s="33"/>
      <c r="K19" s="33"/>
      <c r="L19" s="33"/>
      <c r="M19" s="33"/>
      <c r="N19" s="33"/>
      <c r="O19" s="33"/>
      <c r="P19" s="418">
        <f t="shared" si="0"/>
        <v>2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0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0">
        <f t="shared" si="0"/>
        <v>0</v>
      </c>
    </row>
    <row r="21" spans="1:16" ht="15.75" thickBot="1" x14ac:dyDescent="0.3">
      <c r="A21" s="35">
        <v>1000031</v>
      </c>
      <c r="B21" s="12" t="s">
        <v>25</v>
      </c>
      <c r="C21" s="41"/>
      <c r="D21" s="47">
        <v>1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0">
        <f t="shared" si="0"/>
        <v>0</v>
      </c>
    </row>
    <row r="22" spans="1:16" ht="15.75" thickBot="1" x14ac:dyDescent="0.3">
      <c r="A22" s="35">
        <v>1000033</v>
      </c>
      <c r="B22" s="12" t="s">
        <v>27</v>
      </c>
      <c r="C22" s="41"/>
      <c r="D22" s="47">
        <v>1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0">
        <f t="shared" si="0"/>
        <v>0</v>
      </c>
    </row>
    <row r="23" spans="1:16" ht="15.75" thickBot="1" x14ac:dyDescent="0.3">
      <c r="A23" s="35">
        <v>1000034</v>
      </c>
      <c r="B23" s="12" t="s">
        <v>28</v>
      </c>
      <c r="C23" s="41"/>
      <c r="D23" s="47">
        <v>0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0">
        <f t="shared" si="0"/>
        <v>0</v>
      </c>
    </row>
    <row r="24" spans="1:16" ht="15.75" thickBot="1" x14ac:dyDescent="0.3">
      <c r="A24" s="35">
        <v>1000029</v>
      </c>
      <c r="B24" s="12" t="s">
        <v>30</v>
      </c>
      <c r="C24" s="41"/>
      <c r="D24" s="47">
        <v>0</v>
      </c>
      <c r="E24" s="15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0">
        <f t="shared" si="0"/>
        <v>0</v>
      </c>
    </row>
    <row r="25" spans="1:16" ht="15.75" thickBot="1" x14ac:dyDescent="0.3">
      <c r="A25" s="35">
        <v>1000073</v>
      </c>
      <c r="B25" s="12" t="s">
        <v>36</v>
      </c>
      <c r="C25" s="41"/>
      <c r="D25" s="47">
        <v>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0">
        <f t="shared" si="0"/>
        <v>0</v>
      </c>
    </row>
    <row r="26" spans="1:16" ht="15.75" thickBot="1" x14ac:dyDescent="0.3">
      <c r="A26" s="35">
        <v>1000146</v>
      </c>
      <c r="B26" s="12" t="s">
        <v>39</v>
      </c>
      <c r="C26" s="41"/>
      <c r="D26" s="47">
        <v>12</v>
      </c>
      <c r="F26" s="33">
        <v>30</v>
      </c>
      <c r="G26" s="33"/>
      <c r="H26" s="33">
        <v>20</v>
      </c>
      <c r="I26" s="33"/>
      <c r="J26" s="33">
        <v>20</v>
      </c>
      <c r="K26" s="33"/>
      <c r="L26" s="33">
        <v>30</v>
      </c>
      <c r="M26" s="33"/>
      <c r="N26" s="33"/>
      <c r="O26" s="33"/>
      <c r="P26" s="418">
        <f t="shared" si="0"/>
        <v>100</v>
      </c>
    </row>
    <row r="27" spans="1:16" ht="15.75" thickBot="1" x14ac:dyDescent="0.3">
      <c r="A27" s="35">
        <v>10248</v>
      </c>
      <c r="B27" s="12" t="s">
        <v>183</v>
      </c>
      <c r="C27" s="41"/>
      <c r="D27" s="47">
        <v>0</v>
      </c>
      <c r="F27" s="33">
        <v>9</v>
      </c>
      <c r="G27" s="33"/>
      <c r="H27" s="33">
        <v>9</v>
      </c>
      <c r="I27" s="33"/>
      <c r="J27" s="33">
        <v>9</v>
      </c>
      <c r="K27" s="33"/>
      <c r="L27" s="33">
        <v>9</v>
      </c>
      <c r="M27" s="33"/>
      <c r="N27" s="33"/>
      <c r="O27" s="33"/>
      <c r="P27" s="418">
        <f t="shared" si="0"/>
        <v>36</v>
      </c>
    </row>
    <row r="28" spans="1:16" ht="15.75" thickBot="1" x14ac:dyDescent="0.3">
      <c r="A28" s="35">
        <v>1000052</v>
      </c>
      <c r="B28" s="12" t="s">
        <v>41</v>
      </c>
      <c r="C28" s="41"/>
      <c r="D28" s="47">
        <v>2</v>
      </c>
      <c r="F28" s="33">
        <v>2</v>
      </c>
      <c r="G28" s="33"/>
      <c r="H28" s="33">
        <v>2</v>
      </c>
      <c r="I28" s="33"/>
      <c r="J28" s="33"/>
      <c r="K28" s="33"/>
      <c r="L28" s="33">
        <v>2</v>
      </c>
      <c r="M28" s="33"/>
      <c r="N28" s="33"/>
      <c r="O28" s="33"/>
      <c r="P28" s="418">
        <f t="shared" si="0"/>
        <v>6</v>
      </c>
    </row>
    <row r="29" spans="1:16" ht="15.75" thickBot="1" x14ac:dyDescent="0.3">
      <c r="A29" s="35">
        <v>1000089</v>
      </c>
      <c r="B29" s="12" t="s">
        <v>42</v>
      </c>
      <c r="C29" s="41"/>
      <c r="D29" s="47">
        <v>2</v>
      </c>
      <c r="F29" s="33"/>
      <c r="G29" s="33"/>
      <c r="H29" s="33">
        <v>2</v>
      </c>
      <c r="I29" s="33"/>
      <c r="J29" s="33"/>
      <c r="K29" s="33"/>
      <c r="L29" s="33"/>
      <c r="M29" s="33"/>
      <c r="N29" s="33"/>
      <c r="O29" s="33"/>
      <c r="P29" s="418">
        <f t="shared" si="0"/>
        <v>2</v>
      </c>
    </row>
    <row r="30" spans="1:16" ht="15.75" thickBot="1" x14ac:dyDescent="0.3">
      <c r="A30" s="35">
        <v>1000051</v>
      </c>
      <c r="B30" s="12" t="s">
        <v>43</v>
      </c>
      <c r="C30" s="41"/>
      <c r="D30" s="47">
        <v>1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0">
        <f t="shared" si="0"/>
        <v>0</v>
      </c>
    </row>
    <row r="31" spans="1:16" ht="15.75" thickBot="1" x14ac:dyDescent="0.3">
      <c r="A31" s="35">
        <v>1000048</v>
      </c>
      <c r="B31" s="12" t="s">
        <v>45</v>
      </c>
      <c r="C31" s="41"/>
      <c r="D31" s="47">
        <v>0</v>
      </c>
      <c r="F31" s="33">
        <v>1</v>
      </c>
      <c r="G31" s="33"/>
      <c r="H31" s="33"/>
      <c r="I31" s="33"/>
      <c r="J31" s="33"/>
      <c r="K31" s="33"/>
      <c r="L31" s="33">
        <v>1</v>
      </c>
      <c r="M31" s="33"/>
      <c r="N31" s="33"/>
      <c r="O31" s="33"/>
      <c r="P31" s="418">
        <f t="shared" si="0"/>
        <v>2</v>
      </c>
    </row>
    <row r="32" spans="1:16" ht="15.75" thickBot="1" x14ac:dyDescent="0.3">
      <c r="A32" s="35">
        <v>1000076</v>
      </c>
      <c r="B32" s="12" t="s">
        <v>46</v>
      </c>
      <c r="C32" s="41"/>
      <c r="D32" s="47">
        <v>0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0">
        <f t="shared" si="0"/>
        <v>0</v>
      </c>
    </row>
    <row r="33" spans="1:16" ht="15.75" thickBot="1" x14ac:dyDescent="0.3">
      <c r="A33" s="35">
        <v>1000075</v>
      </c>
      <c r="B33" s="12" t="s">
        <v>47</v>
      </c>
      <c r="C33" s="41"/>
      <c r="D33" s="47">
        <v>0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0">
        <f t="shared" si="0"/>
        <v>0</v>
      </c>
    </row>
    <row r="34" spans="1:16" ht="15.75" thickBot="1" x14ac:dyDescent="0.3">
      <c r="A34" s="35">
        <v>1000214</v>
      </c>
      <c r="B34" s="12" t="s">
        <v>49</v>
      </c>
      <c r="C34" s="41"/>
      <c r="D34" s="47">
        <v>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0">
        <f t="shared" si="0"/>
        <v>0</v>
      </c>
    </row>
    <row r="35" spans="1:16" ht="15.75" thickBot="1" x14ac:dyDescent="0.3">
      <c r="A35" s="35">
        <v>1000092</v>
      </c>
      <c r="B35" s="12" t="s">
        <v>51</v>
      </c>
      <c r="C35" s="41"/>
      <c r="D35" s="47">
        <v>1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0">
        <f t="shared" si="0"/>
        <v>0</v>
      </c>
    </row>
    <row r="36" spans="1:16" ht="15.75" thickBot="1" x14ac:dyDescent="0.3">
      <c r="A36" s="35">
        <v>1000043</v>
      </c>
      <c r="B36" s="12" t="s">
        <v>84</v>
      </c>
      <c r="C36" s="41"/>
      <c r="D36" s="47">
        <v>0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0">
        <f t="shared" si="0"/>
        <v>0</v>
      </c>
    </row>
    <row r="37" spans="1:16" ht="15.75" thickBot="1" x14ac:dyDescent="0.3">
      <c r="A37" s="35">
        <v>1000142</v>
      </c>
      <c r="B37" s="12" t="s">
        <v>54</v>
      </c>
      <c r="C37" s="41"/>
      <c r="D37" s="47">
        <v>0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0">
        <f t="shared" si="0"/>
        <v>0</v>
      </c>
    </row>
    <row r="38" spans="1:16" ht="15.75" thickBot="1" x14ac:dyDescent="0.3">
      <c r="A38" s="35">
        <v>1000008</v>
      </c>
      <c r="B38" s="12" t="s">
        <v>7</v>
      </c>
      <c r="C38" s="41"/>
      <c r="D38" s="47">
        <v>50</v>
      </c>
      <c r="F38" s="33"/>
      <c r="G38" s="33"/>
      <c r="H38" s="33"/>
      <c r="I38" s="33"/>
      <c r="J38" s="33"/>
      <c r="K38" s="33"/>
      <c r="L38" s="33">
        <v>50</v>
      </c>
      <c r="M38" s="33"/>
      <c r="N38" s="33"/>
      <c r="O38" s="33"/>
      <c r="P38" s="418">
        <f t="shared" si="0"/>
        <v>50</v>
      </c>
    </row>
    <row r="39" spans="1:16" ht="15.75" thickBot="1" x14ac:dyDescent="0.3">
      <c r="A39" s="35">
        <v>1000025</v>
      </c>
      <c r="B39" s="12" t="s">
        <v>32</v>
      </c>
      <c r="C39" s="41"/>
      <c r="D39" s="47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0">
        <v>0</v>
      </c>
    </row>
    <row r="40" spans="1:16" ht="15.75" thickBot="1" x14ac:dyDescent="0.3">
      <c r="A40" s="35">
        <v>1000063</v>
      </c>
      <c r="B40" s="12" t="s">
        <v>65</v>
      </c>
      <c r="C40" s="41"/>
      <c r="D40" s="47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0">
        <v>0</v>
      </c>
    </row>
    <row r="41" spans="1:16" ht="15.75" thickBot="1" x14ac:dyDescent="0.3">
      <c r="A41" s="35">
        <v>1000030</v>
      </c>
      <c r="B41" s="12" t="s">
        <v>24</v>
      </c>
      <c r="C41" s="41"/>
      <c r="D41" s="47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0">
        <f t="shared" si="0"/>
        <v>0</v>
      </c>
    </row>
    <row r="42" spans="1:16" ht="15.75" thickBot="1" x14ac:dyDescent="0.3">
      <c r="A42" s="35">
        <v>1000008</v>
      </c>
      <c r="B42" s="12" t="s">
        <v>7</v>
      </c>
      <c r="C42" s="41"/>
      <c r="D42" s="47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0">
        <f t="shared" si="0"/>
        <v>0</v>
      </c>
    </row>
    <row r="43" spans="1:16" ht="15.75" thickBot="1" x14ac:dyDescent="0.3">
      <c r="A43" s="35">
        <v>1000205</v>
      </c>
      <c r="B43" s="12" t="s">
        <v>82</v>
      </c>
      <c r="C43" s="41"/>
      <c r="D43" s="47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0">
        <f t="shared" si="0"/>
        <v>0</v>
      </c>
    </row>
    <row r="44" spans="1:16" ht="15.75" thickBot="1" x14ac:dyDescent="0.3">
      <c r="A44" s="35">
        <v>1000100</v>
      </c>
      <c r="B44" s="12" t="s">
        <v>34</v>
      </c>
      <c r="C44" s="41"/>
      <c r="D44" s="47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0">
        <f t="shared" si="0"/>
        <v>0</v>
      </c>
    </row>
    <row r="45" spans="1:16" ht="15.75" thickBot="1" x14ac:dyDescent="0.3">
      <c r="A45" s="35">
        <v>1000439</v>
      </c>
      <c r="B45" s="12" t="s">
        <v>193</v>
      </c>
      <c r="C45" s="41"/>
      <c r="D45" s="47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0">
        <f t="shared" si="0"/>
        <v>0</v>
      </c>
    </row>
    <row r="46" spans="1:16" ht="15.75" thickBot="1" x14ac:dyDescent="0.3">
      <c r="A46" s="35">
        <v>1000084</v>
      </c>
      <c r="B46" s="12" t="s">
        <v>194</v>
      </c>
      <c r="C46" s="41"/>
      <c r="D46" s="47"/>
      <c r="F46" s="33">
        <v>8</v>
      </c>
      <c r="G46" s="33"/>
      <c r="H46" s="33">
        <v>8</v>
      </c>
      <c r="I46" s="33"/>
      <c r="J46" s="33">
        <v>8</v>
      </c>
      <c r="K46" s="33"/>
      <c r="L46" s="33"/>
      <c r="M46" s="33"/>
      <c r="N46" s="33"/>
      <c r="O46" s="33"/>
      <c r="P46" s="418">
        <f t="shared" si="0"/>
        <v>24</v>
      </c>
    </row>
    <row r="47" spans="1:16" ht="15.75" thickBot="1" x14ac:dyDescent="0.3">
      <c r="A47" s="35">
        <v>1000082</v>
      </c>
      <c r="B47" s="12" t="s">
        <v>224</v>
      </c>
      <c r="C47" s="41"/>
      <c r="D47" s="47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0">
        <f t="shared" si="0"/>
        <v>0</v>
      </c>
    </row>
    <row r="48" spans="1:16" ht="15.75" thickBot="1" x14ac:dyDescent="0.3">
      <c r="A48" s="35">
        <v>1000486</v>
      </c>
      <c r="B48" s="12" t="s">
        <v>263</v>
      </c>
      <c r="C48" s="41"/>
      <c r="D48" s="47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0">
        <f t="shared" si="0"/>
        <v>0</v>
      </c>
    </row>
    <row r="49" spans="1:16" ht="15.75" thickBot="1" x14ac:dyDescent="0.3">
      <c r="A49" s="35">
        <v>1000010</v>
      </c>
      <c r="B49" s="12" t="s">
        <v>17</v>
      </c>
      <c r="C49" s="41"/>
      <c r="D49" s="47"/>
      <c r="F49" s="33"/>
      <c r="G49" s="33"/>
      <c r="H49" s="33"/>
      <c r="I49" s="33"/>
      <c r="J49" s="33">
        <v>2</v>
      </c>
      <c r="K49" s="33"/>
      <c r="L49" s="33"/>
      <c r="M49" s="33"/>
      <c r="N49" s="33"/>
      <c r="O49" s="33"/>
      <c r="P49" s="418">
        <f t="shared" si="0"/>
        <v>2</v>
      </c>
    </row>
    <row r="50" spans="1:16" ht="15.75" thickBot="1" x14ac:dyDescent="0.3">
      <c r="A50" s="35">
        <v>1000452</v>
      </c>
      <c r="B50" s="12" t="s">
        <v>203</v>
      </c>
      <c r="C50" s="41"/>
      <c r="D50" s="47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0">
        <f t="shared" si="0"/>
        <v>0</v>
      </c>
    </row>
    <row r="51" spans="1:16" ht="15.75" thickBot="1" x14ac:dyDescent="0.3">
      <c r="A51" s="35">
        <v>1000436</v>
      </c>
      <c r="B51" s="12" t="s">
        <v>276</v>
      </c>
      <c r="C51" s="41"/>
      <c r="D51" s="47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0">
        <f t="shared" si="0"/>
        <v>0</v>
      </c>
    </row>
    <row r="52" spans="1:16" ht="15.75" thickBot="1" x14ac:dyDescent="0.3">
      <c r="A52" s="35">
        <v>1000550</v>
      </c>
      <c r="B52" s="12" t="s">
        <v>277</v>
      </c>
      <c r="C52" s="41"/>
      <c r="D52" s="47"/>
      <c r="F52" s="33">
        <v>24</v>
      </c>
      <c r="G52" s="33"/>
      <c r="H52" s="33">
        <v>24</v>
      </c>
      <c r="I52" s="33"/>
      <c r="J52" s="33">
        <v>24</v>
      </c>
      <c r="K52" s="33"/>
      <c r="L52" s="33">
        <v>24</v>
      </c>
      <c r="M52" s="33"/>
      <c r="N52" s="33"/>
      <c r="O52" s="33"/>
      <c r="P52" s="418">
        <f t="shared" si="0"/>
        <v>96</v>
      </c>
    </row>
    <row r="53" spans="1:16" ht="15.75" thickBot="1" x14ac:dyDescent="0.3">
      <c r="A53" s="35">
        <v>1000551</v>
      </c>
      <c r="B53" s="12" t="s">
        <v>278</v>
      </c>
      <c r="C53" s="41"/>
      <c r="D53" s="47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0">
        <f t="shared" si="0"/>
        <v>0</v>
      </c>
    </row>
    <row r="54" spans="1:16" ht="15.75" thickBot="1" x14ac:dyDescent="0.3">
      <c r="A54" s="35">
        <v>1000552</v>
      </c>
      <c r="B54" s="12" t="s">
        <v>279</v>
      </c>
      <c r="C54" s="41"/>
      <c r="D54" s="47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0">
        <f t="shared" si="0"/>
        <v>0</v>
      </c>
    </row>
    <row r="55" spans="1:16" s="200" customFormat="1" ht="15.75" thickBot="1" x14ac:dyDescent="0.3">
      <c r="A55" s="38">
        <v>1000080</v>
      </c>
      <c r="B55" s="17" t="s">
        <v>275</v>
      </c>
      <c r="C55" s="41"/>
      <c r="D55" s="46"/>
      <c r="E55" s="27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0">
        <f t="shared" si="0"/>
        <v>0</v>
      </c>
    </row>
    <row r="56" spans="1:16" ht="15.75" thickBot="1" x14ac:dyDescent="0.3">
      <c r="A56" s="35">
        <v>1000452</v>
      </c>
      <c r="B56" s="12" t="s">
        <v>203</v>
      </c>
      <c r="D56" s="46"/>
      <c r="F56" s="33"/>
      <c r="G56" s="33"/>
      <c r="H56" s="33">
        <v>1</v>
      </c>
      <c r="I56" s="33"/>
      <c r="J56" s="33"/>
      <c r="K56" s="33"/>
      <c r="L56" s="33"/>
      <c r="M56" s="33"/>
      <c r="N56" s="33"/>
      <c r="O56" s="33"/>
      <c r="P56" s="418">
        <f t="shared" ref="P56" si="1">SUM(F56:O56)</f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8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E352-269F-4437-8C1B-107C16D19DD2}">
  <sheetPr>
    <tabColor rgb="FFFFFF00"/>
    <pageSetUpPr fitToPage="1"/>
  </sheetPr>
  <dimension ref="A1:P87"/>
  <sheetViews>
    <sheetView topLeftCell="A16" zoomScale="70" zoomScaleNormal="70" workbookViewId="0">
      <selection activeCell="U32" sqref="U32"/>
    </sheetView>
  </sheetViews>
  <sheetFormatPr baseColWidth="10" defaultColWidth="10.875" defaultRowHeight="15" x14ac:dyDescent="0.25"/>
  <cols>
    <col min="1" max="1" width="9.75" style="27" bestFit="1" customWidth="1"/>
    <col min="2" max="2" width="41.25" style="27" bestFit="1" customWidth="1"/>
    <col min="3" max="3" width="0.875" style="41" customWidth="1"/>
    <col min="4" max="4" width="8.5" style="41" bestFit="1" customWidth="1"/>
    <col min="5" max="5" width="1" style="27" customWidth="1"/>
    <col min="6" max="6" width="9.125" style="27" bestFit="1" customWidth="1"/>
    <col min="7" max="7" width="5.75" style="27" customWidth="1"/>
    <col min="8" max="8" width="9.125" style="27" bestFit="1" customWidth="1"/>
    <col min="9" max="9" width="6.5" style="27" customWidth="1"/>
    <col min="10" max="10" width="9.125" style="27" bestFit="1" customWidth="1"/>
    <col min="11" max="11" width="6.625" style="27" customWidth="1"/>
    <col min="12" max="12" width="9.125" style="27" bestFit="1" customWidth="1"/>
    <col min="13" max="13" width="6.5" style="27" customWidth="1"/>
    <col min="14" max="14" width="9.125" style="27" bestFit="1" customWidth="1"/>
    <col min="15" max="15" width="6.875" style="27" customWidth="1"/>
    <col min="16" max="16" width="11" style="27" customWidth="1"/>
    <col min="17" max="16384" width="10.875" style="27"/>
  </cols>
  <sheetData>
    <row r="1" spans="1:16" ht="17.25" customHeight="1" x14ac:dyDescent="0.45">
      <c r="A1" s="686" t="s">
        <v>99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</row>
    <row r="3" spans="1:16" s="3" customFormat="1" ht="25.5" customHeight="1" thickBot="1" x14ac:dyDescent="0.3">
      <c r="A3" s="5"/>
      <c r="B3" s="5" t="s">
        <v>400</v>
      </c>
      <c r="C3" s="18"/>
      <c r="D3" s="18"/>
    </row>
    <row r="4" spans="1:16" s="3" customFormat="1" ht="17.25" customHeight="1" thickBot="1" x14ac:dyDescent="0.3">
      <c r="A4" s="52" t="s">
        <v>0</v>
      </c>
      <c r="B4" s="52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480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23" t="s">
        <v>1</v>
      </c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7" si="0">SUM(F5:O5)</f>
        <v>0</v>
      </c>
    </row>
    <row r="6" spans="1:16" ht="15.75" thickBot="1" x14ac:dyDescent="0.3">
      <c r="A6" s="35">
        <v>10000102</v>
      </c>
      <c r="B6" s="22" t="s">
        <v>2</v>
      </c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10211</v>
      </c>
      <c r="B7" s="22" t="s">
        <v>3</v>
      </c>
      <c r="D7" s="47">
        <v>600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1000006</v>
      </c>
      <c r="B8" s="22" t="s">
        <v>4</v>
      </c>
      <c r="D8" s="47">
        <v>130</v>
      </c>
      <c r="F8" s="28">
        <v>100</v>
      </c>
      <c r="G8" s="28"/>
      <c r="H8" s="28"/>
      <c r="I8" s="28"/>
      <c r="J8" s="28">
        <v>100</v>
      </c>
      <c r="K8" s="28"/>
      <c r="L8" s="28">
        <v>100</v>
      </c>
      <c r="M8" s="28"/>
      <c r="N8" s="28"/>
      <c r="O8" s="28"/>
      <c r="P8" s="418">
        <f t="shared" si="0"/>
        <v>300</v>
      </c>
    </row>
    <row r="9" spans="1:16" ht="15.75" thickBot="1" x14ac:dyDescent="0.3">
      <c r="A9" s="35">
        <v>1000007</v>
      </c>
      <c r="B9" s="22" t="s">
        <v>5</v>
      </c>
      <c r="D9" s="47">
        <v>300</v>
      </c>
      <c r="F9" s="28">
        <v>100</v>
      </c>
      <c r="G9" s="28"/>
      <c r="H9" s="28"/>
      <c r="I9" s="28"/>
      <c r="J9" s="28">
        <v>100</v>
      </c>
      <c r="K9" s="28"/>
      <c r="L9" s="28">
        <v>100</v>
      </c>
      <c r="M9" s="28"/>
      <c r="N9" s="28"/>
      <c r="O9" s="28"/>
      <c r="P9" s="418">
        <f t="shared" si="0"/>
        <v>300</v>
      </c>
    </row>
    <row r="10" spans="1:16" ht="15.75" thickBot="1" x14ac:dyDescent="0.3">
      <c r="A10" s="35">
        <v>1000008</v>
      </c>
      <c r="B10" s="22" t="s">
        <v>7</v>
      </c>
      <c r="D10" s="47">
        <v>100</v>
      </c>
      <c r="F10" s="28"/>
      <c r="G10" s="28"/>
      <c r="H10" s="28"/>
      <c r="I10" s="28"/>
      <c r="J10" s="28">
        <v>100</v>
      </c>
      <c r="K10" s="28"/>
      <c r="L10" s="28"/>
      <c r="M10" s="28"/>
      <c r="N10" s="28"/>
      <c r="O10" s="28"/>
      <c r="P10" s="418">
        <f t="shared" si="0"/>
        <v>100</v>
      </c>
    </row>
    <row r="11" spans="1:16" ht="15.75" thickBot="1" x14ac:dyDescent="0.3">
      <c r="A11" s="35">
        <v>1000001</v>
      </c>
      <c r="B11" s="22" t="s">
        <v>8</v>
      </c>
      <c r="D11" s="47">
        <v>6</v>
      </c>
      <c r="F11" s="28">
        <v>4</v>
      </c>
      <c r="G11" s="28"/>
      <c r="H11" s="28"/>
      <c r="I11" s="28"/>
      <c r="J11" s="28">
        <v>3</v>
      </c>
      <c r="K11" s="650" t="s">
        <v>481</v>
      </c>
      <c r="L11" s="28">
        <v>3</v>
      </c>
      <c r="M11" s="28"/>
      <c r="N11" s="28"/>
      <c r="O11" s="28"/>
      <c r="P11" s="418">
        <f t="shared" si="0"/>
        <v>10</v>
      </c>
    </row>
    <row r="12" spans="1:16" ht="15.75" thickBot="1" x14ac:dyDescent="0.3">
      <c r="A12" s="35">
        <v>1000002</v>
      </c>
      <c r="B12" s="22" t="s">
        <v>9</v>
      </c>
      <c r="D12" s="47">
        <v>1</v>
      </c>
      <c r="F12" s="28"/>
      <c r="G12" s="28"/>
      <c r="H12" s="28"/>
      <c r="I12" s="28"/>
      <c r="J12" s="28"/>
      <c r="K12" s="28"/>
      <c r="L12" s="28">
        <v>2</v>
      </c>
      <c r="M12" s="28"/>
      <c r="N12" s="28"/>
      <c r="O12" s="28"/>
      <c r="P12" s="418">
        <f t="shared" si="0"/>
        <v>2</v>
      </c>
    </row>
    <row r="13" spans="1:16" ht="15.75" thickBot="1" x14ac:dyDescent="0.3">
      <c r="A13" s="35">
        <v>1000004</v>
      </c>
      <c r="B13" s="22" t="s">
        <v>10</v>
      </c>
      <c r="D13" s="47">
        <v>2</v>
      </c>
      <c r="F13" s="28">
        <v>4</v>
      </c>
      <c r="G13" s="28"/>
      <c r="H13" s="28"/>
      <c r="I13" s="28"/>
      <c r="J13" s="28">
        <v>3</v>
      </c>
      <c r="K13" s="651" t="s">
        <v>481</v>
      </c>
      <c r="L13" s="28">
        <v>3</v>
      </c>
      <c r="M13" s="28"/>
      <c r="N13" s="28"/>
      <c r="O13" s="28"/>
      <c r="P13" s="418">
        <f t="shared" si="0"/>
        <v>10</v>
      </c>
    </row>
    <row r="14" spans="1:16" ht="15.75" thickBot="1" x14ac:dyDescent="0.3">
      <c r="A14" s="35">
        <v>1000067</v>
      </c>
      <c r="B14" s="22" t="s">
        <v>11</v>
      </c>
      <c r="D14" s="47">
        <v>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1000054</v>
      </c>
      <c r="B15" s="22" t="s">
        <v>12</v>
      </c>
      <c r="D15" s="47">
        <v>20</v>
      </c>
      <c r="F15" s="28">
        <v>20</v>
      </c>
      <c r="G15" s="28"/>
      <c r="H15" s="28"/>
      <c r="I15" s="28"/>
      <c r="J15" s="28"/>
      <c r="K15" s="28"/>
      <c r="L15" s="28">
        <v>10</v>
      </c>
      <c r="M15" s="28"/>
      <c r="N15" s="28"/>
      <c r="O15" s="28"/>
      <c r="P15" s="418">
        <f t="shared" si="0"/>
        <v>30</v>
      </c>
    </row>
    <row r="16" spans="1:16" ht="15.75" thickBot="1" x14ac:dyDescent="0.3">
      <c r="A16" s="35">
        <v>1000070</v>
      </c>
      <c r="B16" s="22" t="s">
        <v>13</v>
      </c>
      <c r="D16" s="47">
        <v>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1000017</v>
      </c>
      <c r="B17" s="22" t="s">
        <v>14</v>
      </c>
      <c r="D17" s="47">
        <v>20</v>
      </c>
      <c r="F17" s="28">
        <v>20</v>
      </c>
      <c r="G17" s="28"/>
      <c r="H17" s="28"/>
      <c r="I17" s="28"/>
      <c r="J17" s="28">
        <v>30</v>
      </c>
      <c r="K17" s="28"/>
      <c r="L17" s="28">
        <v>10</v>
      </c>
      <c r="M17" s="28"/>
      <c r="N17" s="28"/>
      <c r="O17" s="28"/>
      <c r="P17" s="418">
        <f t="shared" si="0"/>
        <v>60</v>
      </c>
    </row>
    <row r="18" spans="1:16" ht="15.75" thickBot="1" x14ac:dyDescent="0.3">
      <c r="A18" s="35">
        <v>1000016</v>
      </c>
      <c r="B18" s="22" t="s">
        <v>15</v>
      </c>
      <c r="D18" s="47">
        <v>10</v>
      </c>
      <c r="F18" s="28"/>
      <c r="G18" s="28"/>
      <c r="H18" s="28"/>
      <c r="I18" s="28"/>
      <c r="J18" s="28">
        <v>5</v>
      </c>
      <c r="K18" s="28"/>
      <c r="L18" s="28"/>
      <c r="M18" s="28"/>
      <c r="N18" s="28"/>
      <c r="O18" s="28"/>
      <c r="P18" s="418">
        <f t="shared" si="0"/>
        <v>5</v>
      </c>
    </row>
    <row r="19" spans="1:16" ht="15.75" thickBot="1" x14ac:dyDescent="0.3">
      <c r="A19" s="35">
        <v>1000041</v>
      </c>
      <c r="B19" s="22" t="s">
        <v>16</v>
      </c>
      <c r="D19" s="47">
        <v>3</v>
      </c>
      <c r="F19" s="28"/>
      <c r="G19" s="28"/>
      <c r="H19" s="28"/>
      <c r="I19" s="28"/>
      <c r="J19" s="28">
        <v>5</v>
      </c>
      <c r="K19" s="28"/>
      <c r="L19" s="28"/>
      <c r="M19" s="28"/>
      <c r="N19" s="28"/>
      <c r="O19" s="28"/>
      <c r="P19" s="418">
        <f t="shared" si="0"/>
        <v>5</v>
      </c>
    </row>
    <row r="20" spans="1:16" ht="15.75" thickBot="1" x14ac:dyDescent="0.3">
      <c r="A20" s="35">
        <v>1000010</v>
      </c>
      <c r="B20" s="22" t="s">
        <v>17</v>
      </c>
      <c r="D20" s="47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1000009</v>
      </c>
      <c r="B21" s="22" t="s">
        <v>19</v>
      </c>
      <c r="D21" s="47">
        <v>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1000012</v>
      </c>
      <c r="B22" s="22" t="s">
        <v>20</v>
      </c>
      <c r="D22" s="47">
        <v>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1000050</v>
      </c>
      <c r="B23" s="22" t="s">
        <v>22</v>
      </c>
      <c r="D23" s="47">
        <v>1</v>
      </c>
      <c r="F23" s="28">
        <v>4</v>
      </c>
      <c r="G23" s="28"/>
      <c r="H23" s="28"/>
      <c r="I23" s="28"/>
      <c r="J23" s="28">
        <v>3</v>
      </c>
      <c r="K23" s="651" t="s">
        <v>481</v>
      </c>
      <c r="L23" s="28"/>
      <c r="M23" s="28"/>
      <c r="N23" s="28"/>
      <c r="O23" s="28"/>
      <c r="P23" s="418">
        <f t="shared" si="0"/>
        <v>7</v>
      </c>
    </row>
    <row r="24" spans="1:16" ht="15.75" thickBot="1" x14ac:dyDescent="0.3">
      <c r="A24" s="35">
        <v>1000045</v>
      </c>
      <c r="B24" s="22" t="s">
        <v>23</v>
      </c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1000030</v>
      </c>
      <c r="B25" s="22" t="s">
        <v>24</v>
      </c>
      <c r="D25" s="47">
        <v>2</v>
      </c>
      <c r="E25" s="15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1000025</v>
      </c>
      <c r="B26" s="22" t="s">
        <v>32</v>
      </c>
      <c r="D26" s="47">
        <v>5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1000027</v>
      </c>
      <c r="B27" s="22" t="s">
        <v>33</v>
      </c>
      <c r="D27" s="47">
        <v>3</v>
      </c>
      <c r="F27" s="28">
        <v>6</v>
      </c>
      <c r="G27" s="28"/>
      <c r="H27" s="28"/>
      <c r="I27" s="28"/>
      <c r="J27" s="28"/>
      <c r="K27" s="28"/>
      <c r="L27" s="28"/>
      <c r="M27" s="28"/>
      <c r="N27" s="28"/>
      <c r="O27" s="28"/>
      <c r="P27" s="418">
        <f t="shared" si="0"/>
        <v>6</v>
      </c>
    </row>
    <row r="28" spans="1:16" ht="15.75" thickBot="1" x14ac:dyDescent="0.3">
      <c r="A28" s="35">
        <v>1000100</v>
      </c>
      <c r="B28" s="22" t="s">
        <v>34</v>
      </c>
      <c r="D28" s="47">
        <v>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1000082</v>
      </c>
      <c r="B29" s="22" t="s">
        <v>37</v>
      </c>
      <c r="D29" s="47">
        <v>20</v>
      </c>
      <c r="F29" s="28">
        <v>24</v>
      </c>
      <c r="G29" s="28"/>
      <c r="H29" s="28"/>
      <c r="I29" s="28"/>
      <c r="J29" s="28">
        <v>32</v>
      </c>
      <c r="K29" s="651" t="s">
        <v>481</v>
      </c>
      <c r="L29" s="28"/>
      <c r="M29" s="28"/>
      <c r="N29" s="28"/>
      <c r="O29" s="28"/>
      <c r="P29" s="418">
        <f t="shared" si="0"/>
        <v>56</v>
      </c>
    </row>
    <row r="30" spans="1:16" ht="15.75" thickBot="1" x14ac:dyDescent="0.3">
      <c r="A30" s="35">
        <v>1000084</v>
      </c>
      <c r="B30" s="22" t="s">
        <v>38</v>
      </c>
      <c r="D30" s="47">
        <v>28</v>
      </c>
      <c r="E30" s="15"/>
      <c r="F30" s="28">
        <v>12</v>
      </c>
      <c r="G30" s="28"/>
      <c r="H30" s="28"/>
      <c r="I30" s="28"/>
      <c r="J30" s="28">
        <v>12</v>
      </c>
      <c r="K30" s="651" t="s">
        <v>481</v>
      </c>
      <c r="L30" s="28">
        <v>8</v>
      </c>
      <c r="M30" s="28"/>
      <c r="N30" s="28"/>
      <c r="O30" s="28"/>
      <c r="P30" s="418">
        <f t="shared" si="0"/>
        <v>32</v>
      </c>
    </row>
    <row r="31" spans="1:16" ht="15.75" thickBot="1" x14ac:dyDescent="0.3">
      <c r="A31" s="35">
        <v>1000146</v>
      </c>
      <c r="B31" s="22" t="s">
        <v>39</v>
      </c>
      <c r="D31" s="47">
        <v>28</v>
      </c>
      <c r="F31" s="28"/>
      <c r="G31" s="28"/>
      <c r="H31" s="28"/>
      <c r="I31" s="28"/>
      <c r="J31" s="28">
        <v>30</v>
      </c>
      <c r="K31" s="28"/>
      <c r="L31" s="28">
        <v>20</v>
      </c>
      <c r="M31" s="28"/>
      <c r="N31" s="28"/>
      <c r="O31" s="28"/>
      <c r="P31" s="418">
        <f t="shared" si="0"/>
        <v>50</v>
      </c>
    </row>
    <row r="32" spans="1:16" ht="15.75" thickBot="1" x14ac:dyDescent="0.3">
      <c r="A32" s="242">
        <v>10248</v>
      </c>
      <c r="B32" s="250" t="s">
        <v>183</v>
      </c>
      <c r="D32" s="47">
        <v>0</v>
      </c>
      <c r="F32" s="28">
        <v>6</v>
      </c>
      <c r="G32" s="28"/>
      <c r="H32" s="28"/>
      <c r="I32" s="28"/>
      <c r="J32" s="28"/>
      <c r="K32" s="28"/>
      <c r="L32" s="28"/>
      <c r="M32" s="28"/>
      <c r="N32" s="28"/>
      <c r="O32" s="28"/>
      <c r="P32" s="418">
        <f t="shared" si="0"/>
        <v>6</v>
      </c>
    </row>
    <row r="33" spans="1:16" ht="15.75" thickBot="1" x14ac:dyDescent="0.3">
      <c r="A33" s="35">
        <v>1000090</v>
      </c>
      <c r="B33" s="22" t="s">
        <v>40</v>
      </c>
      <c r="D33" s="47">
        <v>1</v>
      </c>
      <c r="F33" s="28">
        <v>4</v>
      </c>
      <c r="G33" s="28"/>
      <c r="H33" s="28"/>
      <c r="I33" s="28"/>
      <c r="J33" s="28">
        <v>4</v>
      </c>
      <c r="K33" s="28"/>
      <c r="L33" s="28">
        <v>4</v>
      </c>
      <c r="M33" s="28"/>
      <c r="N33" s="28"/>
      <c r="O33" s="28"/>
      <c r="P33" s="418">
        <f t="shared" si="0"/>
        <v>12</v>
      </c>
    </row>
    <row r="34" spans="1:16" ht="15.75" thickBot="1" x14ac:dyDescent="0.3">
      <c r="A34" s="35">
        <v>1000052</v>
      </c>
      <c r="B34" s="22" t="s">
        <v>41</v>
      </c>
      <c r="D34" s="47">
        <v>4</v>
      </c>
      <c r="F34" s="28">
        <v>4</v>
      </c>
      <c r="G34" s="28"/>
      <c r="H34" s="28"/>
      <c r="I34" s="28"/>
      <c r="J34" s="28"/>
      <c r="K34" s="28"/>
      <c r="L34" s="28">
        <v>3</v>
      </c>
      <c r="M34" s="28"/>
      <c r="N34" s="28"/>
      <c r="O34" s="28"/>
      <c r="P34" s="418">
        <f t="shared" si="0"/>
        <v>7</v>
      </c>
    </row>
    <row r="35" spans="1:16" ht="15.75" thickBot="1" x14ac:dyDescent="0.3">
      <c r="A35" s="35">
        <v>1000089</v>
      </c>
      <c r="B35" s="22" t="s">
        <v>42</v>
      </c>
      <c r="D35" s="45">
        <v>4</v>
      </c>
      <c r="F35" s="28">
        <v>3</v>
      </c>
      <c r="G35" s="28"/>
      <c r="H35" s="28"/>
      <c r="I35" s="28"/>
      <c r="J35" s="28">
        <v>3</v>
      </c>
      <c r="K35" s="28"/>
      <c r="L35" s="28"/>
      <c r="M35" s="28"/>
      <c r="N35" s="28"/>
      <c r="O35" s="28"/>
      <c r="P35" s="418">
        <f t="shared" si="0"/>
        <v>6</v>
      </c>
    </row>
    <row r="36" spans="1:16" ht="15.75" thickBot="1" x14ac:dyDescent="0.3">
      <c r="A36" s="35">
        <v>1000051</v>
      </c>
      <c r="B36" s="22" t="s">
        <v>43</v>
      </c>
      <c r="D36" s="47">
        <v>2</v>
      </c>
      <c r="F36" s="28"/>
      <c r="G36" s="28"/>
      <c r="H36" s="28"/>
      <c r="I36" s="28"/>
      <c r="J36" s="28"/>
      <c r="K36" s="28"/>
      <c r="L36" s="28">
        <v>1</v>
      </c>
      <c r="M36" s="28"/>
      <c r="N36" s="28"/>
      <c r="O36" s="28"/>
      <c r="P36" s="418">
        <f t="shared" si="0"/>
        <v>1</v>
      </c>
    </row>
    <row r="37" spans="1:16" ht="15.75" thickBot="1" x14ac:dyDescent="0.3">
      <c r="A37" s="35">
        <v>1000048</v>
      </c>
      <c r="B37" s="22" t="s">
        <v>45</v>
      </c>
      <c r="D37" s="47"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1000147</v>
      </c>
      <c r="B38" s="22" t="s">
        <v>52</v>
      </c>
      <c r="D38" s="47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1000142</v>
      </c>
      <c r="B39" s="22" t="s">
        <v>54</v>
      </c>
      <c r="D39" s="47">
        <v>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1000057</v>
      </c>
      <c r="B40" s="22" t="s">
        <v>70</v>
      </c>
      <c r="D40" s="45">
        <v>0</v>
      </c>
      <c r="F40" s="28"/>
      <c r="G40" s="28"/>
      <c r="H40" s="28"/>
      <c r="I40" s="28"/>
      <c r="J40" s="28">
        <v>1</v>
      </c>
      <c r="K40" s="28"/>
      <c r="L40" s="28"/>
      <c r="M40" s="28"/>
      <c r="N40" s="28"/>
      <c r="O40" s="28"/>
      <c r="P40" s="418">
        <f t="shared" si="0"/>
        <v>1</v>
      </c>
    </row>
    <row r="41" spans="1:16" ht="15.75" thickBot="1" x14ac:dyDescent="0.3">
      <c r="A41" s="35">
        <v>1000383</v>
      </c>
      <c r="B41" s="22" t="s">
        <v>71</v>
      </c>
      <c r="D41" s="45">
        <v>48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10248</v>
      </c>
      <c r="B42" s="22" t="s">
        <v>183</v>
      </c>
      <c r="D42" s="45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256">
        <v>1000033</v>
      </c>
      <c r="B43" s="68" t="s">
        <v>27</v>
      </c>
      <c r="D43" s="45"/>
      <c r="F43" s="28">
        <v>2</v>
      </c>
      <c r="G43" s="28"/>
      <c r="H43" s="28"/>
      <c r="I43" s="28"/>
      <c r="J43" s="28">
        <v>2</v>
      </c>
      <c r="K43" s="28"/>
      <c r="L43" s="28"/>
      <c r="M43" s="28"/>
      <c r="N43" s="28"/>
      <c r="O43" s="28"/>
      <c r="P43" s="418">
        <f t="shared" si="0"/>
        <v>4</v>
      </c>
    </row>
    <row r="44" spans="1:16" ht="15.95" customHeight="1" thickBot="1" x14ac:dyDescent="0.3">
      <c r="A44" s="257">
        <v>1000029</v>
      </c>
      <c r="B44" s="68" t="s">
        <v>30</v>
      </c>
      <c r="D44" s="45"/>
      <c r="F44" s="28">
        <v>1</v>
      </c>
      <c r="G44" s="28"/>
      <c r="H44" s="28"/>
      <c r="I44" s="28"/>
      <c r="J44" s="28">
        <v>1</v>
      </c>
      <c r="K44" s="28"/>
      <c r="L44" s="28">
        <v>1</v>
      </c>
      <c r="M44" s="28"/>
      <c r="N44" s="28"/>
      <c r="O44" s="28"/>
      <c r="P44" s="418">
        <f t="shared" si="0"/>
        <v>3</v>
      </c>
    </row>
    <row r="45" spans="1:16" ht="15.75" thickBot="1" x14ac:dyDescent="0.3">
      <c r="A45" s="258">
        <v>1000107</v>
      </c>
      <c r="B45" s="68" t="s">
        <v>60</v>
      </c>
      <c r="C45" s="215"/>
      <c r="D45" s="35"/>
      <c r="E45" s="21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258">
        <v>1000062</v>
      </c>
      <c r="B46" s="68" t="s">
        <v>66</v>
      </c>
      <c r="C46" s="110"/>
      <c r="D46" s="44"/>
      <c r="E46" s="110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259">
        <v>1000049</v>
      </c>
      <c r="B47" s="22" t="s">
        <v>21</v>
      </c>
      <c r="C47" s="215"/>
      <c r="D47" s="35"/>
      <c r="E47" s="215"/>
      <c r="F47" s="28">
        <v>4</v>
      </c>
      <c r="G47" s="28"/>
      <c r="H47" s="28"/>
      <c r="I47" s="28"/>
      <c r="J47" s="28"/>
      <c r="K47" s="28"/>
      <c r="L47" s="28"/>
      <c r="M47" s="28"/>
      <c r="N47" s="28"/>
      <c r="O47" s="28"/>
      <c r="P47" s="418">
        <f t="shared" si="0"/>
        <v>4</v>
      </c>
    </row>
    <row r="48" spans="1:16" ht="15.75" thickBot="1" x14ac:dyDescent="0.3">
      <c r="A48" s="35">
        <v>1000075</v>
      </c>
      <c r="B48" s="22" t="s">
        <v>47</v>
      </c>
      <c r="C48" s="110"/>
      <c r="D48" s="44"/>
      <c r="E48" s="110"/>
      <c r="F48" s="28"/>
      <c r="G48" s="28"/>
      <c r="H48" s="28"/>
      <c r="I48" s="28"/>
      <c r="J48" s="28"/>
      <c r="K48" s="28"/>
      <c r="L48" s="28">
        <v>1</v>
      </c>
      <c r="M48" s="28"/>
      <c r="N48" s="28"/>
      <c r="O48" s="28"/>
      <c r="P48" s="418">
        <f t="shared" si="0"/>
        <v>1</v>
      </c>
    </row>
    <row r="49" spans="1:16" ht="15.75" thickBot="1" x14ac:dyDescent="0.3">
      <c r="A49" s="242">
        <v>1000101</v>
      </c>
      <c r="B49" s="22" t="s">
        <v>35</v>
      </c>
      <c r="C49" s="110"/>
      <c r="D49" s="44"/>
      <c r="E49" s="110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242">
        <v>1000383</v>
      </c>
      <c r="B50" s="22" t="s">
        <v>264</v>
      </c>
      <c r="C50" s="110"/>
      <c r="D50" s="44"/>
      <c r="E50" s="110"/>
      <c r="F50" s="28"/>
      <c r="G50" s="28"/>
      <c r="H50" s="28"/>
      <c r="I50" s="28"/>
      <c r="J50" s="28">
        <v>48</v>
      </c>
      <c r="K50" s="28"/>
      <c r="L50" s="28"/>
      <c r="M50" s="28"/>
      <c r="N50" s="28"/>
      <c r="O50" s="28"/>
      <c r="P50" s="418">
        <f t="shared" si="0"/>
        <v>48</v>
      </c>
    </row>
    <row r="51" spans="1:16" ht="15.75" thickBot="1" x14ac:dyDescent="0.3">
      <c r="A51" s="242">
        <v>1000486</v>
      </c>
      <c r="B51" s="22" t="s">
        <v>263</v>
      </c>
      <c r="C51" s="110"/>
      <c r="D51" s="44"/>
      <c r="E51" s="110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1000073</v>
      </c>
      <c r="B52" s="22" t="s">
        <v>36</v>
      </c>
      <c r="C52" s="215"/>
      <c r="D52" s="35"/>
      <c r="E52" s="21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242">
        <v>1000436</v>
      </c>
      <c r="B53" s="22" t="s">
        <v>276</v>
      </c>
      <c r="C53" s="215"/>
      <c r="D53" s="35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242">
        <v>1000550</v>
      </c>
      <c r="B54" s="22" t="s">
        <v>277</v>
      </c>
      <c r="C54" s="215"/>
      <c r="D54" s="35"/>
      <c r="E54" s="215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242">
        <v>1000551</v>
      </c>
      <c r="B55" s="22" t="s">
        <v>278</v>
      </c>
      <c r="C55" s="215"/>
      <c r="D55" s="35"/>
      <c r="E55" s="215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242">
        <v>1000552</v>
      </c>
      <c r="B56" s="250" t="s">
        <v>279</v>
      </c>
      <c r="C56" s="215"/>
      <c r="D56" s="35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243">
        <v>1000080</v>
      </c>
      <c r="B57" s="251" t="s">
        <v>275</v>
      </c>
      <c r="C57" s="215"/>
      <c r="D57" s="38"/>
      <c r="E57" s="215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648">
        <v>10249</v>
      </c>
      <c r="B58" s="60" t="s">
        <v>181</v>
      </c>
      <c r="C58" s="27"/>
      <c r="D58" s="38"/>
      <c r="F58" s="28"/>
      <c r="G58" s="28"/>
      <c r="H58" s="28"/>
      <c r="I58" s="28"/>
      <c r="J58" s="28"/>
      <c r="K58" s="28"/>
      <c r="L58" s="28">
        <v>16</v>
      </c>
      <c r="M58" s="28"/>
      <c r="N58" s="28"/>
      <c r="O58" s="28"/>
      <c r="P58" s="556">
        <v>16</v>
      </c>
    </row>
    <row r="59" spans="1:16" ht="15.75" thickBot="1" x14ac:dyDescent="0.3">
      <c r="A59" s="647">
        <v>1000087</v>
      </c>
      <c r="B59" s="60" t="s">
        <v>197</v>
      </c>
      <c r="C59" s="27"/>
      <c r="D59" s="38"/>
      <c r="F59" s="28"/>
      <c r="G59" s="28"/>
      <c r="H59" s="28"/>
      <c r="I59" s="28"/>
      <c r="J59" s="28">
        <v>1</v>
      </c>
      <c r="K59" s="28"/>
      <c r="L59" s="28"/>
      <c r="M59" s="28"/>
      <c r="N59" s="28"/>
      <c r="O59" s="28"/>
      <c r="P59" s="556">
        <v>4</v>
      </c>
    </row>
    <row r="60" spans="1:16" ht="15.75" thickBot="1" x14ac:dyDescent="0.3">
      <c r="A60" s="172">
        <v>1000073</v>
      </c>
      <c r="B60" s="12" t="s">
        <v>36</v>
      </c>
      <c r="C60" s="27"/>
      <c r="D60" s="3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>
        <v>0</v>
      </c>
    </row>
    <row r="61" spans="1:16" x14ac:dyDescent="0.25">
      <c r="C61" s="27"/>
      <c r="D61" s="27"/>
    </row>
    <row r="62" spans="1:16" x14ac:dyDescent="0.25">
      <c r="C62" s="27"/>
      <c r="D62" s="27"/>
    </row>
    <row r="63" spans="1:16" x14ac:dyDescent="0.25">
      <c r="C63" s="27"/>
      <c r="D63" s="27"/>
    </row>
    <row r="64" spans="1:16" x14ac:dyDescent="0.25">
      <c r="C64" s="27"/>
      <c r="D64" s="27"/>
    </row>
    <row r="65" s="27" customFormat="1" x14ac:dyDescent="0.25"/>
    <row r="66" s="27" customFormat="1" x14ac:dyDescent="0.25"/>
    <row r="67" s="27" customFormat="1" x14ac:dyDescent="0.25"/>
    <row r="68" s="27" customFormat="1" x14ac:dyDescent="0.25"/>
    <row r="69" s="27" customFormat="1" x14ac:dyDescent="0.25"/>
    <row r="70" s="27" customFormat="1" x14ac:dyDescent="0.25"/>
    <row r="71" s="27" customFormat="1" x14ac:dyDescent="0.25"/>
    <row r="72" s="27" customFormat="1" x14ac:dyDescent="0.25"/>
    <row r="73" s="27" customFormat="1" x14ac:dyDescent="0.25"/>
    <row r="74" s="27" customFormat="1" x14ac:dyDescent="0.25"/>
    <row r="75" s="27" customFormat="1" x14ac:dyDescent="0.25"/>
    <row r="76" s="27" customFormat="1" x14ac:dyDescent="0.25"/>
    <row r="77" s="27" customFormat="1" x14ac:dyDescent="0.25"/>
    <row r="78" s="27" customFormat="1" x14ac:dyDescent="0.25"/>
    <row r="79" s="27" customFormat="1" x14ac:dyDescent="0.25"/>
    <row r="80" s="27" customFormat="1" x14ac:dyDescent="0.25"/>
    <row r="81" s="27" customFormat="1" x14ac:dyDescent="0.25"/>
    <row r="82" s="27" customFormat="1" x14ac:dyDescent="0.25"/>
    <row r="83" s="27" customFormat="1" x14ac:dyDescent="0.25"/>
    <row r="84" s="27" customFormat="1" x14ac:dyDescent="0.25"/>
    <row r="85" s="27" customFormat="1" x14ac:dyDescent="0.25"/>
    <row r="86" s="27" customFormat="1" x14ac:dyDescent="0.25"/>
    <row r="87" s="27" customFormat="1" x14ac:dyDescent="0.25"/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7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AF55-8D89-4AC2-A3C8-CA0BE6CED8A1}">
  <sheetPr>
    <tabColor rgb="FFFFFF00"/>
    <pageSetUpPr fitToPage="1"/>
  </sheetPr>
  <dimension ref="A1:P45"/>
  <sheetViews>
    <sheetView zoomScale="70" zoomScaleNormal="70" workbookViewId="0">
      <selection activeCell="R18" sqref="R18"/>
    </sheetView>
  </sheetViews>
  <sheetFormatPr baseColWidth="10" defaultColWidth="10.875" defaultRowHeight="15" x14ac:dyDescent="0.25"/>
  <cols>
    <col min="1" max="1" width="10.375" style="27" customWidth="1"/>
    <col min="2" max="2" width="44.75" style="27" bestFit="1" customWidth="1"/>
    <col min="3" max="3" width="1.375" style="27" customWidth="1"/>
    <col min="4" max="4" width="8.125" style="27" bestFit="1" customWidth="1"/>
    <col min="5" max="5" width="2.125" style="27" customWidth="1"/>
    <col min="6" max="6" width="9.125" style="27" bestFit="1" customWidth="1"/>
    <col min="7" max="7" width="6.875" style="27" customWidth="1"/>
    <col min="8" max="8" width="9.125" style="27" bestFit="1" customWidth="1"/>
    <col min="9" max="9" width="6.25" style="27" customWidth="1"/>
    <col min="10" max="10" width="9.125" style="27" bestFit="1" customWidth="1"/>
    <col min="11" max="11" width="6.625" style="27" customWidth="1"/>
    <col min="12" max="12" width="9.125" style="27" bestFit="1" customWidth="1"/>
    <col min="13" max="13" width="6" style="27" customWidth="1"/>
    <col min="14" max="14" width="9.125" style="27" bestFit="1" customWidth="1"/>
    <col min="15" max="15" width="6.5" style="27" customWidth="1"/>
    <col min="16" max="16384" width="10.875" style="27"/>
  </cols>
  <sheetData>
    <row r="1" spans="1:16" ht="15" customHeight="1" x14ac:dyDescent="0.45">
      <c r="A1" s="686" t="s">
        <v>209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28" t="s">
        <v>379</v>
      </c>
      <c r="F2" s="754"/>
      <c r="G2" s="755"/>
      <c r="H2" s="755"/>
      <c r="I2" s="755"/>
      <c r="J2" s="756"/>
      <c r="K2" s="2"/>
      <c r="L2"/>
      <c r="M2"/>
    </row>
    <row r="3" spans="1:16" s="3" customFormat="1" ht="25.5" customHeight="1" thickBot="1" x14ac:dyDescent="0.3">
      <c r="A3" s="5"/>
      <c r="B3" s="5" t="s">
        <v>401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/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5" si="0">SUM(F5:O5)</f>
        <v>0</v>
      </c>
    </row>
    <row r="6" spans="1:16" ht="15.75" thickBot="1" x14ac:dyDescent="0.3">
      <c r="A6" s="35">
        <v>10000102</v>
      </c>
      <c r="B6" s="12" t="s">
        <v>2</v>
      </c>
      <c r="C6" s="41"/>
      <c r="D6" s="43"/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3"/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1000007</v>
      </c>
      <c r="B8" s="12" t="s">
        <v>5</v>
      </c>
      <c r="C8" s="41"/>
      <c r="D8" s="43"/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35">
        <v>1000001</v>
      </c>
      <c r="B9" s="12" t="s">
        <v>8</v>
      </c>
      <c r="C9" s="41"/>
      <c r="D9" s="43"/>
      <c r="F9" s="28"/>
      <c r="G9" s="28"/>
      <c r="H9" s="28"/>
      <c r="I9" s="28"/>
      <c r="J9" s="28">
        <v>3</v>
      </c>
      <c r="K9" s="28"/>
      <c r="L9" s="28"/>
      <c r="M9" s="28"/>
      <c r="N9" s="28"/>
      <c r="O9" s="28"/>
      <c r="P9" s="418">
        <f t="shared" si="0"/>
        <v>3</v>
      </c>
    </row>
    <row r="10" spans="1:16" ht="15.75" thickBot="1" x14ac:dyDescent="0.3">
      <c r="A10" s="35">
        <v>1000002</v>
      </c>
      <c r="B10" s="12" t="s">
        <v>9</v>
      </c>
      <c r="C10" s="41"/>
      <c r="D10" s="43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1000054</v>
      </c>
      <c r="B11" s="12" t="s">
        <v>12</v>
      </c>
      <c r="C11" s="41"/>
      <c r="D11" s="4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1000070</v>
      </c>
      <c r="B12" s="12" t="s">
        <v>13</v>
      </c>
      <c r="C12" s="41"/>
      <c r="D12" s="43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1000016</v>
      </c>
      <c r="B14" s="12" t="s">
        <v>15</v>
      </c>
      <c r="C14" s="41"/>
      <c r="D14" s="43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1000041</v>
      </c>
      <c r="B15" s="12" t="s">
        <v>16</v>
      </c>
      <c r="C15" s="41"/>
      <c r="D15" s="43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2" t="s">
        <v>21</v>
      </c>
      <c r="C16" s="41"/>
      <c r="D16" s="4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1000050</v>
      </c>
      <c r="B17" s="12" t="s">
        <v>22</v>
      </c>
      <c r="C17" s="41"/>
      <c r="D17" s="4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1000031</v>
      </c>
      <c r="B18" s="12" t="s">
        <v>25</v>
      </c>
      <c r="C18" s="41"/>
      <c r="D18" s="43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1000026</v>
      </c>
      <c r="B19" s="12" t="s">
        <v>31</v>
      </c>
      <c r="C19" s="41"/>
      <c r="D19" s="43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3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1000100</v>
      </c>
      <c r="B21" s="12" t="s">
        <v>34</v>
      </c>
      <c r="C21" s="41"/>
      <c r="D21" s="4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1000073</v>
      </c>
      <c r="B22" s="12" t="s">
        <v>36</v>
      </c>
      <c r="C22" s="41"/>
      <c r="D22" s="4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1000146</v>
      </c>
      <c r="B23" s="12" t="s">
        <v>39</v>
      </c>
      <c r="C23" s="41"/>
      <c r="D23" s="4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10248</v>
      </c>
      <c r="B24" s="12" t="s">
        <v>183</v>
      </c>
      <c r="C24" s="41"/>
      <c r="D24" s="4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1000052</v>
      </c>
      <c r="B25" s="12" t="s">
        <v>41</v>
      </c>
      <c r="C25" s="41"/>
      <c r="D25" s="43"/>
      <c r="F25" s="28"/>
      <c r="G25" s="28"/>
      <c r="H25" s="28"/>
      <c r="I25" s="28"/>
      <c r="J25" s="28">
        <v>3</v>
      </c>
      <c r="K25" s="28"/>
      <c r="L25" s="28"/>
      <c r="M25" s="28"/>
      <c r="N25" s="28"/>
      <c r="O25" s="28"/>
      <c r="P25" s="418">
        <f t="shared" si="0"/>
        <v>3</v>
      </c>
    </row>
    <row r="26" spans="1:16" ht="15.75" thickBot="1" x14ac:dyDescent="0.3">
      <c r="A26" s="35">
        <v>1000089</v>
      </c>
      <c r="B26" s="12" t="s">
        <v>42</v>
      </c>
      <c r="C26" s="41"/>
      <c r="D26" s="43"/>
      <c r="F26" s="28"/>
      <c r="G26" s="28"/>
      <c r="H26" s="28"/>
      <c r="I26" s="28"/>
      <c r="J26" s="28">
        <v>2</v>
      </c>
      <c r="K26" s="28"/>
      <c r="L26" s="28"/>
      <c r="M26" s="28"/>
      <c r="N26" s="28"/>
      <c r="O26" s="28"/>
      <c r="P26" s="418">
        <f t="shared" si="0"/>
        <v>2</v>
      </c>
    </row>
    <row r="27" spans="1:16" ht="15.75" thickBot="1" x14ac:dyDescent="0.3">
      <c r="A27" s="35">
        <v>1000051</v>
      </c>
      <c r="B27" s="12" t="s">
        <v>43</v>
      </c>
      <c r="C27" s="41"/>
      <c r="D27" s="4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1000048</v>
      </c>
      <c r="B28" s="12" t="s">
        <v>45</v>
      </c>
      <c r="C28" s="41"/>
      <c r="D28" s="4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1000076</v>
      </c>
      <c r="B29" s="12" t="s">
        <v>46</v>
      </c>
      <c r="C29" s="41"/>
      <c r="D29" s="4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1000142</v>
      </c>
      <c r="B30" s="12" t="s">
        <v>54</v>
      </c>
      <c r="C30" s="41"/>
      <c r="D30" s="4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1000087</v>
      </c>
      <c r="B31" s="12" t="s">
        <v>197</v>
      </c>
      <c r="C31" s="41"/>
      <c r="D31" s="4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10244</v>
      </c>
      <c r="B32" s="12" t="s">
        <v>174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s="15" customFormat="1" ht="15.95" customHeight="1" thickBot="1" x14ac:dyDescent="0.3">
      <c r="A33" s="35">
        <v>1000038</v>
      </c>
      <c r="B33" s="12" t="s">
        <v>78</v>
      </c>
      <c r="C33" s="41"/>
      <c r="D33" s="43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1000084</v>
      </c>
      <c r="B34" s="12" t="s">
        <v>38</v>
      </c>
      <c r="C34" s="41"/>
      <c r="D34" s="43"/>
      <c r="F34" s="28"/>
      <c r="G34" s="28"/>
      <c r="H34" s="28"/>
      <c r="I34" s="28"/>
      <c r="J34" s="28">
        <v>4</v>
      </c>
      <c r="K34" s="28"/>
      <c r="L34" s="28"/>
      <c r="M34" s="28"/>
      <c r="N34" s="28"/>
      <c r="O34" s="28"/>
      <c r="P34" s="418">
        <f t="shared" si="0"/>
        <v>4</v>
      </c>
    </row>
    <row r="35" spans="1:16" ht="15.75" thickBot="1" x14ac:dyDescent="0.3">
      <c r="A35" s="35">
        <v>1000055</v>
      </c>
      <c r="B35" s="12" t="s">
        <v>79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1000004</v>
      </c>
      <c r="B36" s="12" t="s">
        <v>10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1000081</v>
      </c>
      <c r="B37" s="12" t="s">
        <v>73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1000080</v>
      </c>
      <c r="B38" s="12" t="s">
        <v>275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1000436</v>
      </c>
      <c r="B39" s="12" t="s">
        <v>276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1000550</v>
      </c>
      <c r="B40" s="12" t="s">
        <v>277</v>
      </c>
      <c r="C40" s="41"/>
      <c r="D40" s="4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1000551</v>
      </c>
      <c r="B41" s="12" t="s">
        <v>278</v>
      </c>
      <c r="C41" s="41"/>
      <c r="D41" s="4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6.5" thickBot="1" x14ac:dyDescent="0.3">
      <c r="A42" s="207">
        <v>1000552</v>
      </c>
      <c r="B42" s="246" t="s">
        <v>279</v>
      </c>
      <c r="C42"/>
      <c r="D42" s="38"/>
      <c r="E42" s="215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270">
        <v>1000045</v>
      </c>
      <c r="B43" s="255" t="s">
        <v>23</v>
      </c>
      <c r="D43" s="3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1000067</v>
      </c>
      <c r="B44" s="22" t="s">
        <v>11</v>
      </c>
      <c r="D44" s="3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10212</v>
      </c>
      <c r="B45" s="12" t="s">
        <v>6</v>
      </c>
      <c r="D45" s="3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8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689E-EC11-4D68-89BC-0775DE2B51B7}">
  <sheetPr>
    <tabColor rgb="FFFFFF00"/>
    <pageSetUpPr fitToPage="1"/>
  </sheetPr>
  <dimension ref="A1:P49"/>
  <sheetViews>
    <sheetView topLeftCell="A2" workbookViewId="0">
      <selection activeCell="R43" sqref="R43"/>
    </sheetView>
  </sheetViews>
  <sheetFormatPr baseColWidth="10" defaultRowHeight="15.75" x14ac:dyDescent="0.25"/>
  <cols>
    <col min="1" max="1" width="11" style="3"/>
    <col min="2" max="2" width="32.875" style="3" bestFit="1" customWidth="1"/>
    <col min="3" max="3" width="1.75" style="3" customWidth="1"/>
    <col min="4" max="4" width="8.125" style="3" customWidth="1"/>
    <col min="5" max="5" width="1.625" style="3" customWidth="1"/>
    <col min="6" max="6" width="9.125" style="3" bestFit="1" customWidth="1"/>
    <col min="7" max="7" width="5.875" style="3" customWidth="1"/>
    <col min="8" max="8" width="9.125" style="3" bestFit="1" customWidth="1"/>
    <col min="9" max="9" width="5.75" style="3" customWidth="1"/>
    <col min="10" max="10" width="9.125" style="3" bestFit="1" customWidth="1"/>
    <col min="11" max="11" width="6" style="3" customWidth="1"/>
    <col min="12" max="12" width="9.75" style="3" bestFit="1" customWidth="1"/>
    <col min="13" max="13" width="6" style="3" customWidth="1"/>
    <col min="14" max="14" width="9.125" style="3" bestFit="1" customWidth="1"/>
    <col min="15" max="15" width="6.375" style="3" customWidth="1"/>
    <col min="16" max="16" width="11.75" style="3" customWidth="1"/>
    <col min="17" max="16384" width="11" style="3"/>
  </cols>
  <sheetData>
    <row r="1" spans="1:16" ht="15.75" customHeight="1" x14ac:dyDescent="0.45">
      <c r="A1" s="686" t="s">
        <v>240</v>
      </c>
      <c r="B1" s="794"/>
      <c r="C1" s="160"/>
      <c r="E1" s="161"/>
      <c r="F1" s="764" t="s">
        <v>474</v>
      </c>
      <c r="G1" s="765"/>
      <c r="H1" s="765"/>
      <c r="I1" s="766"/>
      <c r="K1" s="2"/>
      <c r="L1"/>
      <c r="M1"/>
      <c r="N1"/>
    </row>
    <row r="2" spans="1:16" ht="16.5" customHeight="1" thickBot="1" x14ac:dyDescent="0.5">
      <c r="A2" s="688"/>
      <c r="B2" s="795"/>
      <c r="C2" s="162"/>
      <c r="D2" s="448" t="s">
        <v>399</v>
      </c>
      <c r="F2" s="767"/>
      <c r="G2" s="768"/>
      <c r="H2" s="768"/>
      <c r="I2" s="769"/>
      <c r="K2" s="2"/>
      <c r="L2"/>
      <c r="M2"/>
      <c r="N2"/>
    </row>
    <row r="3" spans="1:16" ht="24" thickBot="1" x14ac:dyDescent="0.4">
      <c r="B3" s="447" t="s">
        <v>402</v>
      </c>
    </row>
    <row r="4" spans="1:16" ht="16.5" thickBot="1" x14ac:dyDescent="0.3">
      <c r="A4" s="163" t="s">
        <v>241</v>
      </c>
      <c r="B4" s="7" t="s">
        <v>242</v>
      </c>
      <c r="C4" s="161"/>
      <c r="D4" s="7" t="s">
        <v>106</v>
      </c>
      <c r="E4" s="161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6.5" thickBot="1" x14ac:dyDescent="0.3">
      <c r="A5" s="164">
        <v>10000015</v>
      </c>
      <c r="B5" s="11" t="s">
        <v>1</v>
      </c>
      <c r="C5" s="165"/>
      <c r="D5" s="166">
        <v>0</v>
      </c>
      <c r="E5" s="274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8">
        <f t="shared" ref="P5:P49" si="0">SUM(F5:O5)</f>
        <v>0</v>
      </c>
    </row>
    <row r="6" spans="1:16" ht="16.5" thickBot="1" x14ac:dyDescent="0.3">
      <c r="A6" s="60">
        <v>10000102</v>
      </c>
      <c r="B6" s="12" t="s">
        <v>2</v>
      </c>
      <c r="C6" s="169"/>
      <c r="D6" s="170">
        <v>0</v>
      </c>
      <c r="E6" s="27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8">
        <f t="shared" si="0"/>
        <v>0</v>
      </c>
    </row>
    <row r="7" spans="1:16" ht="16.5" thickBot="1" x14ac:dyDescent="0.3">
      <c r="A7" s="60">
        <v>1000006</v>
      </c>
      <c r="B7" s="12" t="s">
        <v>4</v>
      </c>
      <c r="C7" s="169"/>
      <c r="D7" s="170">
        <v>60</v>
      </c>
      <c r="E7" s="273"/>
      <c r="F7" s="167">
        <v>100</v>
      </c>
      <c r="G7" s="167"/>
      <c r="H7" s="167">
        <v>150</v>
      </c>
      <c r="I7" s="167"/>
      <c r="J7" s="167">
        <v>100</v>
      </c>
      <c r="K7" s="167"/>
      <c r="L7" s="167">
        <v>150</v>
      </c>
      <c r="M7" s="167"/>
      <c r="N7" s="167">
        <v>100</v>
      </c>
      <c r="O7" s="167"/>
      <c r="P7" s="437">
        <f t="shared" si="0"/>
        <v>600</v>
      </c>
    </row>
    <row r="8" spans="1:16" ht="16.5" thickBot="1" x14ac:dyDescent="0.3">
      <c r="A8" s="60">
        <v>1000007</v>
      </c>
      <c r="B8" s="12" t="s">
        <v>5</v>
      </c>
      <c r="C8" s="169"/>
      <c r="D8" s="170">
        <v>45</v>
      </c>
      <c r="E8" s="273"/>
      <c r="F8" s="167"/>
      <c r="G8" s="167"/>
      <c r="H8" s="167"/>
      <c r="I8" s="167"/>
      <c r="J8" s="167"/>
      <c r="K8" s="167"/>
      <c r="L8" s="167">
        <v>50</v>
      </c>
      <c r="M8" s="167"/>
      <c r="N8" s="167"/>
      <c r="O8" s="167"/>
      <c r="P8" s="437">
        <f t="shared" si="0"/>
        <v>50</v>
      </c>
    </row>
    <row r="9" spans="1:16" ht="16.5" thickBot="1" x14ac:dyDescent="0.3">
      <c r="A9" s="60">
        <v>1000001</v>
      </c>
      <c r="B9" s="12" t="s">
        <v>8</v>
      </c>
      <c r="C9" s="169"/>
      <c r="D9" s="170">
        <v>2</v>
      </c>
      <c r="E9" s="273"/>
      <c r="F9" s="167">
        <v>3</v>
      </c>
      <c r="G9" s="167"/>
      <c r="H9" s="167">
        <v>3</v>
      </c>
      <c r="I9" s="167"/>
      <c r="J9" s="167">
        <v>2</v>
      </c>
      <c r="K9" s="167"/>
      <c r="L9" s="167">
        <v>3</v>
      </c>
      <c r="M9" s="167"/>
      <c r="N9" s="167"/>
      <c r="O9" s="167"/>
      <c r="P9" s="437">
        <f>SUM(F9:O9)</f>
        <v>11</v>
      </c>
    </row>
    <row r="10" spans="1:16" ht="16.5" thickBot="1" x14ac:dyDescent="0.3">
      <c r="A10" s="60">
        <v>1000002</v>
      </c>
      <c r="B10" s="12" t="s">
        <v>9</v>
      </c>
      <c r="C10" s="169"/>
      <c r="D10" s="170">
        <v>1</v>
      </c>
      <c r="E10" s="273"/>
      <c r="F10" s="167"/>
      <c r="G10" s="167"/>
      <c r="H10" s="167">
        <v>1</v>
      </c>
      <c r="I10" s="167"/>
      <c r="J10" s="167"/>
      <c r="K10" s="167"/>
      <c r="L10" s="167"/>
      <c r="M10" s="167"/>
      <c r="N10" s="167"/>
      <c r="O10" s="167"/>
      <c r="P10" s="437">
        <f>SUM(F10:O10)</f>
        <v>1</v>
      </c>
    </row>
    <row r="11" spans="1:16" ht="16.5" thickBot="1" x14ac:dyDescent="0.3">
      <c r="A11" s="60">
        <v>1000004</v>
      </c>
      <c r="B11" s="12" t="s">
        <v>10</v>
      </c>
      <c r="C11" s="169"/>
      <c r="D11" s="170">
        <v>0</v>
      </c>
      <c r="E11" s="273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8">
        <f t="shared" si="0"/>
        <v>0</v>
      </c>
    </row>
    <row r="12" spans="1:16" ht="16.5" thickBot="1" x14ac:dyDescent="0.3">
      <c r="A12" s="60">
        <v>1000067</v>
      </c>
      <c r="B12" s="13" t="s">
        <v>11</v>
      </c>
      <c r="C12" s="169"/>
      <c r="D12" s="170">
        <v>0</v>
      </c>
      <c r="E12" s="273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8">
        <f t="shared" si="0"/>
        <v>0</v>
      </c>
    </row>
    <row r="13" spans="1:16" ht="16.5" thickBot="1" x14ac:dyDescent="0.3">
      <c r="A13" s="60">
        <v>1000054</v>
      </c>
      <c r="B13" s="12" t="s">
        <v>12</v>
      </c>
      <c r="C13" s="169"/>
      <c r="D13" s="170">
        <v>5</v>
      </c>
      <c r="E13" s="273"/>
      <c r="F13" s="167">
        <v>10</v>
      </c>
      <c r="G13" s="167"/>
      <c r="H13" s="167">
        <v>10</v>
      </c>
      <c r="I13" s="167"/>
      <c r="J13" s="167">
        <v>10</v>
      </c>
      <c r="K13" s="167"/>
      <c r="L13" s="167">
        <v>10</v>
      </c>
      <c r="M13" s="167"/>
      <c r="N13" s="167"/>
      <c r="O13" s="167"/>
      <c r="P13" s="437">
        <f t="shared" si="0"/>
        <v>40</v>
      </c>
    </row>
    <row r="14" spans="1:16" ht="16.5" thickBot="1" x14ac:dyDescent="0.3">
      <c r="A14" s="60">
        <v>1000070</v>
      </c>
      <c r="B14" s="14" t="s">
        <v>13</v>
      </c>
      <c r="C14" s="173"/>
      <c r="D14" s="170">
        <v>0</v>
      </c>
      <c r="E14" s="273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8">
        <f t="shared" si="0"/>
        <v>0</v>
      </c>
    </row>
    <row r="15" spans="1:16" ht="16.5" thickBot="1" x14ac:dyDescent="0.3">
      <c r="A15" s="60">
        <v>1000017</v>
      </c>
      <c r="B15" s="14" t="s">
        <v>14</v>
      </c>
      <c r="C15" s="169"/>
      <c r="D15" s="170">
        <v>5</v>
      </c>
      <c r="E15" s="273"/>
      <c r="F15" s="167">
        <v>5</v>
      </c>
      <c r="G15" s="167"/>
      <c r="H15" s="167">
        <v>5</v>
      </c>
      <c r="I15" s="167"/>
      <c r="J15" s="167">
        <v>10</v>
      </c>
      <c r="K15" s="167"/>
      <c r="L15" s="167">
        <v>10</v>
      </c>
      <c r="M15" s="167"/>
      <c r="N15" s="167"/>
      <c r="O15" s="167"/>
      <c r="P15" s="437">
        <f t="shared" si="0"/>
        <v>30</v>
      </c>
    </row>
    <row r="16" spans="1:16" ht="16.5" thickBot="1" x14ac:dyDescent="0.3">
      <c r="A16" s="60">
        <v>1000031</v>
      </c>
      <c r="B16" s="12" t="s">
        <v>25</v>
      </c>
      <c r="C16" s="169"/>
      <c r="D16" s="170">
        <v>0</v>
      </c>
      <c r="E16" s="273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8">
        <f t="shared" si="0"/>
        <v>0</v>
      </c>
    </row>
    <row r="17" spans="1:16" ht="16.5" thickBot="1" x14ac:dyDescent="0.3">
      <c r="A17" s="60">
        <v>1000032</v>
      </c>
      <c r="B17" s="12" t="s">
        <v>26</v>
      </c>
      <c r="C17" s="169"/>
      <c r="D17" s="170">
        <v>0</v>
      </c>
      <c r="E17" s="273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8">
        <f t="shared" si="0"/>
        <v>0</v>
      </c>
    </row>
    <row r="18" spans="1:16" ht="16.5" thickBot="1" x14ac:dyDescent="0.3">
      <c r="A18" s="60">
        <v>1000025</v>
      </c>
      <c r="B18" s="12" t="s">
        <v>32</v>
      </c>
      <c r="C18" s="169"/>
      <c r="D18" s="170">
        <v>3</v>
      </c>
      <c r="E18" s="273"/>
      <c r="F18" s="167"/>
      <c r="G18" s="167"/>
      <c r="H18" s="167"/>
      <c r="I18" s="167"/>
      <c r="J18" s="167"/>
      <c r="K18" s="167"/>
      <c r="L18" s="167">
        <v>5</v>
      </c>
      <c r="M18" s="167"/>
      <c r="N18" s="167"/>
      <c r="O18" s="167"/>
      <c r="P18" s="437">
        <f t="shared" si="0"/>
        <v>5</v>
      </c>
    </row>
    <row r="19" spans="1:16" ht="16.5" thickBot="1" x14ac:dyDescent="0.3">
      <c r="A19" s="60">
        <v>1000100</v>
      </c>
      <c r="B19" s="12" t="s">
        <v>34</v>
      </c>
      <c r="C19" s="169"/>
      <c r="D19" s="170">
        <v>0</v>
      </c>
      <c r="E19" s="273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>
        <f t="shared" si="0"/>
        <v>0</v>
      </c>
    </row>
    <row r="20" spans="1:16" ht="16.5" thickBot="1" x14ac:dyDescent="0.3">
      <c r="A20" s="60">
        <v>1000101</v>
      </c>
      <c r="B20" s="12" t="s">
        <v>35</v>
      </c>
      <c r="C20" s="169"/>
      <c r="D20" s="170">
        <v>0</v>
      </c>
      <c r="E20" s="273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8">
        <f t="shared" si="0"/>
        <v>0</v>
      </c>
    </row>
    <row r="21" spans="1:16" ht="16.5" thickBot="1" x14ac:dyDescent="0.3">
      <c r="A21" s="60">
        <v>1000073</v>
      </c>
      <c r="B21" s="12" t="s">
        <v>36</v>
      </c>
      <c r="C21" s="169"/>
      <c r="D21" s="170">
        <v>0</v>
      </c>
      <c r="E21" s="273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>
        <f t="shared" si="0"/>
        <v>0</v>
      </c>
    </row>
    <row r="22" spans="1:16" ht="16.5" thickBot="1" x14ac:dyDescent="0.3">
      <c r="A22" s="60">
        <v>1000082</v>
      </c>
      <c r="B22" s="12" t="s">
        <v>37</v>
      </c>
      <c r="C22" s="169"/>
      <c r="D22" s="170">
        <v>1</v>
      </c>
      <c r="E22" s="273"/>
      <c r="F22" s="167">
        <v>8</v>
      </c>
      <c r="G22" s="167"/>
      <c r="H22" s="167"/>
      <c r="I22" s="167"/>
      <c r="J22" s="167"/>
      <c r="K22" s="167"/>
      <c r="L22" s="167">
        <v>16</v>
      </c>
      <c r="M22" s="167"/>
      <c r="N22" s="167">
        <v>8</v>
      </c>
      <c r="O22" s="167"/>
      <c r="P22" s="437">
        <f t="shared" si="0"/>
        <v>32</v>
      </c>
    </row>
    <row r="23" spans="1:16" ht="16.5" thickBot="1" x14ac:dyDescent="0.3">
      <c r="A23" s="172">
        <v>1000084</v>
      </c>
      <c r="B23" s="12" t="s">
        <v>38</v>
      </c>
      <c r="C23" s="171"/>
      <c r="D23" s="174">
        <v>30</v>
      </c>
      <c r="E23" s="275"/>
      <c r="F23" s="167">
        <v>16</v>
      </c>
      <c r="G23" s="167"/>
      <c r="H23" s="167">
        <v>12</v>
      </c>
      <c r="I23" s="167"/>
      <c r="J23" s="167">
        <v>16</v>
      </c>
      <c r="K23" s="167"/>
      <c r="L23" s="167">
        <v>16</v>
      </c>
      <c r="M23" s="167"/>
      <c r="N23" s="167">
        <v>16</v>
      </c>
      <c r="O23" s="167"/>
      <c r="P23" s="437">
        <f t="shared" si="0"/>
        <v>76</v>
      </c>
    </row>
    <row r="24" spans="1:16" ht="16.5" thickBot="1" x14ac:dyDescent="0.3">
      <c r="A24" s="60">
        <v>1000146</v>
      </c>
      <c r="B24" s="12" t="s">
        <v>39</v>
      </c>
      <c r="C24" s="169"/>
      <c r="D24" s="170">
        <v>12</v>
      </c>
      <c r="E24" s="273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8">
        <f t="shared" si="0"/>
        <v>0</v>
      </c>
    </row>
    <row r="25" spans="1:16" ht="16.5" thickBot="1" x14ac:dyDescent="0.3">
      <c r="A25" s="60">
        <v>1000090</v>
      </c>
      <c r="B25" s="12" t="s">
        <v>40</v>
      </c>
      <c r="C25" s="169"/>
      <c r="D25" s="170">
        <v>2</v>
      </c>
      <c r="E25" s="273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8">
        <f t="shared" si="0"/>
        <v>0</v>
      </c>
    </row>
    <row r="26" spans="1:16" ht="16.5" thickBot="1" x14ac:dyDescent="0.3">
      <c r="A26" s="60">
        <v>1000052</v>
      </c>
      <c r="B26" s="12" t="s">
        <v>41</v>
      </c>
      <c r="C26" s="169"/>
      <c r="D26" s="170">
        <v>1</v>
      </c>
      <c r="E26" s="273"/>
      <c r="F26" s="167">
        <v>1</v>
      </c>
      <c r="G26" s="167"/>
      <c r="H26" s="167"/>
      <c r="I26" s="167"/>
      <c r="J26" s="167"/>
      <c r="K26" s="167"/>
      <c r="L26" s="167">
        <v>1</v>
      </c>
      <c r="M26" s="167"/>
      <c r="N26" s="167"/>
      <c r="O26" s="167"/>
      <c r="P26" s="437">
        <f t="shared" si="0"/>
        <v>2</v>
      </c>
    </row>
    <row r="27" spans="1:16" ht="16.5" thickBot="1" x14ac:dyDescent="0.3">
      <c r="A27" s="60">
        <v>1000089</v>
      </c>
      <c r="B27" s="12" t="s">
        <v>42</v>
      </c>
      <c r="C27" s="169"/>
      <c r="D27" s="170">
        <v>1</v>
      </c>
      <c r="E27" s="273"/>
      <c r="F27" s="167"/>
      <c r="G27" s="167"/>
      <c r="H27" s="167"/>
      <c r="I27" s="167"/>
      <c r="J27" s="167"/>
      <c r="K27" s="167"/>
      <c r="L27" s="167">
        <v>1</v>
      </c>
      <c r="M27" s="167"/>
      <c r="N27" s="167"/>
      <c r="O27" s="167"/>
      <c r="P27" s="437">
        <f t="shared" si="0"/>
        <v>1</v>
      </c>
    </row>
    <row r="28" spans="1:16" ht="16.5" thickBot="1" x14ac:dyDescent="0.3">
      <c r="A28" s="60">
        <v>1000051</v>
      </c>
      <c r="B28" s="12" t="s">
        <v>43</v>
      </c>
      <c r="C28" s="169"/>
      <c r="D28" s="170">
        <v>1</v>
      </c>
      <c r="E28" s="273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8">
        <f t="shared" si="0"/>
        <v>0</v>
      </c>
    </row>
    <row r="29" spans="1:16" ht="16.5" thickBot="1" x14ac:dyDescent="0.3">
      <c r="A29" s="172">
        <v>1000214</v>
      </c>
      <c r="B29" s="12" t="s">
        <v>49</v>
      </c>
      <c r="C29" s="169"/>
      <c r="D29" s="170">
        <v>0</v>
      </c>
      <c r="E29" s="273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8">
        <f t="shared" si="0"/>
        <v>0</v>
      </c>
    </row>
    <row r="30" spans="1:16" ht="16.5" thickBot="1" x14ac:dyDescent="0.3">
      <c r="A30" s="172">
        <v>1000147</v>
      </c>
      <c r="B30" s="12" t="s">
        <v>52</v>
      </c>
      <c r="C30" s="169"/>
      <c r="D30" s="170">
        <v>0</v>
      </c>
      <c r="E30" s="273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8">
        <f t="shared" si="0"/>
        <v>0</v>
      </c>
    </row>
    <row r="31" spans="1:16" ht="16.5" thickBot="1" x14ac:dyDescent="0.3">
      <c r="A31" s="172">
        <v>1000073</v>
      </c>
      <c r="B31" s="12" t="s">
        <v>36</v>
      </c>
      <c r="C31" s="169"/>
      <c r="D31" s="170">
        <v>0</v>
      </c>
      <c r="E31" s="273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8">
        <f t="shared" si="0"/>
        <v>0</v>
      </c>
    </row>
    <row r="32" spans="1:16" ht="16.5" thickBot="1" x14ac:dyDescent="0.3">
      <c r="A32" s="172">
        <v>1000016</v>
      </c>
      <c r="B32" s="12" t="s">
        <v>15</v>
      </c>
      <c r="C32" s="169"/>
      <c r="D32" s="170">
        <v>5</v>
      </c>
      <c r="E32" s="273"/>
      <c r="F32" s="167"/>
      <c r="G32" s="167"/>
      <c r="H32" s="167"/>
      <c r="I32" s="167"/>
      <c r="J32" s="167">
        <v>5</v>
      </c>
      <c r="K32" s="167"/>
      <c r="L32" s="167">
        <v>5</v>
      </c>
      <c r="M32" s="167"/>
      <c r="N32" s="167"/>
      <c r="O32" s="167"/>
      <c r="P32" s="437">
        <f t="shared" si="0"/>
        <v>10</v>
      </c>
    </row>
    <row r="33" spans="1:16" ht="16.5" thickBot="1" x14ac:dyDescent="0.3">
      <c r="A33" s="172">
        <v>1000092</v>
      </c>
      <c r="B33" s="12" t="s">
        <v>51</v>
      </c>
      <c r="C33" s="169"/>
      <c r="D33" s="170">
        <v>0</v>
      </c>
      <c r="E33" s="273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8">
        <f t="shared" si="0"/>
        <v>0</v>
      </c>
    </row>
    <row r="34" spans="1:16" ht="16.5" thickBot="1" x14ac:dyDescent="0.3">
      <c r="A34" s="172">
        <v>1000050</v>
      </c>
      <c r="B34" s="12" t="s">
        <v>22</v>
      </c>
      <c r="C34" s="169"/>
      <c r="D34" s="170"/>
      <c r="E34" s="273"/>
      <c r="F34" s="167">
        <v>1</v>
      </c>
      <c r="G34" s="167"/>
      <c r="H34" s="167"/>
      <c r="I34" s="167"/>
      <c r="J34" s="167"/>
      <c r="K34" s="167"/>
      <c r="L34" s="167"/>
      <c r="M34" s="167"/>
      <c r="N34" s="167">
        <v>1</v>
      </c>
      <c r="O34" s="167"/>
      <c r="P34" s="437">
        <f t="shared" si="0"/>
        <v>2</v>
      </c>
    </row>
    <row r="35" spans="1:16" ht="16.5" thickBot="1" x14ac:dyDescent="0.3">
      <c r="A35" s="270">
        <v>1000045</v>
      </c>
      <c r="B35" s="255" t="s">
        <v>23</v>
      </c>
      <c r="C35" s="169"/>
      <c r="D35" s="170"/>
      <c r="E35" s="273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8">
        <f t="shared" si="0"/>
        <v>0</v>
      </c>
    </row>
    <row r="36" spans="1:16" ht="16.5" thickBot="1" x14ac:dyDescent="0.3">
      <c r="A36" s="270">
        <v>1000041</v>
      </c>
      <c r="B36" s="255" t="s">
        <v>16</v>
      </c>
      <c r="C36" s="169"/>
      <c r="D36" s="170"/>
      <c r="E36" s="273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8">
        <f t="shared" si="0"/>
        <v>0</v>
      </c>
    </row>
    <row r="37" spans="1:16" ht="16.5" thickBot="1" x14ac:dyDescent="0.3">
      <c r="A37" s="270">
        <v>1000034</v>
      </c>
      <c r="B37" s="255" t="s">
        <v>28</v>
      </c>
      <c r="C37" s="169"/>
      <c r="D37" s="170"/>
      <c r="E37" s="273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8">
        <f t="shared" si="0"/>
        <v>0</v>
      </c>
    </row>
    <row r="38" spans="1:16" ht="16.5" thickBot="1" x14ac:dyDescent="0.3">
      <c r="A38" s="270">
        <v>1000075</v>
      </c>
      <c r="B38" s="255" t="s">
        <v>47</v>
      </c>
      <c r="C38" s="169"/>
      <c r="D38" s="170"/>
      <c r="E38" s="273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8">
        <f t="shared" si="0"/>
        <v>0</v>
      </c>
    </row>
    <row r="39" spans="1:16" ht="16.5" thickBot="1" x14ac:dyDescent="0.3">
      <c r="A39" s="270">
        <v>1000048</v>
      </c>
      <c r="B39" s="255" t="s">
        <v>45</v>
      </c>
      <c r="C39" s="169"/>
      <c r="D39" s="170"/>
      <c r="E39" s="273"/>
      <c r="F39" s="167"/>
      <c r="G39" s="167"/>
      <c r="H39" s="167"/>
      <c r="I39" s="167"/>
      <c r="J39" s="167"/>
      <c r="K39" s="167"/>
      <c r="L39" s="167">
        <v>1</v>
      </c>
      <c r="M39" s="167"/>
      <c r="N39" s="167"/>
      <c r="O39" s="167"/>
      <c r="P39" s="437">
        <f t="shared" si="0"/>
        <v>1</v>
      </c>
    </row>
    <row r="40" spans="1:16" ht="16.5" thickBot="1" x14ac:dyDescent="0.3">
      <c r="A40" s="270">
        <v>1000008</v>
      </c>
      <c r="B40" s="255" t="s">
        <v>7</v>
      </c>
      <c r="C40" s="169"/>
      <c r="D40" s="170"/>
      <c r="E40" s="273"/>
      <c r="F40" s="167"/>
      <c r="G40" s="167"/>
      <c r="H40" s="167">
        <v>50</v>
      </c>
      <c r="I40" s="167"/>
      <c r="J40" s="167"/>
      <c r="K40" s="167"/>
      <c r="L40" s="167"/>
      <c r="M40" s="167"/>
      <c r="N40" s="167"/>
      <c r="O40" s="167"/>
      <c r="P40" s="168">
        <f t="shared" si="0"/>
        <v>50</v>
      </c>
    </row>
    <row r="41" spans="1:16" ht="16.5" thickBot="1" x14ac:dyDescent="0.3">
      <c r="A41" s="270">
        <v>10248</v>
      </c>
      <c r="B41" s="255" t="s">
        <v>183</v>
      </c>
      <c r="C41" s="169"/>
      <c r="D41" s="170"/>
      <c r="E41" s="273"/>
      <c r="F41" s="167">
        <v>3</v>
      </c>
      <c r="G41" s="167"/>
      <c r="H41" s="167">
        <v>3</v>
      </c>
      <c r="I41" s="167"/>
      <c r="J41" s="167"/>
      <c r="K41" s="167"/>
      <c r="L41" s="167">
        <v>3</v>
      </c>
      <c r="M41" s="167"/>
      <c r="N41" s="167"/>
      <c r="O41" s="167"/>
      <c r="P41" s="437">
        <f t="shared" si="0"/>
        <v>9</v>
      </c>
    </row>
    <row r="42" spans="1:16" ht="16.5" thickBot="1" x14ac:dyDescent="0.3">
      <c r="A42" s="270">
        <v>1000080</v>
      </c>
      <c r="B42" s="255" t="s">
        <v>275</v>
      </c>
      <c r="C42" s="169"/>
      <c r="D42" s="170"/>
      <c r="E42" s="273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8">
        <f t="shared" si="0"/>
        <v>0</v>
      </c>
    </row>
    <row r="43" spans="1:16" ht="16.5" thickBot="1" x14ac:dyDescent="0.3">
      <c r="A43" s="270">
        <v>1000436</v>
      </c>
      <c r="B43" s="255" t="s">
        <v>276</v>
      </c>
      <c r="C43" s="169"/>
      <c r="D43" s="170"/>
      <c r="E43" s="273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8">
        <f t="shared" si="0"/>
        <v>0</v>
      </c>
    </row>
    <row r="44" spans="1:16" ht="16.5" thickBot="1" x14ac:dyDescent="0.3">
      <c r="A44" s="270">
        <v>1000550</v>
      </c>
      <c r="B44" s="255" t="s">
        <v>277</v>
      </c>
      <c r="C44" s="169"/>
      <c r="D44" s="170"/>
      <c r="E44" s="273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8">
        <f t="shared" si="0"/>
        <v>0</v>
      </c>
    </row>
    <row r="45" spans="1:16" ht="16.5" thickBot="1" x14ac:dyDescent="0.3">
      <c r="A45" s="270">
        <v>1000551</v>
      </c>
      <c r="B45" s="255" t="s">
        <v>278</v>
      </c>
      <c r="C45" s="169"/>
      <c r="D45" s="170"/>
      <c r="E45" s="273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>
        <f t="shared" si="0"/>
        <v>0</v>
      </c>
    </row>
    <row r="46" spans="1:16" ht="16.5" thickBot="1" x14ac:dyDescent="0.3">
      <c r="A46" s="271">
        <v>1000552</v>
      </c>
      <c r="B46" s="272" t="s">
        <v>279</v>
      </c>
      <c r="C46" s="169"/>
      <c r="D46" s="272"/>
      <c r="E46" s="273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8">
        <f t="shared" si="0"/>
        <v>0</v>
      </c>
    </row>
    <row r="47" spans="1:16" ht="16.5" thickBot="1" x14ac:dyDescent="0.3">
      <c r="A47" s="248">
        <v>1000033</v>
      </c>
      <c r="B47" s="248" t="s">
        <v>27</v>
      </c>
      <c r="D47" s="272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8">
        <f t="shared" si="0"/>
        <v>0</v>
      </c>
    </row>
    <row r="48" spans="1:16" ht="16.5" thickBot="1" x14ac:dyDescent="0.3">
      <c r="A48" s="35">
        <v>1000049</v>
      </c>
      <c r="B48" s="12" t="s">
        <v>21</v>
      </c>
      <c r="D48" s="272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8">
        <f t="shared" si="0"/>
        <v>0</v>
      </c>
    </row>
    <row r="49" spans="1:16" ht="16.5" thickBot="1" x14ac:dyDescent="0.3">
      <c r="A49" s="35">
        <v>10212</v>
      </c>
      <c r="B49" s="12" t="s">
        <v>6</v>
      </c>
      <c r="D49" s="272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8">
        <f t="shared" si="0"/>
        <v>0</v>
      </c>
    </row>
  </sheetData>
  <mergeCells count="2">
    <mergeCell ref="A1:B2"/>
    <mergeCell ref="F1:I2"/>
  </mergeCells>
  <phoneticPr fontId="108" type="noConversion"/>
  <pageMargins left="0.25" right="0.25" top="0.75" bottom="0.75" header="0.3" footer="0.3"/>
  <pageSetup paperSize="9" scale="62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06A7-79E4-41A6-BF0B-CE6F50768FFD}">
  <sheetPr>
    <tabColor rgb="FFFFFF00"/>
    <pageSetUpPr fitToPage="1"/>
  </sheetPr>
  <dimension ref="A1:R57"/>
  <sheetViews>
    <sheetView zoomScale="70" zoomScaleNormal="70" workbookViewId="0">
      <selection activeCell="T25" sqref="T25"/>
    </sheetView>
  </sheetViews>
  <sheetFormatPr baseColWidth="10" defaultColWidth="10.875" defaultRowHeight="15" x14ac:dyDescent="0.25"/>
  <cols>
    <col min="1" max="1" width="9.75" style="27" bestFit="1" customWidth="1"/>
    <col min="2" max="2" width="44.75" style="27" bestFit="1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5.25" style="27" customWidth="1"/>
    <col min="8" max="8" width="9.125" style="27" bestFit="1" customWidth="1"/>
    <col min="9" max="9" width="6.625" style="27" customWidth="1"/>
    <col min="10" max="10" width="9.125" style="27" bestFit="1" customWidth="1"/>
    <col min="11" max="11" width="5.375" style="27" customWidth="1"/>
    <col min="12" max="12" width="9.125" style="27" bestFit="1" customWidth="1"/>
    <col min="13" max="13" width="5.75" style="27" customWidth="1"/>
    <col min="14" max="14" width="9.125" style="27" bestFit="1" customWidth="1"/>
    <col min="15" max="15" width="6.875" style="27" customWidth="1"/>
    <col min="16" max="16384" width="10.875" style="27"/>
  </cols>
  <sheetData>
    <row r="1" spans="1:16" ht="17.25" customHeight="1" x14ac:dyDescent="0.45">
      <c r="A1" s="686" t="s">
        <v>164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7.2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  <c r="L2"/>
      <c r="M2"/>
      <c r="N2"/>
    </row>
    <row r="3" spans="1:16" s="3" customFormat="1" ht="24.75" customHeight="1" thickBot="1" x14ac:dyDescent="0.3">
      <c r="A3" s="5"/>
      <c r="B3" s="5" t="s">
        <v>404</v>
      </c>
      <c r="C3" s="18"/>
      <c r="D3" s="18"/>
    </row>
    <row r="4" spans="1:16" s="3" customFormat="1" ht="17.25" customHeight="1" thickBot="1" x14ac:dyDescent="0.3">
      <c r="A4" s="6" t="s">
        <v>0</v>
      </c>
      <c r="B4" s="52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245">
        <v>10000015</v>
      </c>
      <c r="B5" s="11" t="s">
        <v>1</v>
      </c>
      <c r="C5" s="41"/>
      <c r="D5" s="48">
        <v>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6" si="0">SUM(F5:O5)</f>
        <v>0</v>
      </c>
    </row>
    <row r="6" spans="1:16" ht="15.75" thickBot="1" x14ac:dyDescent="0.3">
      <c r="A6" s="36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>
        <v>2</v>
      </c>
      <c r="O6" s="28"/>
      <c r="P6" s="418">
        <f t="shared" si="0"/>
        <v>2</v>
      </c>
    </row>
    <row r="7" spans="1:16" ht="15.75" thickBot="1" x14ac:dyDescent="0.3">
      <c r="A7" s="36">
        <v>1000006</v>
      </c>
      <c r="B7" s="12" t="s">
        <v>4</v>
      </c>
      <c r="C7" s="41"/>
      <c r="D7" s="47">
        <v>900</v>
      </c>
      <c r="F7" s="28">
        <v>250</v>
      </c>
      <c r="G7" s="28"/>
      <c r="H7" s="28">
        <v>250</v>
      </c>
      <c r="I7" s="28"/>
      <c r="J7" s="28">
        <v>250</v>
      </c>
      <c r="K7" s="28"/>
      <c r="L7" s="28">
        <v>300</v>
      </c>
      <c r="M7" s="28"/>
      <c r="N7" s="28">
        <v>300</v>
      </c>
      <c r="O7" s="28"/>
      <c r="P7" s="418">
        <f t="shared" si="0"/>
        <v>1350</v>
      </c>
    </row>
    <row r="8" spans="1:16" ht="15.75" thickBot="1" x14ac:dyDescent="0.3">
      <c r="A8" s="36">
        <v>1000007</v>
      </c>
      <c r="B8" s="12" t="s">
        <v>5</v>
      </c>
      <c r="C8" s="41"/>
      <c r="D8" s="47">
        <v>350</v>
      </c>
      <c r="F8" s="28">
        <v>150</v>
      </c>
      <c r="G8" s="28"/>
      <c r="H8" s="28"/>
      <c r="I8" s="28"/>
      <c r="J8" s="28">
        <v>100</v>
      </c>
      <c r="K8" s="28"/>
      <c r="L8" s="28">
        <v>50</v>
      </c>
      <c r="M8" s="28"/>
      <c r="N8" s="28">
        <v>100</v>
      </c>
      <c r="O8" s="28"/>
      <c r="P8" s="418">
        <f t="shared" si="0"/>
        <v>400</v>
      </c>
    </row>
    <row r="9" spans="1:16" ht="15.75" thickBot="1" x14ac:dyDescent="0.3">
      <c r="A9" s="36">
        <v>10212</v>
      </c>
      <c r="B9" s="12" t="s">
        <v>6</v>
      </c>
      <c r="C9" s="41"/>
      <c r="D9" s="47">
        <v>350</v>
      </c>
      <c r="F9" s="28"/>
      <c r="G9" s="28"/>
      <c r="H9" s="28"/>
      <c r="I9" s="28"/>
      <c r="J9" s="28"/>
      <c r="K9" s="28"/>
      <c r="L9" s="28">
        <v>100</v>
      </c>
      <c r="M9" s="28"/>
      <c r="N9" s="28"/>
      <c r="O9" s="28"/>
      <c r="P9" s="418">
        <f t="shared" si="0"/>
        <v>100</v>
      </c>
    </row>
    <row r="10" spans="1:16" ht="15.75" thickBot="1" x14ac:dyDescent="0.3">
      <c r="A10" s="36">
        <v>1000001</v>
      </c>
      <c r="B10" s="12" t="s">
        <v>8</v>
      </c>
      <c r="C10" s="41"/>
      <c r="D10" s="47">
        <v>6</v>
      </c>
      <c r="F10" s="28">
        <v>6</v>
      </c>
      <c r="G10" s="28"/>
      <c r="H10" s="28">
        <v>6</v>
      </c>
      <c r="I10" s="28"/>
      <c r="J10" s="28">
        <v>6</v>
      </c>
      <c r="K10" s="28"/>
      <c r="L10" s="28">
        <v>6</v>
      </c>
      <c r="M10" s="28"/>
      <c r="N10" s="28">
        <v>6</v>
      </c>
      <c r="O10" s="28"/>
      <c r="P10" s="418">
        <f t="shared" si="0"/>
        <v>30</v>
      </c>
    </row>
    <row r="11" spans="1:16" ht="15.75" thickBot="1" x14ac:dyDescent="0.3">
      <c r="A11" s="36">
        <v>1000002</v>
      </c>
      <c r="B11" s="12" t="s">
        <v>9</v>
      </c>
      <c r="C11" s="41"/>
      <c r="D11" s="47">
        <v>2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6">
        <v>1000004</v>
      </c>
      <c r="B12" s="12" t="s">
        <v>10</v>
      </c>
      <c r="C12" s="41"/>
      <c r="D12" s="47">
        <v>2</v>
      </c>
      <c r="F12" s="28">
        <v>6</v>
      </c>
      <c r="G12" s="28"/>
      <c r="H12" s="28">
        <v>8</v>
      </c>
      <c r="I12" s="28"/>
      <c r="J12" s="28">
        <v>6</v>
      </c>
      <c r="K12" s="28"/>
      <c r="L12" s="28">
        <v>6</v>
      </c>
      <c r="M12" s="28"/>
      <c r="N12" s="28">
        <v>6</v>
      </c>
      <c r="O12" s="28"/>
      <c r="P12" s="418">
        <f t="shared" si="0"/>
        <v>32</v>
      </c>
    </row>
    <row r="13" spans="1:16" ht="15.75" thickBot="1" x14ac:dyDescent="0.3">
      <c r="A13" s="36">
        <v>1000054</v>
      </c>
      <c r="B13" s="12" t="s">
        <v>12</v>
      </c>
      <c r="C13" s="41"/>
      <c r="D13" s="47">
        <v>40</v>
      </c>
      <c r="F13" s="28">
        <v>20</v>
      </c>
      <c r="G13" s="28"/>
      <c r="H13" s="28">
        <v>20</v>
      </c>
      <c r="I13" s="28"/>
      <c r="J13" s="28">
        <v>20</v>
      </c>
      <c r="K13" s="28"/>
      <c r="L13" s="28">
        <v>20</v>
      </c>
      <c r="M13" s="28"/>
      <c r="N13" s="28">
        <v>10</v>
      </c>
      <c r="O13" s="28"/>
      <c r="P13" s="418">
        <f t="shared" si="0"/>
        <v>90</v>
      </c>
    </row>
    <row r="14" spans="1:16" ht="15.75" thickBot="1" x14ac:dyDescent="0.3">
      <c r="A14" s="36">
        <v>1000070</v>
      </c>
      <c r="B14" s="12" t="s">
        <v>13</v>
      </c>
      <c r="C14" s="41"/>
      <c r="D14" s="47">
        <v>4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6">
        <v>1000017</v>
      </c>
      <c r="B15" s="12" t="s">
        <v>14</v>
      </c>
      <c r="C15" s="41"/>
      <c r="D15" s="47">
        <v>30</v>
      </c>
      <c r="F15" s="28">
        <v>30</v>
      </c>
      <c r="G15" s="28"/>
      <c r="H15" s="28">
        <v>30</v>
      </c>
      <c r="I15" s="28"/>
      <c r="J15" s="28">
        <v>30</v>
      </c>
      <c r="K15" s="28"/>
      <c r="L15" s="28">
        <v>30</v>
      </c>
      <c r="M15" s="28"/>
      <c r="N15" s="28">
        <v>30</v>
      </c>
      <c r="O15" s="28"/>
      <c r="P15" s="418">
        <f t="shared" si="0"/>
        <v>150</v>
      </c>
    </row>
    <row r="16" spans="1:16" ht="15.75" thickBot="1" x14ac:dyDescent="0.3">
      <c r="A16" s="36">
        <v>1000016</v>
      </c>
      <c r="B16" s="12" t="s">
        <v>15</v>
      </c>
      <c r="C16" s="41"/>
      <c r="D16" s="47">
        <v>10</v>
      </c>
      <c r="F16" s="28"/>
      <c r="G16" s="28"/>
      <c r="H16" s="28"/>
      <c r="I16" s="28"/>
      <c r="J16" s="28">
        <v>5</v>
      </c>
      <c r="K16" s="28"/>
      <c r="L16" s="28"/>
      <c r="M16" s="28"/>
      <c r="N16" s="28"/>
      <c r="O16" s="28"/>
      <c r="P16" s="418">
        <f t="shared" si="0"/>
        <v>5</v>
      </c>
    </row>
    <row r="17" spans="1:18" ht="15.75" thickBot="1" x14ac:dyDescent="0.3">
      <c r="A17" s="36">
        <v>1000050</v>
      </c>
      <c r="B17" s="12" t="s">
        <v>22</v>
      </c>
      <c r="C17" s="41"/>
      <c r="D17" s="47">
        <v>1</v>
      </c>
      <c r="F17" s="28"/>
      <c r="G17" s="28"/>
      <c r="H17" s="28"/>
      <c r="I17" s="28"/>
      <c r="J17" s="28">
        <v>2</v>
      </c>
      <c r="K17" s="28"/>
      <c r="L17" s="28"/>
      <c r="M17" s="28"/>
      <c r="N17" s="28">
        <v>2</v>
      </c>
      <c r="O17" s="28"/>
      <c r="P17" s="418">
        <f t="shared" si="0"/>
        <v>4</v>
      </c>
    </row>
    <row r="18" spans="1:18" ht="15.75" thickBot="1" x14ac:dyDescent="0.3">
      <c r="A18" s="36">
        <v>1000045</v>
      </c>
      <c r="B18" s="12" t="s">
        <v>23</v>
      </c>
      <c r="C18" s="41"/>
      <c r="D18" s="47">
        <v>1</v>
      </c>
      <c r="F18" s="28"/>
      <c r="G18" s="28"/>
      <c r="H18" s="28"/>
      <c r="I18" s="28"/>
      <c r="J18" s="28">
        <v>6</v>
      </c>
      <c r="K18" s="28"/>
      <c r="L18" s="28"/>
      <c r="M18" s="28"/>
      <c r="N18" s="28"/>
      <c r="O18" s="28"/>
      <c r="P18" s="418">
        <f t="shared" si="0"/>
        <v>6</v>
      </c>
    </row>
    <row r="19" spans="1:18" ht="15.75" thickBot="1" x14ac:dyDescent="0.3">
      <c r="A19" s="36">
        <v>1000030</v>
      </c>
      <c r="B19" s="12" t="s">
        <v>24</v>
      </c>
      <c r="C19" s="41"/>
      <c r="D19" s="4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8" ht="15.75" thickBot="1" x14ac:dyDescent="0.3">
      <c r="A20" s="36">
        <v>1000031</v>
      </c>
      <c r="B20" s="12" t="s">
        <v>25</v>
      </c>
      <c r="C20" s="41"/>
      <c r="D20" s="47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8" ht="15.75" thickBot="1" x14ac:dyDescent="0.3">
      <c r="A21" s="36">
        <v>1000032</v>
      </c>
      <c r="B21" s="12" t="s">
        <v>26</v>
      </c>
      <c r="C21" s="41"/>
      <c r="D21" s="47">
        <v>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8" ht="15.75" thickBot="1" x14ac:dyDescent="0.3">
      <c r="A22" s="36">
        <v>1000025</v>
      </c>
      <c r="B22" s="12" t="s">
        <v>32</v>
      </c>
      <c r="C22" s="41"/>
      <c r="D22" s="47">
        <v>35</v>
      </c>
      <c r="F22" s="28"/>
      <c r="G22" s="28"/>
      <c r="H22" s="28"/>
      <c r="I22" s="28"/>
      <c r="J22" s="28">
        <v>10</v>
      </c>
      <c r="K22" s="28"/>
      <c r="L22" s="28">
        <v>5</v>
      </c>
      <c r="M22" s="28"/>
      <c r="N22" s="28">
        <v>10</v>
      </c>
      <c r="O22" s="28"/>
      <c r="P22" s="418">
        <f t="shared" si="0"/>
        <v>25</v>
      </c>
    </row>
    <row r="23" spans="1:18" ht="15.75" thickBot="1" x14ac:dyDescent="0.3">
      <c r="A23" s="36">
        <v>1000100</v>
      </c>
      <c r="B23" s="12" t="s">
        <v>34</v>
      </c>
      <c r="C23" s="41"/>
      <c r="D23" s="47">
        <v>1</v>
      </c>
      <c r="F23" s="28"/>
      <c r="G23" s="28"/>
      <c r="H23" s="28"/>
      <c r="I23" s="28"/>
      <c r="J23" s="28">
        <v>2</v>
      </c>
      <c r="K23" s="28"/>
      <c r="L23" s="28"/>
      <c r="M23" s="28"/>
      <c r="N23" s="28"/>
      <c r="O23" s="28"/>
      <c r="P23" s="418">
        <f t="shared" si="0"/>
        <v>2</v>
      </c>
      <c r="Q23" s="593"/>
    </row>
    <row r="24" spans="1:18" ht="15.75" thickBot="1" x14ac:dyDescent="0.3">
      <c r="A24" s="36">
        <v>1000073</v>
      </c>
      <c r="B24" s="12" t="s">
        <v>36</v>
      </c>
      <c r="C24" s="41"/>
      <c r="D24" s="47">
        <v>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  <c r="R24" s="527" t="s">
        <v>336</v>
      </c>
    </row>
    <row r="25" spans="1:18" ht="15.75" thickBot="1" x14ac:dyDescent="0.3">
      <c r="A25" s="36">
        <v>1000082</v>
      </c>
      <c r="B25" s="12" t="s">
        <v>37</v>
      </c>
      <c r="C25" s="41"/>
      <c r="D25" s="47">
        <v>200</v>
      </c>
      <c r="F25" s="28">
        <v>96</v>
      </c>
      <c r="G25" s="28"/>
      <c r="H25" s="28">
        <v>120</v>
      </c>
      <c r="I25" s="28"/>
      <c r="J25" s="28">
        <v>96</v>
      </c>
      <c r="K25" s="28"/>
      <c r="L25" s="28">
        <v>96</v>
      </c>
      <c r="M25" s="28"/>
      <c r="N25" s="28">
        <v>120</v>
      </c>
      <c r="O25" s="28"/>
      <c r="P25" s="418">
        <f t="shared" si="0"/>
        <v>528</v>
      </c>
    </row>
    <row r="26" spans="1:18" ht="15.75" thickBot="1" x14ac:dyDescent="0.3">
      <c r="A26" s="36">
        <v>1000084</v>
      </c>
      <c r="B26" s="12" t="s">
        <v>38</v>
      </c>
      <c r="C26" s="41"/>
      <c r="D26" s="47">
        <v>200</v>
      </c>
      <c r="F26" s="28">
        <v>120</v>
      </c>
      <c r="G26" s="28"/>
      <c r="H26" s="28">
        <v>120</v>
      </c>
      <c r="I26" s="28"/>
      <c r="J26" s="28">
        <v>120</v>
      </c>
      <c r="K26" s="28"/>
      <c r="L26" s="28">
        <v>120</v>
      </c>
      <c r="M26" s="28"/>
      <c r="N26" s="28">
        <v>140</v>
      </c>
      <c r="O26" s="28"/>
      <c r="P26" s="418">
        <f t="shared" si="0"/>
        <v>620</v>
      </c>
    </row>
    <row r="27" spans="1:18" ht="15.75" thickBot="1" x14ac:dyDescent="0.3">
      <c r="A27" s="36">
        <v>1000146</v>
      </c>
      <c r="B27" s="12" t="s">
        <v>39</v>
      </c>
      <c r="C27" s="41"/>
      <c r="D27" s="47">
        <v>20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418">
        <f t="shared" si="0"/>
        <v>0</v>
      </c>
    </row>
    <row r="28" spans="1:18" ht="15.75" thickBot="1" x14ac:dyDescent="0.3">
      <c r="A28" s="36">
        <v>1000090</v>
      </c>
      <c r="B28" s="12" t="s">
        <v>40</v>
      </c>
      <c r="C28" s="41"/>
      <c r="D28" s="47">
        <v>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8" ht="15.75" thickBot="1" x14ac:dyDescent="0.3">
      <c r="A29" s="36">
        <v>1000052</v>
      </c>
      <c r="B29" s="12" t="s">
        <v>41</v>
      </c>
      <c r="C29" s="41"/>
      <c r="D29" s="47">
        <v>8</v>
      </c>
      <c r="F29" s="28"/>
      <c r="G29" s="28"/>
      <c r="H29" s="28">
        <v>5</v>
      </c>
      <c r="I29" s="28"/>
      <c r="J29" s="28"/>
      <c r="K29" s="28"/>
      <c r="L29" s="28">
        <v>3</v>
      </c>
      <c r="M29" s="28"/>
      <c r="N29" s="28"/>
      <c r="O29" s="28"/>
      <c r="P29" s="652">
        <f t="shared" si="0"/>
        <v>8</v>
      </c>
    </row>
    <row r="30" spans="1:18" ht="15.75" thickBot="1" x14ac:dyDescent="0.3">
      <c r="A30" s="36">
        <v>1000089</v>
      </c>
      <c r="B30" s="12" t="s">
        <v>42</v>
      </c>
      <c r="C30" s="41"/>
      <c r="D30" s="47">
        <v>8</v>
      </c>
      <c r="F30" s="28"/>
      <c r="G30" s="28"/>
      <c r="H30" s="28">
        <v>5</v>
      </c>
      <c r="I30" s="28"/>
      <c r="J30" s="28"/>
      <c r="K30" s="28"/>
      <c r="L30" s="28">
        <v>3</v>
      </c>
      <c r="M30" s="28"/>
      <c r="N30" s="28"/>
      <c r="O30" s="28"/>
      <c r="P30" s="652">
        <f t="shared" si="0"/>
        <v>8</v>
      </c>
    </row>
    <row r="31" spans="1:18" ht="15.75" thickBot="1" x14ac:dyDescent="0.3">
      <c r="A31" s="36">
        <v>1000051</v>
      </c>
      <c r="B31" s="12" t="s">
        <v>43</v>
      </c>
      <c r="C31" s="41"/>
      <c r="D31" s="47">
        <v>1</v>
      </c>
      <c r="F31" s="28"/>
      <c r="G31" s="28"/>
      <c r="H31" s="28"/>
      <c r="I31" s="28"/>
      <c r="J31" s="28">
        <v>3</v>
      </c>
      <c r="K31" s="28"/>
      <c r="L31" s="28"/>
      <c r="M31" s="28"/>
      <c r="N31" s="28"/>
      <c r="O31" s="28"/>
      <c r="P31" s="652">
        <f t="shared" si="0"/>
        <v>3</v>
      </c>
    </row>
    <row r="32" spans="1:18" ht="15.75" thickBot="1" x14ac:dyDescent="0.3">
      <c r="A32" s="36">
        <v>1000048</v>
      </c>
      <c r="B32" s="12" t="s">
        <v>45</v>
      </c>
      <c r="C32" s="41"/>
      <c r="D32" s="47">
        <v>1</v>
      </c>
      <c r="F32" s="28">
        <v>1</v>
      </c>
      <c r="G32" s="28"/>
      <c r="H32" s="28"/>
      <c r="I32" s="28"/>
      <c r="J32" s="28"/>
      <c r="K32" s="28"/>
      <c r="L32" s="28"/>
      <c r="M32" s="28"/>
      <c r="N32" s="28">
        <v>1</v>
      </c>
      <c r="O32" s="28"/>
      <c r="P32" s="652">
        <f t="shared" si="0"/>
        <v>2</v>
      </c>
    </row>
    <row r="33" spans="1:16" ht="15.75" thickBot="1" x14ac:dyDescent="0.3">
      <c r="A33" s="36">
        <v>1000075</v>
      </c>
      <c r="B33" s="12" t="s">
        <v>47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6">
        <v>1000062</v>
      </c>
      <c r="B34" s="12" t="s">
        <v>66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6">
        <v>1000034</v>
      </c>
      <c r="B35" s="12" t="s">
        <v>28</v>
      </c>
      <c r="C35" s="41"/>
      <c r="D35" s="47"/>
      <c r="F35" s="28">
        <v>2</v>
      </c>
      <c r="G35" s="28"/>
      <c r="H35" s="28">
        <v>1</v>
      </c>
      <c r="I35" s="28"/>
      <c r="J35" s="28">
        <v>2</v>
      </c>
      <c r="K35" s="28"/>
      <c r="L35" s="28"/>
      <c r="M35" s="28"/>
      <c r="N35" s="28">
        <v>2</v>
      </c>
      <c r="O35" s="28"/>
      <c r="P35" s="418">
        <f t="shared" si="0"/>
        <v>7</v>
      </c>
    </row>
    <row r="36" spans="1:16" ht="15.75" thickBot="1" x14ac:dyDescent="0.3">
      <c r="A36" s="36">
        <v>1000029</v>
      </c>
      <c r="B36" s="12" t="s">
        <v>30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6">
        <v>1000033</v>
      </c>
      <c r="B37" s="12" t="s">
        <v>27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6">
        <v>1000087</v>
      </c>
      <c r="B38" s="12" t="s">
        <v>197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6">
        <v>10234</v>
      </c>
      <c r="B39" s="12" t="s">
        <v>87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6">
        <v>1000049</v>
      </c>
      <c r="B40" s="12" t="s">
        <v>21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6">
        <v>1000067</v>
      </c>
      <c r="B41" s="12" t="s">
        <v>11</v>
      </c>
      <c r="C41" s="110"/>
      <c r="D41" s="47"/>
      <c r="E41" s="110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6">
        <v>1000147</v>
      </c>
      <c r="B42" s="12" t="s">
        <v>52</v>
      </c>
      <c r="C42" s="110"/>
      <c r="D42" s="47"/>
      <c r="E42" s="110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6">
        <v>1000063</v>
      </c>
      <c r="B43" s="12" t="s">
        <v>65</v>
      </c>
      <c r="C43" s="110"/>
      <c r="D43" s="47"/>
      <c r="E43" s="110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6">
        <v>1000055</v>
      </c>
      <c r="B44" s="12" t="s">
        <v>79</v>
      </c>
      <c r="C44" s="215"/>
      <c r="D44" s="47"/>
      <c r="E44" s="21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6">
        <v>1000064</v>
      </c>
      <c r="B45" s="12" t="s">
        <v>64</v>
      </c>
      <c r="C45" s="110"/>
      <c r="D45" s="47"/>
      <c r="E45" s="110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6">
        <v>1000076</v>
      </c>
      <c r="B46" s="12" t="s">
        <v>46</v>
      </c>
      <c r="C46" s="110"/>
      <c r="D46" s="47"/>
      <c r="E46" s="110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6">
        <v>1000371</v>
      </c>
      <c r="B47" s="12" t="s">
        <v>74</v>
      </c>
      <c r="C47" s="110"/>
      <c r="D47" s="47"/>
      <c r="E47" s="110"/>
      <c r="F47" s="28"/>
      <c r="G47" s="28"/>
      <c r="H47" s="28">
        <v>5</v>
      </c>
      <c r="I47" s="28"/>
      <c r="J47" s="28">
        <v>5</v>
      </c>
      <c r="K47" s="28"/>
      <c r="L47" s="28">
        <v>5</v>
      </c>
      <c r="M47" s="28"/>
      <c r="N47" s="28">
        <v>5</v>
      </c>
      <c r="O47" s="28"/>
      <c r="P47" s="418">
        <f t="shared" si="0"/>
        <v>20</v>
      </c>
    </row>
    <row r="48" spans="1:16" ht="15.75" thickBot="1" x14ac:dyDescent="0.3">
      <c r="A48" s="36">
        <v>1000466</v>
      </c>
      <c r="B48" s="12" t="s">
        <v>213</v>
      </c>
      <c r="C48" s="215"/>
      <c r="D48" s="47"/>
      <c r="E48" s="21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6">
        <v>1000142</v>
      </c>
      <c r="B49" s="12" t="s">
        <v>54</v>
      </c>
      <c r="C49" s="215"/>
      <c r="D49" s="35"/>
      <c r="E49" s="215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6.5" thickBot="1" x14ac:dyDescent="0.3">
      <c r="A50" s="36">
        <v>1000080</v>
      </c>
      <c r="B50" s="12" t="s">
        <v>275</v>
      </c>
      <c r="C50"/>
      <c r="D50" s="35"/>
      <c r="E50" s="215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6.5" thickBot="1" x14ac:dyDescent="0.3">
      <c r="A51" s="36">
        <v>1000436</v>
      </c>
      <c r="B51" s="12" t="s">
        <v>276</v>
      </c>
      <c r="C51"/>
      <c r="D51" s="35"/>
      <c r="E51" s="215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6.5" thickBot="1" x14ac:dyDescent="0.3">
      <c r="A52" s="36">
        <v>1000550</v>
      </c>
      <c r="B52" s="12" t="s">
        <v>277</v>
      </c>
      <c r="C52"/>
      <c r="D52" s="35"/>
      <c r="E52" s="215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6.5" thickBot="1" x14ac:dyDescent="0.3">
      <c r="A53" s="36">
        <v>1000551</v>
      </c>
      <c r="B53" s="12" t="s">
        <v>278</v>
      </c>
      <c r="C53"/>
      <c r="D53" s="35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6.5" thickBot="1" x14ac:dyDescent="0.3">
      <c r="A54" s="207">
        <v>1000552</v>
      </c>
      <c r="B54" s="246" t="s">
        <v>279</v>
      </c>
      <c r="C54"/>
      <c r="D54" s="38"/>
      <c r="E54" s="215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12">
        <v>1000008</v>
      </c>
      <c r="B55" s="12" t="s">
        <v>7</v>
      </c>
      <c r="D55" s="38"/>
      <c r="F55" s="28">
        <v>100</v>
      </c>
      <c r="G55" s="28"/>
      <c r="H55" s="28">
        <v>50</v>
      </c>
      <c r="I55" s="28"/>
      <c r="J55" s="28">
        <v>100</v>
      </c>
      <c r="K55" s="28"/>
      <c r="L55" s="28"/>
      <c r="M55" s="28"/>
      <c r="N55" s="28">
        <v>100</v>
      </c>
      <c r="O55" s="28"/>
      <c r="P55" s="418">
        <f t="shared" si="0"/>
        <v>350</v>
      </c>
    </row>
    <row r="56" spans="1:16" ht="15.75" thickBot="1" x14ac:dyDescent="0.3">
      <c r="A56" s="592">
        <v>10248</v>
      </c>
      <c r="B56" s="12" t="s">
        <v>183</v>
      </c>
      <c r="D56" s="38"/>
      <c r="F56" s="28"/>
      <c r="G56" s="28"/>
      <c r="H56" s="28">
        <v>4</v>
      </c>
      <c r="I56" s="28"/>
      <c r="J56" s="28">
        <v>4</v>
      </c>
      <c r="K56" s="651" t="s">
        <v>482</v>
      </c>
      <c r="L56" s="28"/>
      <c r="M56" s="28"/>
      <c r="N56" s="28"/>
      <c r="O56" s="28"/>
      <c r="P56" s="418">
        <f t="shared" si="0"/>
        <v>8</v>
      </c>
    </row>
    <row r="57" spans="1:16" ht="15.75" thickBot="1" x14ac:dyDescent="0.3">
      <c r="A57" s="35">
        <v>1000440</v>
      </c>
      <c r="B57" s="14" t="s">
        <v>199</v>
      </c>
      <c r="D57" s="3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ref="P57" si="1">SUM(F57:O57)</f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963-47D5-426C-9604-480EEDECC963}">
  <sheetPr>
    <tabColor rgb="FFFFFF00"/>
    <pageSetUpPr fitToPage="1"/>
  </sheetPr>
  <dimension ref="A1:Y56"/>
  <sheetViews>
    <sheetView topLeftCell="A21" zoomScale="70" zoomScaleNormal="70" workbookViewId="0">
      <selection activeCell="T16" sqref="T16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5" style="27" customWidth="1"/>
    <col min="4" max="4" width="8.125" style="27" bestFit="1" customWidth="1"/>
    <col min="5" max="5" width="1.125" style="27" customWidth="1"/>
    <col min="6" max="6" width="9.125" style="27" bestFit="1" customWidth="1"/>
    <col min="7" max="7" width="6.125" style="27" customWidth="1"/>
    <col min="8" max="8" width="9.125" style="27" bestFit="1" customWidth="1"/>
    <col min="9" max="9" width="5.375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6" style="27" customWidth="1"/>
    <col min="14" max="14" width="9.125" style="27" bestFit="1" customWidth="1"/>
    <col min="15" max="15" width="6.25" style="27" customWidth="1"/>
    <col min="16" max="16" width="10.875" style="27" customWidth="1"/>
    <col min="17" max="16384" width="10.875" style="27"/>
  </cols>
  <sheetData>
    <row r="1" spans="1:19" ht="15" customHeight="1" x14ac:dyDescent="0.45">
      <c r="A1" s="686" t="s">
        <v>460</v>
      </c>
      <c r="B1" s="687"/>
      <c r="C1" s="18"/>
      <c r="D1" s="540"/>
      <c r="E1" s="540"/>
      <c r="F1" s="751" t="s">
        <v>474</v>
      </c>
      <c r="G1" s="752"/>
      <c r="H1" s="752"/>
      <c r="I1" s="752"/>
      <c r="J1" s="753"/>
      <c r="K1" s="404"/>
      <c r="L1" s="394"/>
      <c r="M1" s="394"/>
      <c r="N1" s="394"/>
      <c r="O1" s="394"/>
      <c r="P1" s="394"/>
    </row>
    <row r="2" spans="1:19" s="3" customFormat="1" ht="16.5" customHeight="1" thickBot="1" x14ac:dyDescent="0.5">
      <c r="A2" s="688"/>
      <c r="B2" s="689"/>
      <c r="C2" s="18"/>
      <c r="D2" s="433" t="s">
        <v>399</v>
      </c>
      <c r="E2" s="540"/>
      <c r="F2" s="754"/>
      <c r="G2" s="755"/>
      <c r="H2" s="755"/>
      <c r="I2" s="755"/>
      <c r="J2" s="756"/>
      <c r="K2" s="404"/>
      <c r="L2" s="394"/>
      <c r="M2" s="394"/>
      <c r="N2" s="394"/>
      <c r="O2" s="394"/>
      <c r="P2" s="394"/>
    </row>
    <row r="3" spans="1:19" s="3" customFormat="1" ht="22.5" customHeight="1" thickBot="1" x14ac:dyDescent="0.5">
      <c r="A3" s="5"/>
      <c r="B3" s="5" t="s">
        <v>405</v>
      </c>
      <c r="C3" s="18"/>
      <c r="D3" s="18"/>
      <c r="E3" s="540"/>
      <c r="F3" s="540"/>
      <c r="G3" s="540"/>
      <c r="H3" s="540"/>
      <c r="I3" s="540"/>
      <c r="J3" s="540"/>
      <c r="K3" s="394"/>
      <c r="L3" s="394"/>
      <c r="M3" s="394"/>
      <c r="N3" s="394"/>
      <c r="O3" s="394"/>
      <c r="P3" s="394"/>
    </row>
    <row r="4" spans="1:19" s="3" customFormat="1" ht="19.5" thickBot="1" x14ac:dyDescent="0.35">
      <c r="A4" s="529" t="s">
        <v>0</v>
      </c>
      <c r="B4" s="529" t="s">
        <v>105</v>
      </c>
      <c r="C4" s="528"/>
      <c r="D4" s="530" t="s">
        <v>106</v>
      </c>
      <c r="E4" s="394"/>
      <c r="F4" s="531" t="s">
        <v>308</v>
      </c>
      <c r="G4" s="532" t="s">
        <v>325</v>
      </c>
      <c r="H4" s="531" t="s">
        <v>310</v>
      </c>
      <c r="I4" s="532" t="s">
        <v>325</v>
      </c>
      <c r="J4" s="531" t="s">
        <v>311</v>
      </c>
      <c r="K4" s="532" t="s">
        <v>325</v>
      </c>
      <c r="L4" s="531" t="s">
        <v>312</v>
      </c>
      <c r="M4" s="532" t="s">
        <v>325</v>
      </c>
      <c r="N4" s="531" t="s">
        <v>313</v>
      </c>
      <c r="O4" s="532" t="s">
        <v>325</v>
      </c>
      <c r="P4" s="533" t="s">
        <v>98</v>
      </c>
    </row>
    <row r="5" spans="1:19" ht="19.5" thickBot="1" x14ac:dyDescent="0.35">
      <c r="A5" s="393">
        <v>10000015</v>
      </c>
      <c r="B5" s="473" t="s">
        <v>1</v>
      </c>
      <c r="C5" s="474"/>
      <c r="D5" s="534">
        <v>4</v>
      </c>
      <c r="E5" s="394"/>
      <c r="F5" s="392">
        <v>5</v>
      </c>
      <c r="G5" s="392"/>
      <c r="H5" s="392">
        <v>5</v>
      </c>
      <c r="I5" s="392"/>
      <c r="J5" s="392">
        <v>5</v>
      </c>
      <c r="K5" s="392"/>
      <c r="L5" s="392">
        <v>5</v>
      </c>
      <c r="M5" s="392"/>
      <c r="N5" s="392"/>
      <c r="O5" s="392"/>
      <c r="P5" s="397">
        <f t="shared" ref="P5:P17" si="0">SUM(F5+H5+J5+L5+N5)</f>
        <v>20</v>
      </c>
    </row>
    <row r="6" spans="1:19" ht="19.5" thickBot="1" x14ac:dyDescent="0.35">
      <c r="A6" s="395">
        <v>10211</v>
      </c>
      <c r="B6" s="475" t="s">
        <v>3</v>
      </c>
      <c r="C6" s="474"/>
      <c r="D6" s="535">
        <v>1500</v>
      </c>
      <c r="E6" s="394"/>
      <c r="F6" s="392">
        <v>600</v>
      </c>
      <c r="G6" s="392"/>
      <c r="H6" s="392">
        <v>500</v>
      </c>
      <c r="I6" s="392"/>
      <c r="J6" s="392">
        <v>500</v>
      </c>
      <c r="K6" s="392"/>
      <c r="L6" s="392">
        <v>600</v>
      </c>
      <c r="M6" s="392"/>
      <c r="N6" s="392">
        <v>500</v>
      </c>
      <c r="O6" s="392"/>
      <c r="P6" s="397">
        <f t="shared" si="0"/>
        <v>2700</v>
      </c>
    </row>
    <row r="7" spans="1:19" ht="19.5" thickBot="1" x14ac:dyDescent="0.35">
      <c r="A7" s="395">
        <v>1000007</v>
      </c>
      <c r="B7" s="475" t="s">
        <v>5</v>
      </c>
      <c r="C7" s="474"/>
      <c r="D7" s="535">
        <v>150</v>
      </c>
      <c r="E7" s="394"/>
      <c r="F7" s="392">
        <v>150</v>
      </c>
      <c r="G7" s="392"/>
      <c r="H7" s="392">
        <v>150</v>
      </c>
      <c r="I7" s="392"/>
      <c r="J7" s="392">
        <v>150</v>
      </c>
      <c r="K7" s="392"/>
      <c r="L7" s="392">
        <v>100</v>
      </c>
      <c r="M7" s="392"/>
      <c r="N7" s="392"/>
      <c r="O7" s="392"/>
      <c r="P7" s="397">
        <f t="shared" si="0"/>
        <v>550</v>
      </c>
    </row>
    <row r="8" spans="1:19" ht="19.5" thickBot="1" x14ac:dyDescent="0.35">
      <c r="A8" s="395">
        <v>10212</v>
      </c>
      <c r="B8" s="475" t="s">
        <v>6</v>
      </c>
      <c r="C8" s="474"/>
      <c r="D8" s="535">
        <v>400</v>
      </c>
      <c r="E8" s="394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7">
        <f t="shared" si="0"/>
        <v>0</v>
      </c>
    </row>
    <row r="9" spans="1:19" ht="19.5" thickBot="1" x14ac:dyDescent="0.35">
      <c r="A9" s="395">
        <v>1000001</v>
      </c>
      <c r="B9" s="475" t="s">
        <v>8</v>
      </c>
      <c r="C9" s="474"/>
      <c r="D9" s="535">
        <v>7</v>
      </c>
      <c r="E9" s="394"/>
      <c r="F9" s="392">
        <v>6</v>
      </c>
      <c r="G9" s="392"/>
      <c r="H9" s="392">
        <v>6</v>
      </c>
      <c r="I9" s="392"/>
      <c r="J9" s="392">
        <v>6</v>
      </c>
      <c r="K9" s="392"/>
      <c r="L9" s="392">
        <v>6</v>
      </c>
      <c r="M9" s="392"/>
      <c r="N9" s="392">
        <v>6</v>
      </c>
      <c r="O9" s="392"/>
      <c r="P9" s="397">
        <f t="shared" si="0"/>
        <v>30</v>
      </c>
    </row>
    <row r="10" spans="1:19" ht="19.5" thickBot="1" x14ac:dyDescent="0.35">
      <c r="A10" s="395">
        <v>1000002</v>
      </c>
      <c r="B10" s="475" t="s">
        <v>9</v>
      </c>
      <c r="C10" s="474"/>
      <c r="D10" s="535">
        <v>4</v>
      </c>
      <c r="E10" s="394"/>
      <c r="F10" s="392"/>
      <c r="G10" s="392"/>
      <c r="H10" s="392"/>
      <c r="I10" s="392"/>
      <c r="J10" s="392">
        <v>3</v>
      </c>
      <c r="K10" s="392"/>
      <c r="L10" s="392"/>
      <c r="M10" s="392"/>
      <c r="N10" s="392"/>
      <c r="O10" s="392"/>
      <c r="P10" s="397">
        <f t="shared" si="0"/>
        <v>3</v>
      </c>
    </row>
    <row r="11" spans="1:19" ht="19.5" thickBot="1" x14ac:dyDescent="0.35">
      <c r="A11" s="395">
        <v>1000004</v>
      </c>
      <c r="B11" s="475" t="s">
        <v>10</v>
      </c>
      <c r="C11" s="474"/>
      <c r="D11" s="535">
        <v>2</v>
      </c>
      <c r="E11" s="394"/>
      <c r="F11" s="392"/>
      <c r="G11" s="392"/>
      <c r="H11" s="392"/>
      <c r="I11" s="392"/>
      <c r="J11" s="392"/>
      <c r="K11" s="392"/>
      <c r="L11" s="392"/>
      <c r="M11" s="392"/>
      <c r="N11" s="392"/>
      <c r="O11" s="392"/>
      <c r="P11" s="393">
        <f t="shared" si="0"/>
        <v>0</v>
      </c>
    </row>
    <row r="12" spans="1:19" ht="19.5" thickBot="1" x14ac:dyDescent="0.35">
      <c r="A12" s="395">
        <v>1000054</v>
      </c>
      <c r="B12" s="475" t="s">
        <v>12</v>
      </c>
      <c r="C12" s="474"/>
      <c r="D12" s="535">
        <v>40</v>
      </c>
      <c r="E12" s="394"/>
      <c r="F12" s="392">
        <v>20</v>
      </c>
      <c r="G12" s="392"/>
      <c r="H12" s="392">
        <v>10</v>
      </c>
      <c r="I12" s="392"/>
      <c r="J12" s="392">
        <v>10</v>
      </c>
      <c r="K12" s="392"/>
      <c r="L12" s="392">
        <v>10</v>
      </c>
      <c r="M12" s="392"/>
      <c r="N12" s="392">
        <v>10</v>
      </c>
      <c r="O12" s="392"/>
      <c r="P12" s="397">
        <f t="shared" si="0"/>
        <v>60</v>
      </c>
      <c r="S12" s="541" t="s">
        <v>336</v>
      </c>
    </row>
    <row r="13" spans="1:19" ht="19.5" thickBot="1" x14ac:dyDescent="0.35">
      <c r="A13" s="395">
        <v>1000070</v>
      </c>
      <c r="B13" s="475" t="s">
        <v>13</v>
      </c>
      <c r="C13" s="474"/>
      <c r="D13" s="535">
        <v>7</v>
      </c>
      <c r="E13" s="394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3">
        <f t="shared" si="0"/>
        <v>0</v>
      </c>
    </row>
    <row r="14" spans="1:19" ht="19.5" thickBot="1" x14ac:dyDescent="0.35">
      <c r="A14" s="395">
        <v>1000017</v>
      </c>
      <c r="B14" s="475" t="s">
        <v>14</v>
      </c>
      <c r="C14" s="474"/>
      <c r="D14" s="535">
        <v>80</v>
      </c>
      <c r="E14" s="394"/>
      <c r="F14" s="392">
        <v>5</v>
      </c>
      <c r="G14" s="392"/>
      <c r="H14" s="392"/>
      <c r="I14" s="392"/>
      <c r="J14" s="392"/>
      <c r="K14" s="392"/>
      <c r="L14" s="392"/>
      <c r="M14" s="392"/>
      <c r="N14" s="392"/>
      <c r="O14" s="392"/>
      <c r="P14" s="397">
        <f t="shared" si="0"/>
        <v>5</v>
      </c>
    </row>
    <row r="15" spans="1:19" ht="19.5" thickBot="1" x14ac:dyDescent="0.35">
      <c r="A15" s="395">
        <v>1000016</v>
      </c>
      <c r="B15" s="475" t="s">
        <v>15</v>
      </c>
      <c r="C15" s="474"/>
      <c r="D15" s="535">
        <v>15</v>
      </c>
      <c r="E15" s="394"/>
      <c r="F15" s="392">
        <v>5</v>
      </c>
      <c r="G15" s="392"/>
      <c r="H15" s="392"/>
      <c r="I15" s="392"/>
      <c r="J15" s="392">
        <v>5</v>
      </c>
      <c r="K15" s="392"/>
      <c r="L15" s="392">
        <v>5</v>
      </c>
      <c r="M15" s="392"/>
      <c r="N15" s="392">
        <v>5</v>
      </c>
      <c r="O15" s="392"/>
      <c r="P15" s="397">
        <f t="shared" si="0"/>
        <v>20</v>
      </c>
    </row>
    <row r="16" spans="1:19" ht="19.5" thickBot="1" x14ac:dyDescent="0.35">
      <c r="A16" s="395">
        <v>1000049</v>
      </c>
      <c r="B16" s="536" t="s">
        <v>21</v>
      </c>
      <c r="C16" s="474"/>
      <c r="D16" s="535">
        <v>1</v>
      </c>
      <c r="E16" s="394"/>
      <c r="F16" s="392">
        <v>3</v>
      </c>
      <c r="G16" s="392"/>
      <c r="H16" s="392"/>
      <c r="I16" s="392"/>
      <c r="J16" s="392"/>
      <c r="K16" s="392"/>
      <c r="L16" s="392"/>
      <c r="M16" s="392"/>
      <c r="N16" s="392"/>
      <c r="O16" s="392"/>
      <c r="P16" s="397">
        <f t="shared" si="0"/>
        <v>3</v>
      </c>
    </row>
    <row r="17" spans="1:25" ht="19.5" thickBot="1" x14ac:dyDescent="0.35">
      <c r="A17" s="395">
        <v>1000050</v>
      </c>
      <c r="B17" s="475" t="s">
        <v>22</v>
      </c>
      <c r="C17" s="474"/>
      <c r="D17" s="535">
        <v>1</v>
      </c>
      <c r="E17" s="394"/>
      <c r="F17" s="392">
        <v>3</v>
      </c>
      <c r="G17" s="392"/>
      <c r="H17" s="392"/>
      <c r="I17" s="392"/>
      <c r="J17" s="392"/>
      <c r="K17" s="392"/>
      <c r="L17" s="392"/>
      <c r="M17" s="392"/>
      <c r="N17" s="392"/>
      <c r="O17" s="392"/>
      <c r="P17" s="397">
        <f t="shared" si="0"/>
        <v>3</v>
      </c>
    </row>
    <row r="18" spans="1:25" ht="19.5" thickBot="1" x14ac:dyDescent="0.35">
      <c r="A18" s="395">
        <v>1000033</v>
      </c>
      <c r="B18" s="537" t="s">
        <v>27</v>
      </c>
      <c r="C18" s="474"/>
      <c r="D18" s="535">
        <v>7</v>
      </c>
      <c r="E18" s="394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3">
        <f t="shared" ref="P18:P56" si="1">SUM(F18+H18+J18+L18+N18)</f>
        <v>0</v>
      </c>
    </row>
    <row r="19" spans="1:25" ht="19.5" thickBot="1" x14ac:dyDescent="0.35">
      <c r="A19" s="395">
        <v>1000025</v>
      </c>
      <c r="B19" s="475" t="s">
        <v>32</v>
      </c>
      <c r="C19" s="474"/>
      <c r="D19" s="535">
        <v>20</v>
      </c>
      <c r="E19" s="394"/>
      <c r="F19" s="392"/>
      <c r="G19" s="392"/>
      <c r="H19" s="392"/>
      <c r="I19" s="392"/>
      <c r="J19" s="392">
        <v>5</v>
      </c>
      <c r="K19" s="392"/>
      <c r="L19" s="392">
        <v>5</v>
      </c>
      <c r="M19" s="392"/>
      <c r="N19" s="392"/>
      <c r="O19" s="392"/>
      <c r="P19" s="397">
        <f t="shared" si="1"/>
        <v>10</v>
      </c>
    </row>
    <row r="20" spans="1:25" ht="19.5" thickBot="1" x14ac:dyDescent="0.35">
      <c r="A20" s="395">
        <v>1000101</v>
      </c>
      <c r="B20" s="475" t="s">
        <v>35</v>
      </c>
      <c r="C20" s="474"/>
      <c r="D20" s="535">
        <v>0</v>
      </c>
      <c r="E20" s="394"/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3">
        <f t="shared" si="1"/>
        <v>0</v>
      </c>
    </row>
    <row r="21" spans="1:25" ht="19.5" thickBot="1" x14ac:dyDescent="0.35">
      <c r="A21" s="395">
        <v>1000084</v>
      </c>
      <c r="B21" s="475" t="s">
        <v>38</v>
      </c>
      <c r="C21" s="474"/>
      <c r="D21" s="535">
        <v>100</v>
      </c>
      <c r="E21" s="394"/>
      <c r="F21" s="392">
        <v>32</v>
      </c>
      <c r="G21" s="392"/>
      <c r="H21" s="392">
        <v>48</v>
      </c>
      <c r="I21" s="392"/>
      <c r="J21" s="392">
        <v>48</v>
      </c>
      <c r="K21" s="392"/>
      <c r="L21" s="392">
        <v>56</v>
      </c>
      <c r="M21" s="392"/>
      <c r="N21" s="392">
        <v>48</v>
      </c>
      <c r="O21" s="392"/>
      <c r="P21" s="397">
        <f t="shared" si="1"/>
        <v>232</v>
      </c>
    </row>
    <row r="22" spans="1:25" ht="19.5" thickBot="1" x14ac:dyDescent="0.35">
      <c r="A22" s="395">
        <v>1000146</v>
      </c>
      <c r="B22" s="475" t="s">
        <v>39</v>
      </c>
      <c r="C22" s="474"/>
      <c r="D22" s="535">
        <v>2</v>
      </c>
      <c r="E22" s="394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3">
        <f t="shared" si="1"/>
        <v>0</v>
      </c>
    </row>
    <row r="23" spans="1:25" ht="19.5" thickBot="1" x14ac:dyDescent="0.35">
      <c r="A23" s="395">
        <v>1000090</v>
      </c>
      <c r="B23" s="475" t="s">
        <v>40</v>
      </c>
      <c r="C23" s="474"/>
      <c r="D23" s="535">
        <v>2</v>
      </c>
      <c r="E23" s="394"/>
      <c r="F23" s="392"/>
      <c r="G23" s="392"/>
      <c r="H23" s="392"/>
      <c r="I23" s="392"/>
      <c r="J23" s="392"/>
      <c r="K23" s="392"/>
      <c r="L23" s="392"/>
      <c r="M23" s="392"/>
      <c r="N23" s="392">
        <v>9</v>
      </c>
      <c r="O23" s="392"/>
      <c r="P23" s="397">
        <f t="shared" si="1"/>
        <v>9</v>
      </c>
    </row>
    <row r="24" spans="1:25" ht="19.5" thickBot="1" x14ac:dyDescent="0.35">
      <c r="A24" s="395">
        <v>1000052</v>
      </c>
      <c r="B24" s="475" t="s">
        <v>41</v>
      </c>
      <c r="C24" s="474"/>
      <c r="D24" s="535">
        <v>7</v>
      </c>
      <c r="E24" s="394"/>
      <c r="F24" s="392">
        <v>3</v>
      </c>
      <c r="G24" s="392"/>
      <c r="H24" s="392">
        <v>3</v>
      </c>
      <c r="I24" s="392"/>
      <c r="J24" s="392">
        <v>3</v>
      </c>
      <c r="K24" s="392"/>
      <c r="L24" s="392"/>
      <c r="M24" s="392"/>
      <c r="N24" s="392">
        <v>3</v>
      </c>
      <c r="O24" s="392"/>
      <c r="P24" s="397">
        <f t="shared" si="1"/>
        <v>12</v>
      </c>
    </row>
    <row r="25" spans="1:25" ht="19.5" thickBot="1" x14ac:dyDescent="0.35">
      <c r="A25" s="395">
        <v>1000089</v>
      </c>
      <c r="B25" s="475" t="s">
        <v>42</v>
      </c>
      <c r="C25" s="474"/>
      <c r="D25" s="535">
        <v>7</v>
      </c>
      <c r="E25" s="394"/>
      <c r="F25" s="392">
        <v>5</v>
      </c>
      <c r="G25" s="392"/>
      <c r="H25" s="392">
        <v>5</v>
      </c>
      <c r="I25" s="392"/>
      <c r="J25" s="392">
        <v>3</v>
      </c>
      <c r="K25" s="392"/>
      <c r="L25" s="392">
        <v>5</v>
      </c>
      <c r="M25" s="392"/>
      <c r="N25" s="392">
        <v>5</v>
      </c>
      <c r="O25" s="392"/>
      <c r="P25" s="397">
        <f t="shared" si="1"/>
        <v>23</v>
      </c>
    </row>
    <row r="26" spans="1:25" ht="19.5" thickBot="1" x14ac:dyDescent="0.35">
      <c r="A26" s="395">
        <v>1000051</v>
      </c>
      <c r="B26" s="475" t="s">
        <v>43</v>
      </c>
      <c r="C26" s="474"/>
      <c r="D26" s="535">
        <v>4</v>
      </c>
      <c r="E26" s="394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3">
        <f t="shared" si="1"/>
        <v>0</v>
      </c>
      <c r="Y26" s="591" t="s">
        <v>336</v>
      </c>
    </row>
    <row r="27" spans="1:25" ht="19.5" thickBot="1" x14ac:dyDescent="0.35">
      <c r="A27" s="395">
        <v>1000048</v>
      </c>
      <c r="B27" s="475" t="s">
        <v>45</v>
      </c>
      <c r="C27" s="474"/>
      <c r="D27" s="535">
        <v>1</v>
      </c>
      <c r="E27" s="404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393">
        <f t="shared" si="1"/>
        <v>0</v>
      </c>
    </row>
    <row r="28" spans="1:25" ht="19.5" thickBot="1" x14ac:dyDescent="0.35">
      <c r="A28" s="395">
        <v>1000371</v>
      </c>
      <c r="B28" s="475" t="s">
        <v>74</v>
      </c>
      <c r="C28" s="474"/>
      <c r="D28" s="535">
        <v>20</v>
      </c>
      <c r="E28" s="404"/>
      <c r="F28" s="392">
        <v>8</v>
      </c>
      <c r="G28" s="392"/>
      <c r="H28" s="392">
        <v>8</v>
      </c>
      <c r="I28" s="392"/>
      <c r="J28" s="392">
        <v>6</v>
      </c>
      <c r="K28" s="392"/>
      <c r="L28" s="392">
        <v>6</v>
      </c>
      <c r="M28" s="392"/>
      <c r="N28" s="392">
        <v>6</v>
      </c>
      <c r="O28" s="392"/>
      <c r="P28" s="397">
        <f t="shared" si="1"/>
        <v>34</v>
      </c>
    </row>
    <row r="29" spans="1:25" ht="19.5" thickBot="1" x14ac:dyDescent="0.35">
      <c r="A29" s="395">
        <v>1000041</v>
      </c>
      <c r="B29" s="475" t="s">
        <v>16</v>
      </c>
      <c r="C29" s="474"/>
      <c r="D29" s="535">
        <v>15</v>
      </c>
      <c r="E29" s="394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3">
        <f t="shared" si="1"/>
        <v>0</v>
      </c>
    </row>
    <row r="30" spans="1:25" ht="19.5" thickBot="1" x14ac:dyDescent="0.35">
      <c r="A30" s="395">
        <v>1000045</v>
      </c>
      <c r="B30" s="475" t="s">
        <v>23</v>
      </c>
      <c r="C30" s="474"/>
      <c r="D30" s="535"/>
      <c r="E30" s="394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3">
        <f t="shared" si="1"/>
        <v>0</v>
      </c>
    </row>
    <row r="31" spans="1:25" ht="19.5" thickBot="1" x14ac:dyDescent="0.35">
      <c r="A31" s="395">
        <v>1000067</v>
      </c>
      <c r="B31" s="475" t="s">
        <v>11</v>
      </c>
      <c r="C31" s="474"/>
      <c r="D31" s="535"/>
      <c r="E31" s="394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3">
        <f t="shared" si="1"/>
        <v>0</v>
      </c>
    </row>
    <row r="32" spans="1:25" ht="19.5" thickBot="1" x14ac:dyDescent="0.35">
      <c r="A32" s="395">
        <v>1000073</v>
      </c>
      <c r="B32" s="475" t="s">
        <v>36</v>
      </c>
      <c r="C32" s="474"/>
      <c r="D32" s="535"/>
      <c r="E32" s="394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3">
        <f t="shared" si="1"/>
        <v>0</v>
      </c>
    </row>
    <row r="33" spans="1:16" ht="19.5" thickBot="1" x14ac:dyDescent="0.35">
      <c r="A33" s="395">
        <v>10254</v>
      </c>
      <c r="B33" s="475" t="s">
        <v>93</v>
      </c>
      <c r="C33" s="474"/>
      <c r="D33" s="535"/>
      <c r="E33" s="394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3">
        <f t="shared" si="1"/>
        <v>0</v>
      </c>
    </row>
    <row r="34" spans="1:16" ht="19.5" thickBot="1" x14ac:dyDescent="0.35">
      <c r="A34" s="395">
        <v>1000100</v>
      </c>
      <c r="B34" s="475" t="s">
        <v>34</v>
      </c>
      <c r="C34" s="474"/>
      <c r="D34" s="535"/>
      <c r="E34" s="394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3">
        <f t="shared" si="1"/>
        <v>0</v>
      </c>
    </row>
    <row r="35" spans="1:16" ht="19.5" thickBot="1" x14ac:dyDescent="0.35">
      <c r="A35" s="395">
        <v>1000092</v>
      </c>
      <c r="B35" s="475" t="s">
        <v>51</v>
      </c>
      <c r="C35" s="474"/>
      <c r="D35" s="535"/>
      <c r="E35" s="394"/>
      <c r="F35" s="392"/>
      <c r="G35" s="392"/>
      <c r="H35" s="392"/>
      <c r="I35" s="392"/>
      <c r="J35" s="392"/>
      <c r="K35" s="392"/>
      <c r="L35" s="392">
        <v>1</v>
      </c>
      <c r="M35" s="392"/>
      <c r="N35" s="392"/>
      <c r="O35" s="392"/>
      <c r="P35" s="397">
        <f t="shared" si="1"/>
        <v>1</v>
      </c>
    </row>
    <row r="36" spans="1:16" ht="19.5" thickBot="1" x14ac:dyDescent="0.35">
      <c r="A36" s="395">
        <v>10248</v>
      </c>
      <c r="B36" s="475" t="s">
        <v>183</v>
      </c>
      <c r="C36" s="474"/>
      <c r="D36" s="535"/>
      <c r="E36" s="394"/>
      <c r="F36" s="392"/>
      <c r="G36" s="392"/>
      <c r="H36" s="392"/>
      <c r="I36" s="392"/>
      <c r="J36" s="392"/>
      <c r="K36" s="392"/>
      <c r="L36" s="392"/>
      <c r="M36" s="392"/>
      <c r="N36" s="392">
        <v>12</v>
      </c>
      <c r="O36" s="392"/>
      <c r="P36" s="397">
        <f t="shared" si="1"/>
        <v>12</v>
      </c>
    </row>
    <row r="37" spans="1:16" ht="19.5" thickBot="1" x14ac:dyDescent="0.35">
      <c r="A37" s="395">
        <v>1000065</v>
      </c>
      <c r="B37" s="475" t="s">
        <v>63</v>
      </c>
      <c r="C37" s="474"/>
      <c r="D37" s="535"/>
      <c r="E37" s="394"/>
      <c r="F37" s="392"/>
      <c r="G37" s="392"/>
      <c r="H37" s="392"/>
      <c r="I37" s="392"/>
      <c r="J37" s="392"/>
      <c r="K37" s="392"/>
      <c r="L37" s="392">
        <v>1</v>
      </c>
      <c r="M37" s="392"/>
      <c r="N37" s="392"/>
      <c r="O37" s="392"/>
      <c r="P37" s="397">
        <f t="shared" si="1"/>
        <v>1</v>
      </c>
    </row>
    <row r="38" spans="1:16" ht="19.5" thickBot="1" x14ac:dyDescent="0.35">
      <c r="A38" s="395">
        <v>1000439</v>
      </c>
      <c r="B38" s="475" t="s">
        <v>193</v>
      </c>
      <c r="C38" s="474"/>
      <c r="D38" s="535"/>
      <c r="E38" s="394"/>
      <c r="F38" s="392"/>
      <c r="G38" s="392"/>
      <c r="H38" s="392"/>
      <c r="I38" s="392"/>
      <c r="J38" s="392">
        <v>3</v>
      </c>
      <c r="K38" s="392"/>
      <c r="L38" s="392"/>
      <c r="M38" s="392"/>
      <c r="N38" s="392"/>
      <c r="O38" s="392"/>
      <c r="P38" s="397">
        <f t="shared" si="1"/>
        <v>3</v>
      </c>
    </row>
    <row r="39" spans="1:16" ht="19.5" thickBot="1" x14ac:dyDescent="0.35">
      <c r="A39" s="395">
        <v>1000082</v>
      </c>
      <c r="B39" s="475" t="s">
        <v>37</v>
      </c>
      <c r="C39" s="474"/>
      <c r="D39" s="535"/>
      <c r="E39" s="394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3">
        <f t="shared" si="1"/>
        <v>0</v>
      </c>
    </row>
    <row r="40" spans="1:16" ht="19.5" thickBot="1" x14ac:dyDescent="0.35">
      <c r="A40" s="395">
        <v>1000034</v>
      </c>
      <c r="B40" s="475" t="s">
        <v>28</v>
      </c>
      <c r="C40" s="474"/>
      <c r="D40" s="535"/>
      <c r="E40" s="394"/>
      <c r="F40" s="392">
        <v>1</v>
      </c>
      <c r="G40" s="392"/>
      <c r="H40" s="392">
        <v>1</v>
      </c>
      <c r="I40" s="392"/>
      <c r="J40" s="392"/>
      <c r="K40" s="392"/>
      <c r="L40" s="392"/>
      <c r="M40" s="392"/>
      <c r="N40" s="392"/>
      <c r="O40" s="392"/>
      <c r="P40" s="397">
        <f t="shared" si="1"/>
        <v>2</v>
      </c>
    </row>
    <row r="41" spans="1:16" ht="19.5" thickBot="1" x14ac:dyDescent="0.35">
      <c r="A41" s="395">
        <v>1000214</v>
      </c>
      <c r="B41" s="475" t="s">
        <v>49</v>
      </c>
      <c r="C41" s="474"/>
      <c r="D41" s="535"/>
      <c r="E41" s="394"/>
      <c r="F41" s="392"/>
      <c r="G41" s="392"/>
      <c r="H41" s="392"/>
      <c r="I41" s="392"/>
      <c r="J41" s="392"/>
      <c r="K41" s="392"/>
      <c r="L41" s="392">
        <v>1</v>
      </c>
      <c r="M41" s="392"/>
      <c r="N41" s="392"/>
      <c r="O41" s="392"/>
      <c r="P41" s="397">
        <f t="shared" si="1"/>
        <v>1</v>
      </c>
    </row>
    <row r="42" spans="1:16" ht="19.5" thickBot="1" x14ac:dyDescent="0.35">
      <c r="A42" s="395">
        <v>1000383</v>
      </c>
      <c r="B42" s="475" t="s">
        <v>264</v>
      </c>
      <c r="C42" s="474"/>
      <c r="D42" s="535"/>
      <c r="E42" s="394"/>
      <c r="F42" s="392"/>
      <c r="G42" s="392"/>
      <c r="H42" s="392"/>
      <c r="I42" s="392"/>
      <c r="J42" s="392"/>
      <c r="K42" s="392"/>
      <c r="L42" s="392"/>
      <c r="M42" s="392"/>
      <c r="N42" s="392"/>
      <c r="O42" s="392"/>
      <c r="P42" s="393">
        <f t="shared" si="1"/>
        <v>0</v>
      </c>
    </row>
    <row r="43" spans="1:16" ht="19.5" thickBot="1" x14ac:dyDescent="0.35">
      <c r="A43" s="395">
        <v>1000147</v>
      </c>
      <c r="B43" s="475" t="s">
        <v>236</v>
      </c>
      <c r="C43" s="474"/>
      <c r="D43" s="535"/>
      <c r="E43" s="394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3">
        <f t="shared" si="1"/>
        <v>0</v>
      </c>
    </row>
    <row r="44" spans="1:16" ht="19.5" thickBot="1" x14ac:dyDescent="0.35">
      <c r="A44" s="395">
        <v>1000031</v>
      </c>
      <c r="B44" s="475" t="s">
        <v>25</v>
      </c>
      <c r="C44" s="474"/>
      <c r="D44" s="535"/>
      <c r="E44" s="394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3">
        <f t="shared" si="1"/>
        <v>0</v>
      </c>
    </row>
    <row r="45" spans="1:16" ht="19.5" thickBot="1" x14ac:dyDescent="0.35">
      <c r="A45" s="395">
        <v>1000063</v>
      </c>
      <c r="B45" s="475" t="s">
        <v>65</v>
      </c>
      <c r="C45" s="474"/>
      <c r="D45" s="535"/>
      <c r="E45" s="394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3">
        <f t="shared" si="1"/>
        <v>0</v>
      </c>
    </row>
    <row r="46" spans="1:16" ht="19.5" thickBot="1" x14ac:dyDescent="0.35">
      <c r="A46" s="395">
        <v>1000029</v>
      </c>
      <c r="B46" s="475" t="s">
        <v>30</v>
      </c>
      <c r="C46" s="474"/>
      <c r="D46" s="535"/>
      <c r="E46" s="394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3">
        <f t="shared" si="1"/>
        <v>0</v>
      </c>
    </row>
    <row r="47" spans="1:16" ht="19.5" thickBot="1" x14ac:dyDescent="0.35">
      <c r="A47" s="395">
        <v>1000030</v>
      </c>
      <c r="B47" s="475" t="s">
        <v>24</v>
      </c>
      <c r="C47" s="474"/>
      <c r="D47" s="535"/>
      <c r="E47" s="394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3">
        <f t="shared" si="1"/>
        <v>0</v>
      </c>
    </row>
    <row r="48" spans="1:16" ht="19.5" thickBot="1" x14ac:dyDescent="0.35">
      <c r="A48" s="395">
        <v>1000205</v>
      </c>
      <c r="B48" s="475" t="s">
        <v>82</v>
      </c>
      <c r="C48" s="474"/>
      <c r="D48" s="535"/>
      <c r="E48" s="394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3">
        <f t="shared" si="1"/>
        <v>0</v>
      </c>
    </row>
    <row r="49" spans="1:16" ht="19.5" thickBot="1" x14ac:dyDescent="0.35">
      <c r="A49" s="395">
        <v>1000080</v>
      </c>
      <c r="B49" s="475" t="s">
        <v>275</v>
      </c>
      <c r="C49" s="474"/>
      <c r="D49" s="535"/>
      <c r="E49" s="394"/>
      <c r="F49" s="392">
        <v>48</v>
      </c>
      <c r="G49" s="392"/>
      <c r="H49" s="392">
        <v>48</v>
      </c>
      <c r="I49" s="392"/>
      <c r="J49" s="392">
        <v>48</v>
      </c>
      <c r="K49" s="392"/>
      <c r="L49" s="392">
        <v>48</v>
      </c>
      <c r="M49" s="392"/>
      <c r="N49" s="392">
        <v>48</v>
      </c>
      <c r="O49" s="392"/>
      <c r="P49" s="397">
        <f t="shared" si="1"/>
        <v>240</v>
      </c>
    </row>
    <row r="50" spans="1:16" ht="19.5" thickBot="1" x14ac:dyDescent="0.35">
      <c r="A50" s="395">
        <v>1000436</v>
      </c>
      <c r="B50" s="475" t="s">
        <v>276</v>
      </c>
      <c r="C50" s="474"/>
      <c r="D50" s="535"/>
      <c r="E50" s="394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3">
        <f t="shared" si="1"/>
        <v>0</v>
      </c>
    </row>
    <row r="51" spans="1:16" ht="19.5" thickBot="1" x14ac:dyDescent="0.35">
      <c r="A51" s="395">
        <v>1000550</v>
      </c>
      <c r="B51" s="475" t="s">
        <v>277</v>
      </c>
      <c r="C51" s="474"/>
      <c r="D51" s="535"/>
      <c r="E51" s="394"/>
      <c r="F51" s="392">
        <v>32</v>
      </c>
      <c r="G51" s="392"/>
      <c r="H51" s="392">
        <v>32</v>
      </c>
      <c r="I51" s="392"/>
      <c r="J51" s="392">
        <v>32</v>
      </c>
      <c r="K51" s="392"/>
      <c r="L51" s="392">
        <v>32</v>
      </c>
      <c r="M51" s="392"/>
      <c r="N51" s="392">
        <v>32</v>
      </c>
      <c r="O51" s="392"/>
      <c r="P51" s="397">
        <f t="shared" si="1"/>
        <v>160</v>
      </c>
    </row>
    <row r="52" spans="1:16" ht="19.5" thickBot="1" x14ac:dyDescent="0.35">
      <c r="A52" s="395">
        <v>1000551</v>
      </c>
      <c r="B52" s="475" t="s">
        <v>278</v>
      </c>
      <c r="C52" s="474"/>
      <c r="D52" s="535"/>
      <c r="E52" s="394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3">
        <f t="shared" si="1"/>
        <v>0</v>
      </c>
    </row>
    <row r="53" spans="1:16" ht="19.5" thickBot="1" x14ac:dyDescent="0.35">
      <c r="A53" s="538">
        <v>1000552</v>
      </c>
      <c r="B53" s="539" t="s">
        <v>279</v>
      </c>
      <c r="C53" s="405"/>
      <c r="D53" s="396"/>
      <c r="E53" s="405"/>
      <c r="F53" s="392"/>
      <c r="G53" s="392"/>
      <c r="H53" s="392"/>
      <c r="I53" s="392"/>
      <c r="J53" s="392"/>
      <c r="K53" s="392"/>
      <c r="L53" s="392"/>
      <c r="M53" s="392"/>
      <c r="N53" s="392"/>
      <c r="O53" s="392"/>
      <c r="P53" s="393">
        <f t="shared" si="1"/>
        <v>0</v>
      </c>
    </row>
    <row r="54" spans="1:16" ht="19.5" thickBot="1" x14ac:dyDescent="0.35">
      <c r="A54" s="395">
        <v>1000008</v>
      </c>
      <c r="B54" s="475" t="s">
        <v>7</v>
      </c>
      <c r="C54" s="394"/>
      <c r="D54" s="396"/>
      <c r="E54" s="394"/>
      <c r="F54" s="392">
        <v>200</v>
      </c>
      <c r="G54" s="392"/>
      <c r="H54" s="392">
        <v>200</v>
      </c>
      <c r="I54" s="392"/>
      <c r="J54" s="392">
        <v>200</v>
      </c>
      <c r="K54" s="392"/>
      <c r="L54" s="392">
        <v>150</v>
      </c>
      <c r="M54" s="392"/>
      <c r="N54" s="392"/>
      <c r="O54" s="392"/>
      <c r="P54" s="397">
        <f t="shared" si="1"/>
        <v>750</v>
      </c>
    </row>
    <row r="55" spans="1:16" ht="19.5" thickBot="1" x14ac:dyDescent="0.35">
      <c r="A55" s="395">
        <v>1000412</v>
      </c>
      <c r="B55" s="475" t="s">
        <v>195</v>
      </c>
      <c r="D55" s="396"/>
      <c r="F55" s="392"/>
      <c r="G55" s="392"/>
      <c r="H55" s="392"/>
      <c r="I55" s="392"/>
      <c r="J55" s="392">
        <v>3</v>
      </c>
      <c r="K55" s="392"/>
      <c r="L55" s="392"/>
      <c r="M55" s="392"/>
      <c r="N55" s="392"/>
      <c r="O55" s="392"/>
      <c r="P55" s="397">
        <f t="shared" si="1"/>
        <v>3</v>
      </c>
    </row>
    <row r="56" spans="1:16" ht="19.5" thickBot="1" x14ac:dyDescent="0.35">
      <c r="A56" s="395"/>
      <c r="B56" s="395" t="s">
        <v>484</v>
      </c>
      <c r="D56" s="396"/>
      <c r="F56" s="392"/>
      <c r="G56" s="392"/>
      <c r="H56" s="392"/>
      <c r="I56" s="392"/>
      <c r="J56" s="392"/>
      <c r="K56" s="392"/>
      <c r="L56" s="392">
        <v>1</v>
      </c>
      <c r="M56" s="392"/>
      <c r="N56" s="392"/>
      <c r="O56" s="392"/>
      <c r="P56" s="397">
        <f t="shared" si="1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7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5E9C-A100-47A4-ADBF-62748618D53B}">
  <sheetPr>
    <tabColor rgb="FFFFFF00"/>
    <pageSetUpPr fitToPage="1"/>
  </sheetPr>
  <dimension ref="A1:P49"/>
  <sheetViews>
    <sheetView zoomScale="85" zoomScaleNormal="85" workbookViewId="0">
      <selection activeCell="V13" sqref="V13"/>
    </sheetView>
  </sheetViews>
  <sheetFormatPr baseColWidth="10" defaultColWidth="10.875" defaultRowHeight="15" x14ac:dyDescent="0.25"/>
  <cols>
    <col min="1" max="1" width="7.62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375" style="27" customWidth="1"/>
    <col min="8" max="8" width="9.125" style="27" bestFit="1" customWidth="1"/>
    <col min="9" max="9" width="5" style="27" customWidth="1"/>
    <col min="10" max="10" width="9.125" style="27" bestFit="1" customWidth="1"/>
    <col min="11" max="11" width="4.75" style="27" customWidth="1"/>
    <col min="12" max="12" width="9.125" style="27" bestFit="1" customWidth="1"/>
    <col min="13" max="13" width="4.875" style="27" customWidth="1"/>
    <col min="14" max="14" width="9.125" style="27" bestFit="1" customWidth="1"/>
    <col min="15" max="15" width="5.25" style="27" customWidth="1"/>
    <col min="16" max="16384" width="10.875" style="27"/>
  </cols>
  <sheetData>
    <row r="1" spans="1:16" ht="15" customHeight="1" x14ac:dyDescent="0.45">
      <c r="A1" s="686" t="s">
        <v>103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399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5" t="s">
        <v>377</v>
      </c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9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150</v>
      </c>
      <c r="F6" s="28">
        <v>50</v>
      </c>
      <c r="G6" s="28"/>
      <c r="H6" s="28"/>
      <c r="I6" s="28"/>
      <c r="J6" s="28"/>
      <c r="K6" s="28"/>
      <c r="L6" s="28">
        <v>50</v>
      </c>
      <c r="M6" s="28"/>
      <c r="N6" s="28"/>
      <c r="O6" s="28"/>
      <c r="P6" s="418">
        <f t="shared" si="0"/>
        <v>100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100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/>
      <c r="O7" s="28"/>
      <c r="P7" s="418">
        <f t="shared" si="0"/>
        <v>200</v>
      </c>
    </row>
    <row r="8" spans="1:16" ht="15.75" thickBot="1" x14ac:dyDescent="0.3">
      <c r="A8" s="35">
        <v>1000001</v>
      </c>
      <c r="B8" s="12" t="s">
        <v>8</v>
      </c>
      <c r="C8" s="41"/>
      <c r="D8" s="47">
        <v>3</v>
      </c>
      <c r="F8" s="28">
        <v>2</v>
      </c>
      <c r="G8" s="28"/>
      <c r="H8" s="28">
        <v>2</v>
      </c>
      <c r="I8" s="28"/>
      <c r="J8" s="28">
        <v>1</v>
      </c>
      <c r="K8" s="28"/>
      <c r="L8" s="28">
        <v>1</v>
      </c>
      <c r="M8" s="28"/>
      <c r="N8" s="28"/>
      <c r="O8" s="28"/>
      <c r="P8" s="418">
        <f t="shared" si="0"/>
        <v>6</v>
      </c>
    </row>
    <row r="9" spans="1:16" ht="15.75" thickBot="1" x14ac:dyDescent="0.3">
      <c r="A9" s="35">
        <v>1000002</v>
      </c>
      <c r="B9" s="12" t="s">
        <v>9</v>
      </c>
      <c r="C9" s="41"/>
      <c r="D9" s="47">
        <v>1</v>
      </c>
      <c r="F9" s="28"/>
      <c r="G9" s="28"/>
      <c r="H9" s="28"/>
      <c r="I9" s="28"/>
      <c r="J9" s="28"/>
      <c r="K9" s="28"/>
      <c r="L9" s="28">
        <v>1</v>
      </c>
      <c r="M9" s="28"/>
      <c r="N9" s="28"/>
      <c r="O9" s="28"/>
      <c r="P9" s="418">
        <f t="shared" si="0"/>
        <v>1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0</v>
      </c>
      <c r="F10" s="28">
        <v>2</v>
      </c>
      <c r="G10" s="28"/>
      <c r="H10" s="28">
        <v>2</v>
      </c>
      <c r="I10" s="28"/>
      <c r="J10" s="28">
        <v>1</v>
      </c>
      <c r="K10" s="28"/>
      <c r="L10" s="28">
        <v>1</v>
      </c>
      <c r="M10" s="28"/>
      <c r="N10" s="28"/>
      <c r="O10" s="28"/>
      <c r="P10" s="418">
        <f t="shared" si="0"/>
        <v>6</v>
      </c>
    </row>
    <row r="11" spans="1:16" ht="15.75" thickBot="1" x14ac:dyDescent="0.3">
      <c r="A11" s="35">
        <v>1000067</v>
      </c>
      <c r="B11" s="12" t="s">
        <v>11</v>
      </c>
      <c r="C11" s="41"/>
      <c r="D11" s="47">
        <v>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10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>
        <v>1</v>
      </c>
      <c r="G13" s="28"/>
      <c r="H13" s="28">
        <v>1</v>
      </c>
      <c r="I13" s="28"/>
      <c r="J13" s="28"/>
      <c r="K13" s="28"/>
      <c r="L13" s="28"/>
      <c r="M13" s="28"/>
      <c r="N13" s="28"/>
      <c r="O13" s="28"/>
      <c r="P13" s="418">
        <f t="shared" si="0"/>
        <v>2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10</v>
      </c>
      <c r="F14" s="28">
        <v>10</v>
      </c>
      <c r="G14" s="28"/>
      <c r="H14" s="28">
        <v>10</v>
      </c>
      <c r="I14" s="28"/>
      <c r="J14" s="28">
        <v>10</v>
      </c>
      <c r="K14" s="28"/>
      <c r="L14" s="28">
        <v>10</v>
      </c>
      <c r="M14" s="28"/>
      <c r="N14" s="28"/>
      <c r="O14" s="28"/>
      <c r="P14" s="418">
        <f t="shared" si="0"/>
        <v>40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2</v>
      </c>
      <c r="F15" s="28"/>
      <c r="G15" s="28"/>
      <c r="H15" s="28"/>
      <c r="I15" s="28"/>
      <c r="J15" s="28">
        <v>5</v>
      </c>
      <c r="K15" s="28"/>
      <c r="L15" s="28">
        <v>5</v>
      </c>
      <c r="M15" s="28"/>
      <c r="N15" s="28"/>
      <c r="O15" s="28"/>
      <c r="P15" s="418">
        <f t="shared" si="0"/>
        <v>10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1000009</v>
      </c>
      <c r="B17" s="12" t="s">
        <v>19</v>
      </c>
      <c r="C17" s="41"/>
      <c r="D17" s="47">
        <v>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1000012</v>
      </c>
      <c r="B18" s="14" t="s">
        <v>20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1000050</v>
      </c>
      <c r="B19" s="12" t="s">
        <v>22</v>
      </c>
      <c r="C19" s="41"/>
      <c r="D19" s="47">
        <v>1</v>
      </c>
      <c r="F19" s="28">
        <v>1</v>
      </c>
      <c r="G19" s="28"/>
      <c r="H19" s="28">
        <v>1</v>
      </c>
      <c r="I19" s="28"/>
      <c r="J19" s="28">
        <v>1</v>
      </c>
      <c r="K19" s="28"/>
      <c r="L19" s="28">
        <v>1</v>
      </c>
      <c r="M19" s="28"/>
      <c r="N19" s="28"/>
      <c r="O19" s="28"/>
      <c r="P19" s="418">
        <f t="shared" si="0"/>
        <v>4</v>
      </c>
    </row>
    <row r="20" spans="1:16" ht="15.75" thickBot="1" x14ac:dyDescent="0.3">
      <c r="A20" s="35">
        <v>1000045</v>
      </c>
      <c r="B20" s="12" t="s">
        <v>23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1000030</v>
      </c>
      <c r="B21" s="12" t="s">
        <v>24</v>
      </c>
      <c r="C21" s="41"/>
      <c r="D21" s="47">
        <v>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1000031</v>
      </c>
      <c r="B22" s="12" t="s">
        <v>25</v>
      </c>
      <c r="C22" s="41"/>
      <c r="D22" s="47">
        <v>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1000029</v>
      </c>
      <c r="B23" s="12" t="s">
        <v>30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1000025</v>
      </c>
      <c r="B24" s="12" t="s">
        <v>32</v>
      </c>
      <c r="C24" s="41"/>
      <c r="D24" s="47">
        <v>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1000100</v>
      </c>
      <c r="B25" s="12" t="s">
        <v>34</v>
      </c>
      <c r="C25" s="41"/>
      <c r="D25" s="47">
        <v>0</v>
      </c>
      <c r="E25" s="15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1000084</v>
      </c>
      <c r="B26" s="12" t="s">
        <v>38</v>
      </c>
      <c r="C26" s="41"/>
      <c r="D26" s="47">
        <v>7</v>
      </c>
      <c r="F26" s="28">
        <v>4</v>
      </c>
      <c r="G26" s="28"/>
      <c r="H26" s="28">
        <v>4</v>
      </c>
      <c r="I26" s="28"/>
      <c r="J26" s="28">
        <v>4</v>
      </c>
      <c r="K26" s="28"/>
      <c r="L26" s="28">
        <v>4</v>
      </c>
      <c r="M26" s="28"/>
      <c r="N26" s="28"/>
      <c r="O26" s="28"/>
      <c r="P26" s="418">
        <f t="shared" si="0"/>
        <v>16</v>
      </c>
    </row>
    <row r="27" spans="1:16" ht="15.75" thickBot="1" x14ac:dyDescent="0.3">
      <c r="A27" s="35">
        <v>1000146</v>
      </c>
      <c r="B27" s="12" t="s">
        <v>39</v>
      </c>
      <c r="C27" s="41"/>
      <c r="D27" s="47">
        <v>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10248</v>
      </c>
      <c r="B28" s="12" t="s">
        <v>183</v>
      </c>
      <c r="C28" s="41"/>
      <c r="D28" s="47">
        <v>0</v>
      </c>
      <c r="F28" s="28">
        <v>3</v>
      </c>
      <c r="G28" s="28"/>
      <c r="H28" s="28">
        <v>3</v>
      </c>
      <c r="I28" s="28"/>
      <c r="J28" s="28">
        <v>3</v>
      </c>
      <c r="K28" s="28"/>
      <c r="L28" s="28">
        <v>3</v>
      </c>
      <c r="M28" s="28"/>
      <c r="N28" s="28"/>
      <c r="O28" s="28"/>
      <c r="P28" s="418">
        <f t="shared" si="0"/>
        <v>12</v>
      </c>
    </row>
    <row r="29" spans="1:16" ht="15.75" thickBot="1" x14ac:dyDescent="0.3">
      <c r="A29" s="35">
        <v>1000052</v>
      </c>
      <c r="B29" s="12" t="s">
        <v>41</v>
      </c>
      <c r="C29" s="41"/>
      <c r="D29" s="47">
        <v>2</v>
      </c>
      <c r="F29" s="28"/>
      <c r="G29" s="28"/>
      <c r="H29" s="28"/>
      <c r="I29" s="28"/>
      <c r="J29" s="28"/>
      <c r="K29" s="28"/>
      <c r="L29" s="28">
        <v>1</v>
      </c>
      <c r="M29" s="28"/>
      <c r="N29" s="28"/>
      <c r="O29" s="28"/>
      <c r="P29" s="418">
        <f t="shared" si="0"/>
        <v>1</v>
      </c>
    </row>
    <row r="30" spans="1:16" ht="15.75" thickBot="1" x14ac:dyDescent="0.3">
      <c r="A30" s="35">
        <v>1000089</v>
      </c>
      <c r="B30" s="12" t="s">
        <v>42</v>
      </c>
      <c r="C30" s="41"/>
      <c r="D30" s="47">
        <v>2</v>
      </c>
      <c r="F30" s="28"/>
      <c r="G30" s="28"/>
      <c r="H30" s="28"/>
      <c r="I30" s="28"/>
      <c r="J30" s="28"/>
      <c r="K30" s="28"/>
      <c r="L30" s="28">
        <v>1</v>
      </c>
      <c r="M30" s="28"/>
      <c r="N30" s="28"/>
      <c r="O30" s="28"/>
      <c r="P30" s="418">
        <f t="shared" si="0"/>
        <v>1</v>
      </c>
    </row>
    <row r="31" spans="1:16" ht="15.75" thickBot="1" x14ac:dyDescent="0.3">
      <c r="A31" s="35">
        <v>1000051</v>
      </c>
      <c r="B31" s="12" t="s">
        <v>43</v>
      </c>
      <c r="C31" s="41"/>
      <c r="D31" s="47">
        <v>1</v>
      </c>
      <c r="F31" s="28"/>
      <c r="G31" s="28"/>
      <c r="H31" s="28"/>
      <c r="I31" s="28"/>
      <c r="J31" s="28"/>
      <c r="K31" s="28"/>
      <c r="L31" s="28">
        <v>1</v>
      </c>
      <c r="M31" s="28"/>
      <c r="N31" s="28"/>
      <c r="O31" s="28"/>
      <c r="P31" s="418">
        <f t="shared" si="0"/>
        <v>1</v>
      </c>
    </row>
    <row r="32" spans="1:16" ht="15.75" thickBot="1" x14ac:dyDescent="0.3">
      <c r="A32" s="35">
        <v>1000048</v>
      </c>
      <c r="B32" s="12" t="s">
        <v>45</v>
      </c>
      <c r="C32" s="41"/>
      <c r="D32" s="47">
        <v>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1000147</v>
      </c>
      <c r="B33" s="12" t="s">
        <v>52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1000142</v>
      </c>
      <c r="B34" s="12" t="s">
        <v>54</v>
      </c>
      <c r="C34" s="41"/>
      <c r="D34" s="47">
        <v>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1000049</v>
      </c>
      <c r="B35" s="12" t="s">
        <v>21</v>
      </c>
      <c r="C35" s="41"/>
      <c r="D35" s="47"/>
      <c r="F35" s="28">
        <v>1</v>
      </c>
      <c r="G35" s="28"/>
      <c r="H35" s="28">
        <v>1</v>
      </c>
      <c r="I35" s="28"/>
      <c r="J35" s="28">
        <v>1</v>
      </c>
      <c r="K35" s="28"/>
      <c r="L35" s="28">
        <v>1</v>
      </c>
      <c r="M35" s="28"/>
      <c r="N35" s="28"/>
      <c r="O35" s="28"/>
      <c r="P35" s="418">
        <f t="shared" si="0"/>
        <v>4</v>
      </c>
    </row>
    <row r="36" spans="1:16" ht="15.75" thickBot="1" x14ac:dyDescent="0.3">
      <c r="A36" s="35">
        <v>1000076</v>
      </c>
      <c r="B36" s="12" t="s">
        <v>46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s="15" customFormat="1" ht="15.95" customHeight="1" thickBot="1" x14ac:dyDescent="0.3">
      <c r="A37" s="35">
        <v>1000033</v>
      </c>
      <c r="B37" s="12" t="s">
        <v>27</v>
      </c>
      <c r="C37" s="41"/>
      <c r="D37" s="47"/>
      <c r="E37" s="27"/>
      <c r="F37" s="28">
        <v>1</v>
      </c>
      <c r="G37" s="28"/>
      <c r="H37" s="28"/>
      <c r="I37" s="28"/>
      <c r="J37" s="28"/>
      <c r="K37" s="28"/>
      <c r="L37" s="28"/>
      <c r="M37" s="28"/>
      <c r="N37" s="28"/>
      <c r="O37" s="28"/>
      <c r="P37" s="418">
        <f t="shared" si="0"/>
        <v>1</v>
      </c>
    </row>
    <row r="38" spans="1:16" ht="15.75" thickBot="1" x14ac:dyDescent="0.3">
      <c r="A38" s="35">
        <v>1000472</v>
      </c>
      <c r="B38" s="12" t="s">
        <v>222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1000383</v>
      </c>
      <c r="B39" s="12" t="s">
        <v>264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1000073</v>
      </c>
      <c r="B40" s="12" t="s">
        <v>36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1000075</v>
      </c>
      <c r="B41" s="12" t="s">
        <v>47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1000008</v>
      </c>
      <c r="B42" s="12" t="s">
        <v>7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1000010</v>
      </c>
      <c r="B43" s="12" t="s">
        <v>17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1000436</v>
      </c>
      <c r="B44" s="12" t="s">
        <v>276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1000550</v>
      </c>
      <c r="B45" s="12" t="s">
        <v>277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1000551</v>
      </c>
      <c r="B46" s="12" t="s">
        <v>278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1000552</v>
      </c>
      <c r="B47" s="12" t="s">
        <v>279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s="200" customFormat="1" ht="15.75" thickBot="1" x14ac:dyDescent="0.3">
      <c r="A48" s="38">
        <v>1000080</v>
      </c>
      <c r="B48" s="17" t="s">
        <v>275</v>
      </c>
      <c r="C48" s="41"/>
      <c r="D48" s="46"/>
      <c r="E48" s="27"/>
      <c r="F48" s="28">
        <v>48</v>
      </c>
      <c r="G48" s="28"/>
      <c r="H48" s="28">
        <v>48</v>
      </c>
      <c r="I48" s="28"/>
      <c r="J48" s="28">
        <v>48</v>
      </c>
      <c r="K48" s="28"/>
      <c r="L48" s="28">
        <v>48</v>
      </c>
      <c r="M48" s="28"/>
      <c r="N48" s="28"/>
      <c r="O48" s="28"/>
      <c r="P48" s="418">
        <f t="shared" si="0"/>
        <v>192</v>
      </c>
    </row>
    <row r="49" spans="1:16" ht="15.75" thickBot="1" x14ac:dyDescent="0.3">
      <c r="A49" s="35">
        <v>1000057</v>
      </c>
      <c r="B49" s="22" t="s">
        <v>70</v>
      </c>
      <c r="D49" s="4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8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EEDF-0E91-47BA-A5C6-EFFE46D217FD}">
  <sheetPr>
    <tabColor rgb="FFFFFF00"/>
    <pageSetUpPr fitToPage="1"/>
  </sheetPr>
  <dimension ref="A1:P49"/>
  <sheetViews>
    <sheetView topLeftCell="A15" zoomScale="85" zoomScaleNormal="85" workbookViewId="0">
      <selection activeCell="A39" sqref="A39:B39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2" style="27" customWidth="1"/>
    <col min="4" max="4" width="8.125" style="27" bestFit="1" customWidth="1"/>
    <col min="5" max="5" width="1.625" style="27" customWidth="1"/>
    <col min="6" max="6" width="9.375" style="27" bestFit="1" customWidth="1"/>
    <col min="7" max="7" width="6.75" style="27" customWidth="1"/>
    <col min="8" max="8" width="9.375" style="27" bestFit="1" customWidth="1"/>
    <col min="9" max="9" width="6" style="27" customWidth="1"/>
    <col min="10" max="10" width="9.375" style="27" bestFit="1" customWidth="1"/>
    <col min="11" max="11" width="6" style="27" customWidth="1"/>
    <col min="12" max="12" width="9.375" style="27" bestFit="1" customWidth="1"/>
    <col min="13" max="13" width="6" style="27" customWidth="1"/>
    <col min="14" max="14" width="9.375" style="27" bestFit="1" customWidth="1"/>
    <col min="15" max="15" width="5.625" style="27" customWidth="1"/>
    <col min="16" max="16384" width="10.875" style="27"/>
  </cols>
  <sheetData>
    <row r="1" spans="1:16" ht="15" customHeight="1" x14ac:dyDescent="0.45">
      <c r="A1" s="686" t="s">
        <v>187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399</v>
      </c>
      <c r="F2" s="754"/>
      <c r="G2" s="755"/>
      <c r="H2" s="755"/>
      <c r="I2" s="755"/>
      <c r="J2" s="756"/>
      <c r="K2" s="2"/>
    </row>
    <row r="3" spans="1:16" s="3" customFormat="1" ht="24" customHeight="1" thickBot="1" x14ac:dyDescent="0.3">
      <c r="A3" s="5"/>
      <c r="B3" s="5" t="s">
        <v>403</v>
      </c>
      <c r="C3" s="18"/>
      <c r="D3" s="4"/>
    </row>
    <row r="4" spans="1:16" s="3" customFormat="1" ht="16.5" thickBot="1" x14ac:dyDescent="0.3">
      <c r="A4" s="26" t="s">
        <v>0</v>
      </c>
      <c r="B4" s="244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247">
        <v>10000015</v>
      </c>
      <c r="B5" s="247" t="s">
        <v>1</v>
      </c>
      <c r="C5" s="41"/>
      <c r="D5" s="48">
        <v>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49" si="0">SUM(F5:O5)</f>
        <v>0</v>
      </c>
    </row>
    <row r="6" spans="1:16" ht="15.75" thickBot="1" x14ac:dyDescent="0.3">
      <c r="A6" s="248">
        <v>1000006</v>
      </c>
      <c r="B6" s="248" t="s">
        <v>4</v>
      </c>
      <c r="C6" s="41"/>
      <c r="D6" s="47">
        <v>250</v>
      </c>
      <c r="F6" s="28"/>
      <c r="G6" s="28"/>
      <c r="H6" s="28"/>
      <c r="I6" s="28"/>
      <c r="J6" s="28">
        <v>50</v>
      </c>
      <c r="K6" s="28"/>
      <c r="L6" s="28"/>
      <c r="M6" s="28"/>
      <c r="N6" s="28">
        <v>50</v>
      </c>
      <c r="O6" s="28"/>
      <c r="P6" s="418">
        <f t="shared" si="0"/>
        <v>100</v>
      </c>
    </row>
    <row r="7" spans="1:16" ht="15.75" thickBot="1" x14ac:dyDescent="0.3">
      <c r="A7" s="248">
        <v>1000007</v>
      </c>
      <c r="B7" s="248" t="s">
        <v>5</v>
      </c>
      <c r="C7" s="41"/>
      <c r="D7" s="47">
        <v>200</v>
      </c>
      <c r="F7" s="28">
        <v>50</v>
      </c>
      <c r="G7" s="28"/>
      <c r="H7" s="28">
        <v>50</v>
      </c>
      <c r="I7" s="28"/>
      <c r="J7" s="28">
        <v>50</v>
      </c>
      <c r="K7" s="28"/>
      <c r="L7" s="28"/>
      <c r="M7" s="28"/>
      <c r="N7" s="28">
        <v>50</v>
      </c>
      <c r="O7" s="28"/>
      <c r="P7" s="418">
        <f t="shared" si="0"/>
        <v>200</v>
      </c>
    </row>
    <row r="8" spans="1:16" ht="15.75" thickBot="1" x14ac:dyDescent="0.3">
      <c r="A8" s="248">
        <v>1000008</v>
      </c>
      <c r="B8" s="248" t="s">
        <v>7</v>
      </c>
      <c r="C8" s="41"/>
      <c r="D8" s="47">
        <v>30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248">
        <v>1000001</v>
      </c>
      <c r="B9" s="248" t="s">
        <v>8</v>
      </c>
      <c r="C9" s="41"/>
      <c r="D9" s="47">
        <v>2</v>
      </c>
      <c r="F9" s="28">
        <v>1</v>
      </c>
      <c r="G9" s="28"/>
      <c r="H9" s="28">
        <v>2</v>
      </c>
      <c r="I9" s="28"/>
      <c r="J9" s="28">
        <v>2</v>
      </c>
      <c r="K9" s="28"/>
      <c r="L9" s="28">
        <v>2</v>
      </c>
      <c r="M9" s="28"/>
      <c r="N9" s="28">
        <v>1</v>
      </c>
      <c r="O9" s="28"/>
      <c r="P9" s="418">
        <f t="shared" si="0"/>
        <v>8</v>
      </c>
    </row>
    <row r="10" spans="1:16" ht="15.75" thickBot="1" x14ac:dyDescent="0.3">
      <c r="A10" s="248">
        <v>1000002</v>
      </c>
      <c r="B10" s="248" t="s">
        <v>9</v>
      </c>
      <c r="C10" s="41"/>
      <c r="D10" s="47">
        <v>2</v>
      </c>
      <c r="F10" s="28">
        <v>1</v>
      </c>
      <c r="G10" s="28"/>
      <c r="H10" s="28">
        <v>1</v>
      </c>
      <c r="I10" s="28"/>
      <c r="J10" s="28"/>
      <c r="K10" s="28"/>
      <c r="L10" s="28">
        <v>1</v>
      </c>
      <c r="M10" s="28"/>
      <c r="N10" s="28">
        <v>1</v>
      </c>
      <c r="O10" s="28"/>
      <c r="P10" s="418">
        <f t="shared" si="0"/>
        <v>4</v>
      </c>
    </row>
    <row r="11" spans="1:16" ht="15.75" thickBot="1" x14ac:dyDescent="0.3">
      <c r="A11" s="248">
        <v>1000067</v>
      </c>
      <c r="B11" s="248" t="s">
        <v>11</v>
      </c>
      <c r="C11" s="41"/>
      <c r="D11" s="47">
        <v>0</v>
      </c>
      <c r="F11" s="28">
        <v>1</v>
      </c>
      <c r="G11" s="28"/>
      <c r="H11" s="28"/>
      <c r="I11" s="28"/>
      <c r="J11" s="28"/>
      <c r="K11" s="28"/>
      <c r="L11" s="28">
        <v>1</v>
      </c>
      <c r="M11" s="28"/>
      <c r="N11" s="28"/>
      <c r="O11" s="28"/>
      <c r="P11" s="418">
        <f t="shared" si="0"/>
        <v>2</v>
      </c>
    </row>
    <row r="12" spans="1:16" ht="15.75" thickBot="1" x14ac:dyDescent="0.3">
      <c r="A12" s="248">
        <v>1000054</v>
      </c>
      <c r="B12" s="248" t="s">
        <v>12</v>
      </c>
      <c r="C12" s="41"/>
      <c r="D12" s="47">
        <v>15</v>
      </c>
      <c r="F12" s="28">
        <v>10</v>
      </c>
      <c r="G12" s="28"/>
      <c r="H12" s="28">
        <v>10</v>
      </c>
      <c r="I12" s="28"/>
      <c r="J12" s="28">
        <v>10</v>
      </c>
      <c r="K12" s="28"/>
      <c r="L12" s="28">
        <v>10</v>
      </c>
      <c r="M12" s="28"/>
      <c r="N12" s="28"/>
      <c r="O12" s="28"/>
      <c r="P12" s="418">
        <f t="shared" si="0"/>
        <v>40</v>
      </c>
    </row>
    <row r="13" spans="1:16" ht="15.75" thickBot="1" x14ac:dyDescent="0.3">
      <c r="A13" s="248">
        <v>1000070</v>
      </c>
      <c r="B13" s="248" t="s">
        <v>13</v>
      </c>
      <c r="C13" s="41"/>
      <c r="D13" s="47">
        <v>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248">
        <v>1000017</v>
      </c>
      <c r="B14" s="248" t="s">
        <v>14</v>
      </c>
      <c r="C14" s="41"/>
      <c r="D14" s="47">
        <v>40</v>
      </c>
      <c r="F14" s="28">
        <v>10</v>
      </c>
      <c r="G14" s="28"/>
      <c r="H14" s="28">
        <v>5</v>
      </c>
      <c r="I14" s="28"/>
      <c r="J14" s="28">
        <v>10</v>
      </c>
      <c r="K14" s="28"/>
      <c r="L14" s="28">
        <v>10</v>
      </c>
      <c r="M14" s="28"/>
      <c r="N14" s="28"/>
      <c r="O14" s="28"/>
      <c r="P14" s="418">
        <f t="shared" si="0"/>
        <v>35</v>
      </c>
    </row>
    <row r="15" spans="1:16" ht="15.75" thickBot="1" x14ac:dyDescent="0.3">
      <c r="A15" s="248">
        <v>1000016</v>
      </c>
      <c r="B15" s="248" t="s">
        <v>15</v>
      </c>
      <c r="C15" s="41"/>
      <c r="D15" s="47">
        <v>5</v>
      </c>
      <c r="F15" s="28"/>
      <c r="G15" s="28"/>
      <c r="H15" s="28"/>
      <c r="I15" s="28"/>
      <c r="J15" s="28"/>
      <c r="K15" s="28"/>
      <c r="L15" s="28"/>
      <c r="M15" s="28"/>
      <c r="N15" s="28">
        <v>5</v>
      </c>
      <c r="O15" s="28"/>
      <c r="P15" s="418">
        <f t="shared" si="0"/>
        <v>5</v>
      </c>
    </row>
    <row r="16" spans="1:16" ht="15.75" thickBot="1" x14ac:dyDescent="0.3">
      <c r="A16" s="248">
        <v>1000050</v>
      </c>
      <c r="B16" s="248" t="s">
        <v>22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>
        <v>1</v>
      </c>
      <c r="O16" s="28"/>
      <c r="P16" s="418">
        <f t="shared" si="0"/>
        <v>1</v>
      </c>
    </row>
    <row r="17" spans="1:16" ht="15.75" thickBot="1" x14ac:dyDescent="0.3">
      <c r="A17" s="248">
        <v>1000045</v>
      </c>
      <c r="B17" s="248" t="s">
        <v>23</v>
      </c>
      <c r="C17" s="41"/>
      <c r="D17" s="47">
        <v>0</v>
      </c>
      <c r="F17" s="28">
        <v>2</v>
      </c>
      <c r="G17" s="28"/>
      <c r="H17" s="28"/>
      <c r="I17" s="28"/>
      <c r="J17" s="28"/>
      <c r="K17" s="28"/>
      <c r="L17" s="28"/>
      <c r="M17" s="28"/>
      <c r="N17" s="28"/>
      <c r="O17" s="28"/>
      <c r="P17" s="418">
        <f t="shared" si="0"/>
        <v>2</v>
      </c>
    </row>
    <row r="18" spans="1:16" ht="15.75" thickBot="1" x14ac:dyDescent="0.3">
      <c r="A18" s="248">
        <v>1000031</v>
      </c>
      <c r="B18" s="248" t="s">
        <v>25</v>
      </c>
      <c r="C18" s="41"/>
      <c r="D18" s="47">
        <v>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248">
        <v>1000025</v>
      </c>
      <c r="B19" s="248" t="s">
        <v>32</v>
      </c>
      <c r="C19" s="41"/>
      <c r="D19" s="47">
        <v>4</v>
      </c>
      <c r="F19" s="28">
        <v>5</v>
      </c>
      <c r="G19" s="28"/>
      <c r="H19" s="28"/>
      <c r="I19" s="28"/>
      <c r="J19" s="28"/>
      <c r="K19" s="28"/>
      <c r="L19" s="28"/>
      <c r="M19" s="28"/>
      <c r="N19" s="28">
        <v>5</v>
      </c>
      <c r="O19" s="28"/>
      <c r="P19" s="418">
        <f t="shared" si="0"/>
        <v>10</v>
      </c>
    </row>
    <row r="20" spans="1:16" ht="15.75" thickBot="1" x14ac:dyDescent="0.3">
      <c r="A20" s="248">
        <v>1000101</v>
      </c>
      <c r="B20" s="248" t="s">
        <v>35</v>
      </c>
      <c r="C20" s="41"/>
      <c r="D20" s="47"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248">
        <v>1000084</v>
      </c>
      <c r="B21" s="248" t="s">
        <v>38</v>
      </c>
      <c r="C21" s="41"/>
      <c r="D21" s="47">
        <v>15</v>
      </c>
      <c r="F21" s="28">
        <v>16</v>
      </c>
      <c r="G21" s="28"/>
      <c r="H21" s="28">
        <v>16</v>
      </c>
      <c r="I21" s="28"/>
      <c r="J21" s="28">
        <v>16</v>
      </c>
      <c r="K21" s="28"/>
      <c r="L21" s="28">
        <v>16</v>
      </c>
      <c r="M21" s="28"/>
      <c r="N21" s="28">
        <v>16</v>
      </c>
      <c r="O21" s="28"/>
      <c r="P21" s="418">
        <f t="shared" si="0"/>
        <v>80</v>
      </c>
    </row>
    <row r="22" spans="1:16" ht="15.75" thickBot="1" x14ac:dyDescent="0.3">
      <c r="A22" s="248">
        <v>1000146</v>
      </c>
      <c r="B22" s="248" t="s">
        <v>39</v>
      </c>
      <c r="C22" s="41"/>
      <c r="D22" s="47">
        <v>8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248">
        <v>10248</v>
      </c>
      <c r="B23" s="248" t="s">
        <v>183</v>
      </c>
      <c r="C23" s="41"/>
      <c r="D23" s="47">
        <v>0</v>
      </c>
      <c r="F23" s="28"/>
      <c r="G23" s="28"/>
      <c r="H23" s="28">
        <v>6</v>
      </c>
      <c r="I23" s="28"/>
      <c r="J23" s="28"/>
      <c r="K23" s="28"/>
      <c r="L23" s="28">
        <v>6</v>
      </c>
      <c r="M23" s="28"/>
      <c r="N23" s="28">
        <v>6</v>
      </c>
      <c r="O23" s="28"/>
      <c r="P23" s="418">
        <f t="shared" si="0"/>
        <v>18</v>
      </c>
    </row>
    <row r="24" spans="1:16" ht="15.75" thickBot="1" x14ac:dyDescent="0.3">
      <c r="A24" s="248">
        <v>1000052</v>
      </c>
      <c r="B24" s="248" t="s">
        <v>41</v>
      </c>
      <c r="C24" s="41"/>
      <c r="D24" s="47">
        <v>2</v>
      </c>
      <c r="F24" s="28">
        <v>1</v>
      </c>
      <c r="G24" s="28"/>
      <c r="H24" s="28">
        <v>1</v>
      </c>
      <c r="I24" s="28"/>
      <c r="J24" s="28"/>
      <c r="K24" s="28"/>
      <c r="L24" s="28">
        <v>1</v>
      </c>
      <c r="M24" s="28"/>
      <c r="N24" s="28">
        <v>1</v>
      </c>
      <c r="O24" s="28"/>
      <c r="P24" s="418">
        <f t="shared" si="0"/>
        <v>4</v>
      </c>
    </row>
    <row r="25" spans="1:16" ht="15.75" thickBot="1" x14ac:dyDescent="0.3">
      <c r="A25" s="248">
        <v>1000089</v>
      </c>
      <c r="B25" s="248" t="s">
        <v>42</v>
      </c>
      <c r="C25" s="41"/>
      <c r="D25" s="47">
        <v>2</v>
      </c>
      <c r="F25" s="28"/>
      <c r="G25" s="28"/>
      <c r="H25" s="28">
        <v>1</v>
      </c>
      <c r="I25" s="28"/>
      <c r="J25" s="28">
        <v>2</v>
      </c>
      <c r="K25" s="28"/>
      <c r="L25" s="28">
        <v>1</v>
      </c>
      <c r="M25" s="28"/>
      <c r="N25" s="28">
        <v>1</v>
      </c>
      <c r="O25" s="28"/>
      <c r="P25" s="418">
        <f t="shared" si="0"/>
        <v>5</v>
      </c>
    </row>
    <row r="26" spans="1:16" ht="15.75" thickBot="1" x14ac:dyDescent="0.3">
      <c r="A26" s="248">
        <v>1000051</v>
      </c>
      <c r="B26" s="248" t="s">
        <v>43</v>
      </c>
      <c r="C26" s="41"/>
      <c r="D26" s="47">
        <v>1</v>
      </c>
      <c r="F26" s="28"/>
      <c r="G26" s="28"/>
      <c r="H26" s="28"/>
      <c r="I26" s="28"/>
      <c r="J26" s="28">
        <v>1</v>
      </c>
      <c r="K26" s="28"/>
      <c r="L26" s="28">
        <v>1</v>
      </c>
      <c r="M26" s="28"/>
      <c r="N26" s="28">
        <v>1</v>
      </c>
      <c r="O26" s="28"/>
      <c r="P26" s="418">
        <f>SUM(F26:O26)</f>
        <v>3</v>
      </c>
    </row>
    <row r="27" spans="1:16" ht="15.75" thickBot="1" x14ac:dyDescent="0.3">
      <c r="A27" s="248">
        <v>1000048</v>
      </c>
      <c r="B27" s="248" t="s">
        <v>45</v>
      </c>
      <c r="C27" s="41"/>
      <c r="D27" s="47">
        <v>0</v>
      </c>
      <c r="F27" s="28"/>
      <c r="G27" s="28"/>
      <c r="H27" s="28"/>
      <c r="I27" s="28"/>
      <c r="J27" s="651" t="s">
        <v>469</v>
      </c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248">
        <v>1000085</v>
      </c>
      <c r="B28" s="248" t="s">
        <v>50</v>
      </c>
      <c r="C28" s="41"/>
      <c r="D28" s="47">
        <v>0</v>
      </c>
      <c r="E28" s="15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248">
        <v>1000142</v>
      </c>
      <c r="B29" s="248" t="s">
        <v>54</v>
      </c>
      <c r="C29" s="41"/>
      <c r="D29" s="45">
        <v>2</v>
      </c>
      <c r="F29" s="28"/>
      <c r="G29" s="28"/>
      <c r="H29" s="28">
        <v>1</v>
      </c>
      <c r="I29" s="28"/>
      <c r="J29" s="28"/>
      <c r="K29" s="28"/>
      <c r="L29" s="28"/>
      <c r="M29" s="28"/>
      <c r="N29" s="28"/>
      <c r="O29" s="28"/>
      <c r="P29" s="418">
        <f t="shared" si="0"/>
        <v>1</v>
      </c>
    </row>
    <row r="30" spans="1:16" ht="15.75" thickBot="1" x14ac:dyDescent="0.3">
      <c r="A30" s="248">
        <v>10212</v>
      </c>
      <c r="B30" s="248" t="s">
        <v>6</v>
      </c>
      <c r="C30" s="41"/>
      <c r="D30" s="45">
        <v>250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s="15" customFormat="1" ht="15.95" customHeight="1" thickBot="1" x14ac:dyDescent="0.3">
      <c r="A31" s="248">
        <v>10000102</v>
      </c>
      <c r="B31" s="248" t="s">
        <v>2</v>
      </c>
      <c r="C31" s="41"/>
      <c r="D31" s="45">
        <v>0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248">
        <v>1000090</v>
      </c>
      <c r="B32" s="248" t="s">
        <v>40</v>
      </c>
      <c r="C32" s="41"/>
      <c r="D32" s="45">
        <v>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248">
        <v>1000082</v>
      </c>
      <c r="B33" s="248" t="s">
        <v>37</v>
      </c>
      <c r="C33" s="41"/>
      <c r="D33" s="45">
        <v>60</v>
      </c>
      <c r="F33" s="28">
        <v>16</v>
      </c>
      <c r="G33" s="28"/>
      <c r="H33" s="28">
        <v>16</v>
      </c>
      <c r="I33" s="28"/>
      <c r="J33" s="28">
        <v>8</v>
      </c>
      <c r="K33" s="28"/>
      <c r="L33" s="28">
        <v>16</v>
      </c>
      <c r="M33" s="28"/>
      <c r="N33" s="28">
        <v>16</v>
      </c>
      <c r="O33" s="28"/>
      <c r="P33" s="418">
        <f t="shared" si="0"/>
        <v>72</v>
      </c>
    </row>
    <row r="34" spans="1:16" ht="15.75" thickBot="1" x14ac:dyDescent="0.3">
      <c r="A34" s="248">
        <v>10211</v>
      </c>
      <c r="B34" s="248" t="s">
        <v>3</v>
      </c>
      <c r="C34" s="41"/>
      <c r="D34" s="45">
        <v>100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248">
        <v>1000004</v>
      </c>
      <c r="B35" s="248" t="s">
        <v>10</v>
      </c>
      <c r="C35" s="41"/>
      <c r="D35" s="45"/>
      <c r="F35" s="28">
        <v>1</v>
      </c>
      <c r="G35" s="28"/>
      <c r="H35" s="28"/>
      <c r="I35" s="28"/>
      <c r="J35" s="28"/>
      <c r="K35" s="28"/>
      <c r="L35" s="28"/>
      <c r="M35" s="28"/>
      <c r="N35" s="28"/>
      <c r="O35" s="28"/>
      <c r="P35" s="418">
        <f t="shared" si="0"/>
        <v>1</v>
      </c>
    </row>
    <row r="36" spans="1:16" ht="15.75" thickBot="1" x14ac:dyDescent="0.3">
      <c r="A36" s="248">
        <v>1000034</v>
      </c>
      <c r="B36" s="248" t="s">
        <v>28</v>
      </c>
      <c r="C36" s="41"/>
      <c r="D36" s="45"/>
      <c r="F36" s="28">
        <v>1</v>
      </c>
      <c r="G36" s="28"/>
      <c r="H36" s="28"/>
      <c r="I36" s="28"/>
      <c r="J36" s="28">
        <v>1</v>
      </c>
      <c r="K36" s="28"/>
      <c r="L36" s="28"/>
      <c r="M36" s="28"/>
      <c r="N36" s="28"/>
      <c r="O36" s="28"/>
      <c r="P36" s="418">
        <f t="shared" si="0"/>
        <v>2</v>
      </c>
    </row>
    <row r="37" spans="1:16" ht="15.75" thickBot="1" x14ac:dyDescent="0.3">
      <c r="A37" s="248">
        <v>1000049</v>
      </c>
      <c r="B37" s="248" t="s">
        <v>21</v>
      </c>
      <c r="C37" s="215"/>
      <c r="D37" s="35"/>
      <c r="E37" s="215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248">
        <v>1000033</v>
      </c>
      <c r="B38" s="248" t="s">
        <v>27</v>
      </c>
      <c r="C38" s="215"/>
      <c r="D38" s="35"/>
      <c r="E38" s="215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248">
        <v>1000075</v>
      </c>
      <c r="B39" s="248" t="s">
        <v>47</v>
      </c>
      <c r="C39" s="215"/>
      <c r="D39" s="35"/>
      <c r="E39" s="215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248">
        <v>1000073</v>
      </c>
      <c r="B40" s="248" t="s">
        <v>36</v>
      </c>
      <c r="C40" s="110"/>
      <c r="D40" s="44"/>
      <c r="E40" s="110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248">
        <v>1000076</v>
      </c>
      <c r="B41" s="248" t="s">
        <v>46</v>
      </c>
      <c r="C41" s="110"/>
      <c r="D41" s="44"/>
      <c r="E41" s="110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248">
        <v>1000466</v>
      </c>
      <c r="B42" s="248" t="s">
        <v>213</v>
      </c>
      <c r="C42" s="110"/>
      <c r="D42" s="44"/>
      <c r="E42" s="110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248">
        <v>1000029</v>
      </c>
      <c r="B43" s="248" t="s">
        <v>30</v>
      </c>
      <c r="C43" s="110"/>
      <c r="D43" s="44"/>
      <c r="E43" s="110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248">
        <v>1000100</v>
      </c>
      <c r="B44" s="248" t="s">
        <v>34</v>
      </c>
      <c r="C44" s="110"/>
      <c r="D44" s="44"/>
      <c r="E44" s="110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242">
        <v>1000080</v>
      </c>
      <c r="B45" s="248" t="s">
        <v>275</v>
      </c>
      <c r="C45" s="110"/>
      <c r="D45" s="44"/>
      <c r="E45" s="110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242">
        <v>1000436</v>
      </c>
      <c r="B46" s="248" t="s">
        <v>276</v>
      </c>
      <c r="C46" s="110"/>
      <c r="D46" s="44"/>
      <c r="E46" s="110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242">
        <v>1000550</v>
      </c>
      <c r="B47" s="248" t="s">
        <v>277</v>
      </c>
      <c r="C47" s="110"/>
      <c r="D47" s="44"/>
      <c r="E47" s="110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242">
        <v>1000551</v>
      </c>
      <c r="B48" s="248" t="s">
        <v>278</v>
      </c>
      <c r="C48" s="110"/>
      <c r="D48" s="44"/>
      <c r="E48" s="110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s="200" customFormat="1" ht="15.75" thickBot="1" x14ac:dyDescent="0.3">
      <c r="A49" s="38">
        <v>1000552</v>
      </c>
      <c r="B49" s="17" t="s">
        <v>279</v>
      </c>
      <c r="C49" s="41"/>
      <c r="D49" s="46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62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A45B-10A5-4E51-8FD0-6AD7341D1526}">
  <sheetPr>
    <tabColor rgb="FFFFFF00"/>
    <pageSetUpPr fitToPage="1"/>
  </sheetPr>
  <dimension ref="A1:P50"/>
  <sheetViews>
    <sheetView zoomScale="75" zoomScaleNormal="75" workbookViewId="0">
      <selection activeCell="S48" sqref="S48"/>
    </sheetView>
  </sheetViews>
  <sheetFormatPr baseColWidth="10" defaultColWidth="10.875" defaultRowHeight="15" x14ac:dyDescent="0.25"/>
  <cols>
    <col min="1" max="1" width="9.625" style="223" customWidth="1"/>
    <col min="2" max="2" width="31.375" style="223" customWidth="1"/>
    <col min="3" max="3" width="0.625" style="223" hidden="1" customWidth="1"/>
    <col min="4" max="4" width="8.625" style="223" customWidth="1"/>
    <col min="5" max="5" width="0.875" style="223" customWidth="1"/>
    <col min="6" max="6" width="8.25" style="223" customWidth="1"/>
    <col min="7" max="7" width="5.5" style="223" customWidth="1"/>
    <col min="8" max="8" width="8.25" style="223" customWidth="1"/>
    <col min="9" max="9" width="6.125" style="223" customWidth="1"/>
    <col min="10" max="10" width="8.625" style="223" customWidth="1"/>
    <col min="11" max="11" width="6.25" style="223" customWidth="1"/>
    <col min="12" max="12" width="8.375" style="223" customWidth="1"/>
    <col min="13" max="13" width="6.625" style="223" customWidth="1"/>
    <col min="14" max="14" width="8.25" style="223" customWidth="1"/>
    <col min="15" max="15" width="6.25" style="223" customWidth="1"/>
    <col min="16" max="16" width="9.75" style="223" customWidth="1"/>
    <col min="17" max="16384" width="10.875" style="223"/>
  </cols>
  <sheetData>
    <row r="1" spans="1:16" ht="15" customHeight="1" x14ac:dyDescent="0.45">
      <c r="A1" s="686" t="s">
        <v>262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28" t="s">
        <v>399</v>
      </c>
      <c r="F2" s="754"/>
      <c r="G2" s="755"/>
      <c r="H2" s="755"/>
      <c r="I2" s="755"/>
      <c r="J2" s="756"/>
      <c r="K2" s="2"/>
    </row>
    <row r="3" spans="1:16" s="3" customFormat="1" ht="21.75" customHeight="1" thickBot="1" x14ac:dyDescent="0.3">
      <c r="A3" s="5"/>
      <c r="B3" s="5" t="s">
        <v>406</v>
      </c>
      <c r="C3" s="18"/>
      <c r="D3" s="4"/>
    </row>
    <row r="4" spans="1:16" s="3" customFormat="1" ht="16.5" thickBot="1" x14ac:dyDescent="0.3">
      <c r="A4" s="52" t="s">
        <v>0</v>
      </c>
      <c r="B4" s="6" t="s">
        <v>105</v>
      </c>
      <c r="C4" s="4"/>
      <c r="D4" s="7" t="s">
        <v>106</v>
      </c>
      <c r="E4" s="223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7" t="s">
        <v>98</v>
      </c>
    </row>
    <row r="5" spans="1:16" s="3" customFormat="1" ht="16.5" thickBot="1" x14ac:dyDescent="0.3">
      <c r="A5" s="224">
        <v>10000015</v>
      </c>
      <c r="B5" s="53" t="s">
        <v>1</v>
      </c>
      <c r="C5" s="49"/>
      <c r="D5" s="54"/>
      <c r="F5" s="225"/>
      <c r="G5" s="225"/>
      <c r="H5" s="225">
        <v>5</v>
      </c>
      <c r="I5" s="225"/>
      <c r="J5" s="225"/>
      <c r="K5" s="225"/>
      <c r="L5" s="225"/>
      <c r="M5" s="225"/>
      <c r="N5" s="225"/>
      <c r="O5" s="225"/>
      <c r="P5" s="443">
        <f t="shared" ref="P5:P49" si="0">SUM(F5:O5)</f>
        <v>5</v>
      </c>
    </row>
    <row r="6" spans="1:16" ht="15.95" customHeight="1" thickBot="1" x14ac:dyDescent="0.3">
      <c r="A6" s="226">
        <v>1000006</v>
      </c>
      <c r="B6" s="55" t="s">
        <v>4</v>
      </c>
      <c r="C6" s="49"/>
      <c r="D6" s="56"/>
      <c r="F6" s="225"/>
      <c r="G6" s="225"/>
      <c r="H6" s="225">
        <v>50</v>
      </c>
      <c r="I6" s="225"/>
      <c r="J6" s="225">
        <v>50</v>
      </c>
      <c r="K6" s="225"/>
      <c r="L6" s="225"/>
      <c r="M6" s="225"/>
      <c r="N6" s="225"/>
      <c r="O6" s="225"/>
      <c r="P6" s="443">
        <f t="shared" si="0"/>
        <v>100</v>
      </c>
    </row>
    <row r="7" spans="1:16" ht="15.75" thickBot="1" x14ac:dyDescent="0.3">
      <c r="A7" s="226">
        <v>1000007</v>
      </c>
      <c r="B7" s="55" t="s">
        <v>5</v>
      </c>
      <c r="C7" s="49"/>
      <c r="D7" s="56"/>
      <c r="F7" s="225"/>
      <c r="G7" s="225"/>
      <c r="H7" s="225">
        <v>50</v>
      </c>
      <c r="I7" s="225"/>
      <c r="J7" s="225">
        <v>50</v>
      </c>
      <c r="K7" s="225"/>
      <c r="L7" s="225"/>
      <c r="M7" s="225"/>
      <c r="N7" s="225"/>
      <c r="O7" s="225"/>
      <c r="P7" s="443">
        <f t="shared" si="0"/>
        <v>100</v>
      </c>
    </row>
    <row r="8" spans="1:16" ht="15.75" thickBot="1" x14ac:dyDescent="0.3">
      <c r="A8" s="226">
        <v>1000008</v>
      </c>
      <c r="B8" s="55" t="s">
        <v>7</v>
      </c>
      <c r="C8" s="49"/>
      <c r="D8" s="56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444">
        <f t="shared" si="0"/>
        <v>0</v>
      </c>
    </row>
    <row r="9" spans="1:16" ht="15.75" thickBot="1" x14ac:dyDescent="0.3">
      <c r="A9" s="226">
        <v>1000001</v>
      </c>
      <c r="B9" s="55" t="s">
        <v>8</v>
      </c>
      <c r="C9" s="49"/>
      <c r="D9" s="56"/>
      <c r="F9" s="225"/>
      <c r="G9" s="225"/>
      <c r="H9" s="225">
        <v>2</v>
      </c>
      <c r="I9" s="225"/>
      <c r="J9" s="225">
        <v>2</v>
      </c>
      <c r="K9" s="225"/>
      <c r="L9" s="225"/>
      <c r="M9" s="225"/>
      <c r="N9" s="225"/>
      <c r="O9" s="225"/>
      <c r="P9" s="443">
        <f t="shared" si="0"/>
        <v>4</v>
      </c>
    </row>
    <row r="10" spans="1:16" ht="15.75" thickBot="1" x14ac:dyDescent="0.3">
      <c r="A10" s="226">
        <v>1000054</v>
      </c>
      <c r="B10" s="55" t="s">
        <v>12</v>
      </c>
      <c r="C10" s="49"/>
      <c r="D10" s="56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444">
        <f t="shared" si="0"/>
        <v>0</v>
      </c>
    </row>
    <row r="11" spans="1:16" ht="15.75" thickBot="1" x14ac:dyDescent="0.3">
      <c r="A11" s="226">
        <v>1000017</v>
      </c>
      <c r="B11" s="55" t="s">
        <v>14</v>
      </c>
      <c r="C11" s="49"/>
      <c r="D11" s="56"/>
      <c r="F11" s="225">
        <v>5</v>
      </c>
      <c r="G11" s="225"/>
      <c r="H11" s="225">
        <v>5</v>
      </c>
      <c r="I11" s="225"/>
      <c r="J11" s="225">
        <v>5</v>
      </c>
      <c r="K11" s="225"/>
      <c r="L11" s="225"/>
      <c r="M11" s="225"/>
      <c r="N11" s="225"/>
      <c r="O11" s="225"/>
      <c r="P11" s="443">
        <f t="shared" si="0"/>
        <v>15</v>
      </c>
    </row>
    <row r="12" spans="1:16" ht="15.75" thickBot="1" x14ac:dyDescent="0.3">
      <c r="A12" s="226">
        <v>1000016</v>
      </c>
      <c r="B12" s="55" t="s">
        <v>15</v>
      </c>
      <c r="C12" s="49"/>
      <c r="D12" s="56"/>
      <c r="F12" s="225"/>
      <c r="G12" s="225"/>
      <c r="H12" s="225">
        <v>5</v>
      </c>
      <c r="I12" s="225"/>
      <c r="J12" s="225"/>
      <c r="K12" s="225"/>
      <c r="L12" s="225"/>
      <c r="M12" s="225"/>
      <c r="N12" s="225"/>
      <c r="O12" s="225"/>
      <c r="P12" s="443">
        <f t="shared" si="0"/>
        <v>5</v>
      </c>
    </row>
    <row r="13" spans="1:16" ht="15.75" thickBot="1" x14ac:dyDescent="0.3">
      <c r="A13" s="226">
        <v>1000101</v>
      </c>
      <c r="B13" s="55" t="s">
        <v>35</v>
      </c>
      <c r="C13" s="49"/>
      <c r="D13" s="56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444">
        <f t="shared" si="0"/>
        <v>0</v>
      </c>
    </row>
    <row r="14" spans="1:16" ht="15.75" thickBot="1" x14ac:dyDescent="0.3">
      <c r="A14" s="226">
        <v>1000052</v>
      </c>
      <c r="B14" s="55" t="s">
        <v>41</v>
      </c>
      <c r="C14" s="49"/>
      <c r="D14" s="56"/>
      <c r="F14" s="225"/>
      <c r="G14" s="225"/>
      <c r="H14" s="225">
        <v>2</v>
      </c>
      <c r="I14" s="225"/>
      <c r="J14" s="225">
        <v>2</v>
      </c>
      <c r="K14" s="225"/>
      <c r="L14" s="225"/>
      <c r="M14" s="225"/>
      <c r="N14" s="225"/>
      <c r="O14" s="225"/>
      <c r="P14" s="443">
        <f t="shared" si="0"/>
        <v>4</v>
      </c>
    </row>
    <row r="15" spans="1:16" ht="15.75" thickBot="1" x14ac:dyDescent="0.3">
      <c r="A15" s="226">
        <v>1000089</v>
      </c>
      <c r="B15" s="55" t="s">
        <v>42</v>
      </c>
      <c r="C15" s="49"/>
      <c r="D15" s="56"/>
      <c r="F15" s="225"/>
      <c r="G15" s="225"/>
      <c r="H15" s="225">
        <v>2</v>
      </c>
      <c r="I15" s="225"/>
      <c r="J15" s="225">
        <v>2</v>
      </c>
      <c r="K15" s="225"/>
      <c r="L15" s="225"/>
      <c r="M15" s="225"/>
      <c r="N15" s="225"/>
      <c r="O15" s="225"/>
      <c r="P15" s="443">
        <f t="shared" si="0"/>
        <v>4</v>
      </c>
    </row>
    <row r="16" spans="1:16" ht="15.75" thickBot="1" x14ac:dyDescent="0.3">
      <c r="A16" s="226">
        <v>1000076</v>
      </c>
      <c r="B16" s="55" t="s">
        <v>46</v>
      </c>
      <c r="C16" s="49"/>
      <c r="D16" s="56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444">
        <f t="shared" si="0"/>
        <v>0</v>
      </c>
    </row>
    <row r="17" spans="1:16" ht="15.75" thickBot="1" x14ac:dyDescent="0.3">
      <c r="A17" s="226">
        <v>1000214</v>
      </c>
      <c r="B17" s="55" t="s">
        <v>49</v>
      </c>
      <c r="C17" s="49"/>
      <c r="D17" s="56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444">
        <f t="shared" si="0"/>
        <v>0</v>
      </c>
    </row>
    <row r="18" spans="1:16" ht="15.75" thickBot="1" x14ac:dyDescent="0.3">
      <c r="A18" s="226">
        <v>1000051</v>
      </c>
      <c r="B18" s="55" t="s">
        <v>43</v>
      </c>
      <c r="C18" s="49"/>
      <c r="D18" s="56"/>
      <c r="F18" s="225"/>
      <c r="G18" s="225"/>
      <c r="H18" s="225">
        <v>1</v>
      </c>
      <c r="I18" s="225"/>
      <c r="J18" s="225">
        <v>1</v>
      </c>
      <c r="K18" s="225"/>
      <c r="L18" s="225"/>
      <c r="M18" s="225"/>
      <c r="N18" s="225"/>
      <c r="O18" s="225"/>
      <c r="P18" s="443">
        <f t="shared" si="0"/>
        <v>2</v>
      </c>
    </row>
    <row r="19" spans="1:16" ht="15.75" thickBot="1" x14ac:dyDescent="0.3">
      <c r="A19" s="226">
        <v>10000102</v>
      </c>
      <c r="B19" s="55" t="s">
        <v>2</v>
      </c>
      <c r="C19" s="49"/>
      <c r="D19" s="56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444">
        <f t="shared" si="0"/>
        <v>0</v>
      </c>
    </row>
    <row r="20" spans="1:16" s="15" customFormat="1" ht="15.95" customHeight="1" thickBot="1" x14ac:dyDescent="0.3">
      <c r="A20" s="226">
        <v>1000002</v>
      </c>
      <c r="B20" s="55" t="s">
        <v>9</v>
      </c>
      <c r="C20" s="49"/>
      <c r="D20" s="56"/>
      <c r="E20" s="223"/>
      <c r="F20" s="225"/>
      <c r="G20" s="225"/>
      <c r="H20" s="225"/>
      <c r="I20" s="225"/>
      <c r="J20" s="225">
        <v>1</v>
      </c>
      <c r="K20" s="225"/>
      <c r="L20" s="225"/>
      <c r="M20" s="225"/>
      <c r="N20" s="225"/>
      <c r="O20" s="225"/>
      <c r="P20" s="443">
        <f t="shared" si="0"/>
        <v>1</v>
      </c>
    </row>
    <row r="21" spans="1:16" ht="15.75" thickBot="1" x14ac:dyDescent="0.3">
      <c r="A21" s="226">
        <v>10211</v>
      </c>
      <c r="B21" s="55" t="s">
        <v>3</v>
      </c>
      <c r="C21" s="49"/>
      <c r="D21" s="56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444">
        <f t="shared" si="0"/>
        <v>0</v>
      </c>
    </row>
    <row r="22" spans="1:16" ht="15.75" thickBot="1" x14ac:dyDescent="0.3">
      <c r="A22" s="226">
        <v>1000027</v>
      </c>
      <c r="B22" s="55" t="s">
        <v>33</v>
      </c>
      <c r="C22" s="49"/>
      <c r="D22" s="56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444">
        <f t="shared" si="0"/>
        <v>0</v>
      </c>
    </row>
    <row r="23" spans="1:16" ht="15.75" thickBot="1" x14ac:dyDescent="0.3">
      <c r="A23" s="226">
        <v>1000048</v>
      </c>
      <c r="B23" s="55" t="s">
        <v>45</v>
      </c>
      <c r="C23" s="49"/>
      <c r="D23" s="56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444">
        <f t="shared" si="0"/>
        <v>0</v>
      </c>
    </row>
    <row r="24" spans="1:16" ht="15.75" thickBot="1" x14ac:dyDescent="0.3">
      <c r="A24" s="226">
        <v>1000100</v>
      </c>
      <c r="B24" s="55" t="s">
        <v>34</v>
      </c>
      <c r="C24" s="49"/>
      <c r="D24" s="56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444">
        <f t="shared" si="0"/>
        <v>0</v>
      </c>
    </row>
    <row r="25" spans="1:16" ht="15.75" thickBot="1" x14ac:dyDescent="0.3">
      <c r="A25" s="226">
        <v>1000029</v>
      </c>
      <c r="B25" s="55" t="s">
        <v>30</v>
      </c>
      <c r="C25" s="49"/>
      <c r="D25" s="56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444">
        <f t="shared" si="0"/>
        <v>0</v>
      </c>
    </row>
    <row r="26" spans="1:16" ht="15.75" thickBot="1" x14ac:dyDescent="0.3">
      <c r="A26" s="226">
        <v>1000049</v>
      </c>
      <c r="B26" s="55" t="s">
        <v>21</v>
      </c>
      <c r="C26" s="49"/>
      <c r="D26" s="56"/>
      <c r="F26" s="225">
        <v>2</v>
      </c>
      <c r="G26" s="225"/>
      <c r="H26" s="225"/>
      <c r="I26" s="225"/>
      <c r="J26" s="225">
        <v>2</v>
      </c>
      <c r="K26" s="225"/>
      <c r="L26" s="225"/>
      <c r="M26" s="225"/>
      <c r="N26" s="225"/>
      <c r="O26" s="225"/>
      <c r="P26" s="443">
        <f t="shared" si="0"/>
        <v>4</v>
      </c>
    </row>
    <row r="27" spans="1:16" ht="15.75" thickBot="1" x14ac:dyDescent="0.3">
      <c r="A27" s="226">
        <v>1000050</v>
      </c>
      <c r="B27" s="55" t="s">
        <v>22</v>
      </c>
      <c r="C27" s="49"/>
      <c r="D27" s="56"/>
      <c r="F27" s="225">
        <v>2</v>
      </c>
      <c r="G27" s="225"/>
      <c r="H27" s="225"/>
      <c r="I27" s="225"/>
      <c r="J27" s="225">
        <v>2</v>
      </c>
      <c r="K27" s="225"/>
      <c r="L27" s="225"/>
      <c r="M27" s="225"/>
      <c r="N27" s="225"/>
      <c r="O27" s="225"/>
      <c r="P27" s="443">
        <f t="shared" si="0"/>
        <v>4</v>
      </c>
    </row>
    <row r="28" spans="1:16" ht="15.75" thickBot="1" x14ac:dyDescent="0.3">
      <c r="A28" s="226">
        <v>1000070</v>
      </c>
      <c r="B28" s="55" t="s">
        <v>13</v>
      </c>
      <c r="C28" s="49"/>
      <c r="D28" s="56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444">
        <f t="shared" si="0"/>
        <v>0</v>
      </c>
    </row>
    <row r="29" spans="1:16" ht="15.75" thickBot="1" x14ac:dyDescent="0.3">
      <c r="A29" s="226">
        <v>1000073</v>
      </c>
      <c r="B29" s="55" t="s">
        <v>36</v>
      </c>
      <c r="C29" s="49"/>
      <c r="D29" s="56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444">
        <f t="shared" si="0"/>
        <v>0</v>
      </c>
    </row>
    <row r="30" spans="1:16" ht="15.75" thickBot="1" x14ac:dyDescent="0.3">
      <c r="A30" s="226">
        <v>1000067</v>
      </c>
      <c r="B30" s="55" t="s">
        <v>11</v>
      </c>
      <c r="C30" s="49"/>
      <c r="D30" s="56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444">
        <f t="shared" si="0"/>
        <v>0</v>
      </c>
    </row>
    <row r="31" spans="1:16" ht="15.75" thickBot="1" x14ac:dyDescent="0.3">
      <c r="A31" s="226">
        <v>1000092</v>
      </c>
      <c r="B31" s="55" t="s">
        <v>51</v>
      </c>
      <c r="C31" s="49"/>
      <c r="D31" s="56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444">
        <f t="shared" si="0"/>
        <v>0</v>
      </c>
    </row>
    <row r="32" spans="1:16" ht="15.75" thickBot="1" x14ac:dyDescent="0.3">
      <c r="A32" s="226">
        <v>1000045</v>
      </c>
      <c r="B32" s="55" t="s">
        <v>23</v>
      </c>
      <c r="C32" s="49"/>
      <c r="D32" s="56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444">
        <f t="shared" si="0"/>
        <v>0</v>
      </c>
    </row>
    <row r="33" spans="1:16" ht="15.75" thickBot="1" x14ac:dyDescent="0.3">
      <c r="A33" s="226">
        <v>1000004</v>
      </c>
      <c r="B33" s="55" t="s">
        <v>10</v>
      </c>
      <c r="C33" s="49"/>
      <c r="D33" s="56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444">
        <f t="shared" si="0"/>
        <v>0</v>
      </c>
    </row>
    <row r="34" spans="1:16" ht="15.75" thickBot="1" x14ac:dyDescent="0.3">
      <c r="A34" s="226">
        <v>1000486</v>
      </c>
      <c r="B34" s="55" t="s">
        <v>263</v>
      </c>
      <c r="C34" s="49"/>
      <c r="D34" s="56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444">
        <f t="shared" si="0"/>
        <v>0</v>
      </c>
    </row>
    <row r="35" spans="1:16" ht="15.75" thickBot="1" x14ac:dyDescent="0.3">
      <c r="A35" s="226">
        <v>10248</v>
      </c>
      <c r="B35" s="55" t="s">
        <v>183</v>
      </c>
      <c r="C35" s="49"/>
      <c r="D35" s="56"/>
      <c r="F35" s="225">
        <v>3</v>
      </c>
      <c r="G35" s="225"/>
      <c r="H35" s="225"/>
      <c r="I35" s="225"/>
      <c r="J35" s="225">
        <v>3</v>
      </c>
      <c r="K35" s="225"/>
      <c r="L35" s="225"/>
      <c r="M35" s="225"/>
      <c r="N35" s="225"/>
      <c r="O35" s="225"/>
      <c r="P35" s="443">
        <f t="shared" si="0"/>
        <v>6</v>
      </c>
    </row>
    <row r="36" spans="1:16" ht="15.75" thickBot="1" x14ac:dyDescent="0.3">
      <c r="A36" s="226">
        <v>1000090</v>
      </c>
      <c r="B36" s="55" t="s">
        <v>40</v>
      </c>
      <c r="C36" s="49"/>
      <c r="D36" s="56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444">
        <f t="shared" si="0"/>
        <v>0</v>
      </c>
    </row>
    <row r="37" spans="1:16" ht="15.75" thickBot="1" x14ac:dyDescent="0.3">
      <c r="A37" s="226">
        <v>1000025</v>
      </c>
      <c r="B37" s="55" t="s">
        <v>32</v>
      </c>
      <c r="C37" s="49"/>
      <c r="D37" s="56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444">
        <f t="shared" si="0"/>
        <v>0</v>
      </c>
    </row>
    <row r="38" spans="1:16" ht="15.75" thickBot="1" x14ac:dyDescent="0.3">
      <c r="A38" s="226">
        <v>1000147</v>
      </c>
      <c r="B38" s="55" t="s">
        <v>52</v>
      </c>
      <c r="C38" s="49"/>
      <c r="D38" s="56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444">
        <f t="shared" si="0"/>
        <v>0</v>
      </c>
    </row>
    <row r="39" spans="1:16" ht="15.75" thickBot="1" x14ac:dyDescent="0.3">
      <c r="A39" s="226">
        <v>1000034</v>
      </c>
      <c r="B39" s="55" t="s">
        <v>28</v>
      </c>
      <c r="C39" s="49"/>
      <c r="D39" s="56"/>
      <c r="F39" s="225">
        <v>1</v>
      </c>
      <c r="G39" s="225"/>
      <c r="H39" s="225"/>
      <c r="I39" s="225"/>
      <c r="J39" s="225"/>
      <c r="K39" s="225"/>
      <c r="L39" s="225"/>
      <c r="M39" s="225"/>
      <c r="N39" s="225"/>
      <c r="O39" s="225"/>
      <c r="P39" s="443">
        <f t="shared" si="0"/>
        <v>1</v>
      </c>
    </row>
    <row r="40" spans="1:16" ht="15.75" thickBot="1" x14ac:dyDescent="0.3">
      <c r="A40" s="226">
        <v>1000383</v>
      </c>
      <c r="B40" s="55" t="s">
        <v>264</v>
      </c>
      <c r="C40" s="49"/>
      <c r="D40" s="56"/>
      <c r="F40" s="225"/>
      <c r="G40" s="225"/>
      <c r="H40" s="225">
        <v>48</v>
      </c>
      <c r="I40" s="225"/>
      <c r="J40" s="225">
        <v>48</v>
      </c>
      <c r="K40" s="225"/>
      <c r="L40" s="225"/>
      <c r="M40" s="225"/>
      <c r="N40" s="225"/>
      <c r="O40" s="225"/>
      <c r="P40" s="443">
        <f t="shared" si="0"/>
        <v>96</v>
      </c>
    </row>
    <row r="41" spans="1:16" ht="15.75" thickBot="1" x14ac:dyDescent="0.3">
      <c r="A41" s="226">
        <v>1000084</v>
      </c>
      <c r="B41" s="55" t="s">
        <v>194</v>
      </c>
      <c r="C41" s="49"/>
      <c r="D41" s="56"/>
      <c r="F41" s="225">
        <v>4</v>
      </c>
      <c r="G41" s="225"/>
      <c r="H41" s="225"/>
      <c r="I41" s="225"/>
      <c r="J41" s="225">
        <v>4</v>
      </c>
      <c r="K41" s="225"/>
      <c r="L41" s="225"/>
      <c r="M41" s="225"/>
      <c r="N41" s="225"/>
      <c r="O41" s="225"/>
      <c r="P41" s="443">
        <f t="shared" si="0"/>
        <v>8</v>
      </c>
    </row>
    <row r="42" spans="1:16" ht="15.75" thickBot="1" x14ac:dyDescent="0.3">
      <c r="A42" s="226">
        <v>1000031</v>
      </c>
      <c r="B42" s="55" t="s">
        <v>25</v>
      </c>
      <c r="C42" s="49"/>
      <c r="D42" s="56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444">
        <f t="shared" si="0"/>
        <v>0</v>
      </c>
    </row>
    <row r="43" spans="1:16" ht="15.75" thickBot="1" x14ac:dyDescent="0.3">
      <c r="A43" s="226">
        <v>1000070</v>
      </c>
      <c r="B43" s="55" t="s">
        <v>13</v>
      </c>
      <c r="C43" s="49"/>
      <c r="D43" s="56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444">
        <f t="shared" si="0"/>
        <v>0</v>
      </c>
    </row>
    <row r="44" spans="1:16" ht="15.75" thickBot="1" x14ac:dyDescent="0.3">
      <c r="A44" s="226">
        <v>1000436</v>
      </c>
      <c r="B44" s="55" t="s">
        <v>276</v>
      </c>
      <c r="C44" s="49"/>
      <c r="D44" s="56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444">
        <f t="shared" si="0"/>
        <v>0</v>
      </c>
    </row>
    <row r="45" spans="1:16" ht="15.75" thickBot="1" x14ac:dyDescent="0.3">
      <c r="A45" s="226">
        <v>1000550</v>
      </c>
      <c r="B45" s="55" t="s">
        <v>277</v>
      </c>
      <c r="C45" s="49"/>
      <c r="D45" s="56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444">
        <f t="shared" si="0"/>
        <v>0</v>
      </c>
    </row>
    <row r="46" spans="1:16" ht="15.75" thickBot="1" x14ac:dyDescent="0.3">
      <c r="A46" s="226">
        <v>1000551</v>
      </c>
      <c r="B46" s="55" t="s">
        <v>278</v>
      </c>
      <c r="C46" s="49"/>
      <c r="D46" s="56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444">
        <f t="shared" si="0"/>
        <v>0</v>
      </c>
    </row>
    <row r="47" spans="1:16" ht="15.75" thickBot="1" x14ac:dyDescent="0.3">
      <c r="A47" s="226">
        <v>1000552</v>
      </c>
      <c r="B47" s="55" t="s">
        <v>279</v>
      </c>
      <c r="C47" s="49"/>
      <c r="D47" s="56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444">
        <f t="shared" si="0"/>
        <v>0</v>
      </c>
    </row>
    <row r="48" spans="1:16" s="27" customFormat="1" ht="15.75" thickBot="1" x14ac:dyDescent="0.3">
      <c r="A48" s="243">
        <v>1000080</v>
      </c>
      <c r="B48" s="251" t="s">
        <v>275</v>
      </c>
      <c r="C48" s="215"/>
      <c r="D48" s="38"/>
      <c r="E48" s="21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444">
        <f t="shared" si="0"/>
        <v>0</v>
      </c>
    </row>
    <row r="49" spans="1:16" ht="15.75" thickBot="1" x14ac:dyDescent="0.3">
      <c r="A49" s="35">
        <v>1000041</v>
      </c>
      <c r="B49" s="13" t="s">
        <v>16</v>
      </c>
      <c r="D49" s="38"/>
      <c r="F49" s="225"/>
      <c r="G49" s="225"/>
      <c r="H49" s="225"/>
      <c r="I49" s="225"/>
      <c r="J49" s="225">
        <v>5</v>
      </c>
      <c r="K49" s="225"/>
      <c r="L49" s="225"/>
      <c r="M49" s="225"/>
      <c r="N49" s="225"/>
      <c r="O49" s="225"/>
      <c r="P49" s="443">
        <f t="shared" si="0"/>
        <v>5</v>
      </c>
    </row>
    <row r="50" spans="1:16" ht="15.75" thickBot="1" x14ac:dyDescent="0.3">
      <c r="A50" s="248">
        <v>1000075</v>
      </c>
      <c r="B50" s="248" t="s">
        <v>47</v>
      </c>
      <c r="D50" s="38"/>
      <c r="F50" s="225"/>
      <c r="G50" s="225"/>
      <c r="H50" s="225"/>
      <c r="I50" s="225"/>
      <c r="J50" s="225">
        <v>1</v>
      </c>
      <c r="K50" s="225"/>
      <c r="L50" s="225"/>
      <c r="M50" s="225"/>
      <c r="N50" s="225"/>
      <c r="O50" s="225"/>
      <c r="P50" s="443">
        <f t="shared" ref="P50" si="1">SUM(F50:O50)</f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A36E-E71F-42CA-9191-EBF5EB35DA95}">
  <sheetPr>
    <tabColor rgb="FFFFFF00"/>
    <pageSetUpPr fitToPage="1"/>
  </sheetPr>
  <dimension ref="A1:P55"/>
  <sheetViews>
    <sheetView zoomScale="70" zoomScaleNormal="70" workbookViewId="0">
      <selection activeCell="S36" sqref="S36"/>
    </sheetView>
  </sheetViews>
  <sheetFormatPr baseColWidth="10" defaultRowHeight="15.75" x14ac:dyDescent="0.25"/>
  <cols>
    <col min="2" max="2" width="36" bestFit="1" customWidth="1"/>
    <col min="3" max="3" width="3" customWidth="1"/>
    <col min="5" max="5" width="2.375" customWidth="1"/>
    <col min="6" max="6" width="9.125" bestFit="1" customWidth="1"/>
    <col min="7" max="7" width="5.75" customWidth="1"/>
    <col min="8" max="8" width="9.625" bestFit="1" customWidth="1"/>
    <col min="9" max="9" width="5.5" customWidth="1"/>
    <col min="10" max="10" width="9.375" customWidth="1"/>
    <col min="11" max="11" width="5.5" customWidth="1"/>
    <col min="12" max="12" width="9.75" bestFit="1" customWidth="1"/>
    <col min="13" max="13" width="5.875" customWidth="1"/>
    <col min="14" max="14" width="8.625" bestFit="1" customWidth="1"/>
    <col min="15" max="15" width="5.875" customWidth="1"/>
    <col min="16" max="16" width="8.25" customWidth="1"/>
  </cols>
  <sheetData>
    <row r="1" spans="1:16" ht="10.5" customHeight="1" x14ac:dyDescent="0.45">
      <c r="A1" s="686" t="s">
        <v>230</v>
      </c>
      <c r="B1" s="687"/>
      <c r="C1" s="18"/>
      <c r="D1" s="18"/>
      <c r="E1" s="82"/>
      <c r="F1" s="751" t="s">
        <v>474</v>
      </c>
      <c r="G1" s="752"/>
      <c r="H1" s="752"/>
      <c r="I1" s="752"/>
      <c r="J1" s="753"/>
      <c r="K1" s="2"/>
      <c r="N1" s="82"/>
      <c r="O1" s="82"/>
      <c r="P1" s="82"/>
    </row>
    <row r="2" spans="1:16" ht="22.5" customHeight="1" thickBot="1" x14ac:dyDescent="0.5">
      <c r="A2" s="688"/>
      <c r="B2" s="689"/>
      <c r="C2" s="18"/>
      <c r="D2" s="433" t="s">
        <v>399</v>
      </c>
      <c r="E2" s="3"/>
      <c r="F2" s="754"/>
      <c r="G2" s="755"/>
      <c r="H2" s="755"/>
      <c r="I2" s="755"/>
      <c r="J2" s="756"/>
      <c r="K2" s="2"/>
      <c r="N2" s="3"/>
      <c r="O2" s="3"/>
      <c r="P2" s="3"/>
    </row>
    <row r="3" spans="1:16" ht="25.5" customHeight="1" thickBot="1" x14ac:dyDescent="0.3">
      <c r="A3" s="5"/>
      <c r="B3" s="5" t="s">
        <v>407</v>
      </c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82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6.5" thickBot="1" x14ac:dyDescent="0.3">
      <c r="A5" s="83">
        <v>10000015</v>
      </c>
      <c r="B5" s="11" t="s">
        <v>1</v>
      </c>
      <c r="C5" s="84"/>
      <c r="D5" s="85">
        <v>5</v>
      </c>
      <c r="E5" s="82"/>
      <c r="F5" s="86"/>
      <c r="G5" s="86"/>
      <c r="H5" s="86"/>
      <c r="I5" s="86"/>
      <c r="J5" s="86"/>
      <c r="K5" s="86"/>
      <c r="L5" s="86"/>
      <c r="M5" s="86"/>
      <c r="N5" s="86"/>
      <c r="O5" s="86"/>
      <c r="P5" s="83">
        <f>SUM(F5:O5)</f>
        <v>0</v>
      </c>
    </row>
    <row r="6" spans="1:16" ht="16.5" thickBot="1" x14ac:dyDescent="0.3">
      <c r="A6" s="87">
        <v>1000006</v>
      </c>
      <c r="B6" s="12" t="s">
        <v>4</v>
      </c>
      <c r="C6" s="84"/>
      <c r="D6" s="88">
        <v>500</v>
      </c>
      <c r="E6" s="82"/>
      <c r="F6" s="86"/>
      <c r="G6" s="86"/>
      <c r="H6" s="86">
        <v>100</v>
      </c>
      <c r="I6" s="86"/>
      <c r="J6" s="86">
        <v>100</v>
      </c>
      <c r="K6" s="86"/>
      <c r="L6" s="86">
        <v>150</v>
      </c>
      <c r="M6" s="86"/>
      <c r="N6" s="86"/>
      <c r="O6" s="86"/>
      <c r="P6" s="526">
        <f t="shared" ref="P6:P55" si="0">SUM(F6:O6)</f>
        <v>350</v>
      </c>
    </row>
    <row r="7" spans="1:16" ht="16.5" thickBot="1" x14ac:dyDescent="0.3">
      <c r="A7" s="87">
        <v>1000007</v>
      </c>
      <c r="B7" s="12" t="s">
        <v>5</v>
      </c>
      <c r="C7" s="84"/>
      <c r="D7" s="88">
        <v>100</v>
      </c>
      <c r="E7" s="82"/>
      <c r="F7" s="86"/>
      <c r="G7" s="86"/>
      <c r="H7" s="86">
        <v>100</v>
      </c>
      <c r="I7" s="86"/>
      <c r="J7" s="86">
        <v>100</v>
      </c>
      <c r="K7" s="86"/>
      <c r="L7" s="86">
        <v>150</v>
      </c>
      <c r="M7" s="86"/>
      <c r="N7" s="86"/>
      <c r="O7" s="86"/>
      <c r="P7" s="526">
        <f t="shared" si="0"/>
        <v>350</v>
      </c>
    </row>
    <row r="8" spans="1:16" ht="16.5" thickBot="1" x14ac:dyDescent="0.3">
      <c r="A8" s="87">
        <v>1000008</v>
      </c>
      <c r="B8" s="12" t="s">
        <v>7</v>
      </c>
      <c r="C8" s="84"/>
      <c r="D8" s="88">
        <v>80</v>
      </c>
      <c r="E8" s="82"/>
      <c r="F8" s="86"/>
      <c r="G8" s="86"/>
      <c r="H8" s="86"/>
      <c r="I8" s="86"/>
      <c r="J8" s="86">
        <v>50</v>
      </c>
      <c r="K8" s="86"/>
      <c r="L8" s="86"/>
      <c r="M8" s="86"/>
      <c r="N8" s="86"/>
      <c r="O8" s="86"/>
      <c r="P8" s="526">
        <f t="shared" si="0"/>
        <v>50</v>
      </c>
    </row>
    <row r="9" spans="1:16" ht="16.5" thickBot="1" x14ac:dyDescent="0.3">
      <c r="A9" s="87">
        <v>1000001</v>
      </c>
      <c r="B9" s="12" t="s">
        <v>8</v>
      </c>
      <c r="C9" s="84"/>
      <c r="D9" s="88">
        <v>5</v>
      </c>
      <c r="E9" s="82"/>
      <c r="F9" s="86">
        <v>2</v>
      </c>
      <c r="G9" s="86"/>
      <c r="H9" s="86">
        <v>3</v>
      </c>
      <c r="I9" s="86"/>
      <c r="J9" s="86">
        <v>3</v>
      </c>
      <c r="K9" s="86"/>
      <c r="L9" s="86">
        <v>4</v>
      </c>
      <c r="M9" s="86"/>
      <c r="N9" s="86"/>
      <c r="O9" s="86"/>
      <c r="P9" s="526">
        <f t="shared" si="0"/>
        <v>12</v>
      </c>
    </row>
    <row r="10" spans="1:16" ht="16.5" thickBot="1" x14ac:dyDescent="0.3">
      <c r="A10" s="87">
        <v>1000002</v>
      </c>
      <c r="B10" s="12" t="s">
        <v>9</v>
      </c>
      <c r="C10" s="84"/>
      <c r="D10" s="88">
        <v>1</v>
      </c>
      <c r="E10" s="82"/>
      <c r="F10" s="86"/>
      <c r="G10" s="86"/>
      <c r="H10" s="86">
        <v>1</v>
      </c>
      <c r="I10" s="86"/>
      <c r="J10" s="86">
        <v>1</v>
      </c>
      <c r="K10" s="86"/>
      <c r="L10" s="86">
        <v>1</v>
      </c>
      <c r="M10" s="86"/>
      <c r="N10" s="86"/>
      <c r="O10" s="86"/>
      <c r="P10" s="526">
        <f t="shared" si="0"/>
        <v>3</v>
      </c>
    </row>
    <row r="11" spans="1:16" ht="16.5" thickBot="1" x14ac:dyDescent="0.3">
      <c r="A11" s="87">
        <v>1000004</v>
      </c>
      <c r="B11" s="12" t="s">
        <v>10</v>
      </c>
      <c r="C11" s="84"/>
      <c r="D11" s="88">
        <v>3</v>
      </c>
      <c r="E11" s="82"/>
      <c r="F11" s="86"/>
      <c r="G11" s="86"/>
      <c r="H11" s="86">
        <v>3</v>
      </c>
      <c r="I11" s="86"/>
      <c r="J11" s="86">
        <v>3</v>
      </c>
      <c r="K11" s="86"/>
      <c r="L11" s="86">
        <v>4</v>
      </c>
      <c r="M11" s="86"/>
      <c r="N11" s="86"/>
      <c r="O11" s="86"/>
      <c r="P11" s="526">
        <f t="shared" si="0"/>
        <v>10</v>
      </c>
    </row>
    <row r="12" spans="1:16" ht="16.5" thickBot="1" x14ac:dyDescent="0.3">
      <c r="A12" s="87">
        <v>1000054</v>
      </c>
      <c r="B12" s="12" t="s">
        <v>12</v>
      </c>
      <c r="C12" s="84"/>
      <c r="D12" s="88">
        <v>35</v>
      </c>
      <c r="E12" s="82"/>
      <c r="F12" s="86"/>
      <c r="G12" s="86"/>
      <c r="H12" s="86">
        <v>5</v>
      </c>
      <c r="I12" s="86"/>
      <c r="J12" s="86">
        <v>5</v>
      </c>
      <c r="K12" s="86"/>
      <c r="L12" s="86">
        <v>10</v>
      </c>
      <c r="M12" s="86"/>
      <c r="N12" s="86"/>
      <c r="O12" s="86"/>
      <c r="P12" s="526">
        <f t="shared" si="0"/>
        <v>20</v>
      </c>
    </row>
    <row r="13" spans="1:16" ht="16.5" thickBot="1" x14ac:dyDescent="0.3">
      <c r="A13" s="87">
        <v>1000070</v>
      </c>
      <c r="B13" s="12" t="s">
        <v>13</v>
      </c>
      <c r="C13" s="84"/>
      <c r="D13" s="88">
        <v>0</v>
      </c>
      <c r="E13" s="82"/>
      <c r="F13" s="86"/>
      <c r="G13" s="86"/>
      <c r="H13" s="86">
        <v>1</v>
      </c>
      <c r="I13" s="86"/>
      <c r="J13" s="86">
        <v>1</v>
      </c>
      <c r="K13" s="86"/>
      <c r="L13" s="86">
        <v>1</v>
      </c>
      <c r="M13" s="86"/>
      <c r="N13" s="86"/>
      <c r="O13" s="86"/>
      <c r="P13" s="526">
        <f t="shared" si="0"/>
        <v>3</v>
      </c>
    </row>
    <row r="14" spans="1:16" ht="16.5" thickBot="1" x14ac:dyDescent="0.3">
      <c r="A14" s="87">
        <v>1000017</v>
      </c>
      <c r="B14" s="12" t="s">
        <v>14</v>
      </c>
      <c r="C14" s="84"/>
      <c r="D14" s="88">
        <v>50</v>
      </c>
      <c r="E14" s="82"/>
      <c r="F14" s="86">
        <v>5</v>
      </c>
      <c r="G14" s="86"/>
      <c r="H14" s="86">
        <v>5</v>
      </c>
      <c r="I14" s="86"/>
      <c r="J14" s="86">
        <v>5</v>
      </c>
      <c r="K14" s="86"/>
      <c r="L14" s="86">
        <v>10</v>
      </c>
      <c r="M14" s="86"/>
      <c r="N14" s="86"/>
      <c r="O14" s="86"/>
      <c r="P14" s="526">
        <f t="shared" si="0"/>
        <v>25</v>
      </c>
    </row>
    <row r="15" spans="1:16" ht="16.5" thickBot="1" x14ac:dyDescent="0.3">
      <c r="A15" s="87">
        <v>1000016</v>
      </c>
      <c r="B15" s="12" t="s">
        <v>15</v>
      </c>
      <c r="C15" s="84"/>
      <c r="D15" s="88">
        <v>5</v>
      </c>
      <c r="E15" s="82"/>
      <c r="F15" s="86"/>
      <c r="G15" s="86"/>
      <c r="H15" s="86">
        <v>5</v>
      </c>
      <c r="I15" s="86"/>
      <c r="J15" s="86">
        <v>5</v>
      </c>
      <c r="K15" s="86"/>
      <c r="L15" s="86">
        <v>5</v>
      </c>
      <c r="M15" s="86"/>
      <c r="N15" s="86"/>
      <c r="O15" s="86"/>
      <c r="P15" s="526">
        <f t="shared" si="0"/>
        <v>15</v>
      </c>
    </row>
    <row r="16" spans="1:16" ht="16.5" thickBot="1" x14ac:dyDescent="0.3">
      <c r="A16" s="87">
        <v>1000049</v>
      </c>
      <c r="B16" s="13" t="s">
        <v>21</v>
      </c>
      <c r="C16" s="84"/>
      <c r="D16" s="88">
        <v>1</v>
      </c>
      <c r="E16" s="82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3">
        <f t="shared" si="0"/>
        <v>0</v>
      </c>
    </row>
    <row r="17" spans="1:16" ht="16.5" thickBot="1" x14ac:dyDescent="0.3">
      <c r="A17" s="87">
        <v>1000050</v>
      </c>
      <c r="B17" s="12" t="s">
        <v>22</v>
      </c>
      <c r="C17" s="84"/>
      <c r="D17" s="88">
        <v>1</v>
      </c>
      <c r="E17" s="82"/>
      <c r="F17" s="86"/>
      <c r="G17" s="86"/>
      <c r="H17" s="86"/>
      <c r="I17" s="86"/>
      <c r="J17" s="86"/>
      <c r="K17" s="86"/>
      <c r="L17" s="86">
        <v>2</v>
      </c>
      <c r="M17" s="86"/>
      <c r="N17" s="86"/>
      <c r="O17" s="86"/>
      <c r="P17" s="526">
        <f t="shared" si="0"/>
        <v>2</v>
      </c>
    </row>
    <row r="18" spans="1:16" ht="16.5" thickBot="1" x14ac:dyDescent="0.3">
      <c r="A18" s="87">
        <v>1000031</v>
      </c>
      <c r="B18" s="12" t="s">
        <v>25</v>
      </c>
      <c r="C18" s="84"/>
      <c r="D18" s="88">
        <v>2</v>
      </c>
      <c r="E18" s="82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3">
        <f t="shared" si="0"/>
        <v>0</v>
      </c>
    </row>
    <row r="19" spans="1:16" ht="16.5" thickBot="1" x14ac:dyDescent="0.3">
      <c r="A19" s="87">
        <v>1000026</v>
      </c>
      <c r="B19" s="12" t="s">
        <v>31</v>
      </c>
      <c r="C19" s="84"/>
      <c r="D19" s="88">
        <v>1</v>
      </c>
      <c r="E19" s="82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3">
        <f t="shared" si="0"/>
        <v>0</v>
      </c>
    </row>
    <row r="20" spans="1:16" ht="16.5" thickBot="1" x14ac:dyDescent="0.3">
      <c r="A20" s="87">
        <v>1000025</v>
      </c>
      <c r="B20" s="12" t="s">
        <v>32</v>
      </c>
      <c r="C20" s="84"/>
      <c r="D20" s="88">
        <v>6</v>
      </c>
      <c r="E20" s="82"/>
      <c r="F20" s="86"/>
      <c r="G20" s="86"/>
      <c r="H20" s="86">
        <v>5</v>
      </c>
      <c r="I20" s="86"/>
      <c r="J20" s="86"/>
      <c r="K20" s="86"/>
      <c r="L20" s="86">
        <v>5</v>
      </c>
      <c r="M20" s="86"/>
      <c r="N20" s="86"/>
      <c r="O20" s="86"/>
      <c r="P20" s="526">
        <f t="shared" si="0"/>
        <v>10</v>
      </c>
    </row>
    <row r="21" spans="1:16" ht="16.5" thickBot="1" x14ac:dyDescent="0.3">
      <c r="A21" s="87">
        <v>1000100</v>
      </c>
      <c r="B21" s="12" t="s">
        <v>34</v>
      </c>
      <c r="C21" s="84"/>
      <c r="D21" s="88">
        <v>0</v>
      </c>
      <c r="E21" s="82"/>
      <c r="F21" s="86"/>
      <c r="G21" s="86"/>
      <c r="H21" s="86">
        <v>1</v>
      </c>
      <c r="I21" s="86"/>
      <c r="J21" s="86"/>
      <c r="K21" s="86"/>
      <c r="L21" s="86"/>
      <c r="M21" s="86"/>
      <c r="N21" s="86"/>
      <c r="O21" s="86"/>
      <c r="P21" s="526">
        <f t="shared" si="0"/>
        <v>1</v>
      </c>
    </row>
    <row r="22" spans="1:16" ht="16.5" thickBot="1" x14ac:dyDescent="0.3">
      <c r="A22" s="87">
        <v>1000082</v>
      </c>
      <c r="B22" s="12" t="s">
        <v>37</v>
      </c>
      <c r="C22" s="84"/>
      <c r="D22" s="88">
        <v>90</v>
      </c>
      <c r="E22" s="82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3">
        <f t="shared" si="0"/>
        <v>0</v>
      </c>
    </row>
    <row r="23" spans="1:16" ht="16.5" thickBot="1" x14ac:dyDescent="0.3">
      <c r="A23" s="87">
        <v>1000084</v>
      </c>
      <c r="B23" s="12" t="s">
        <v>38</v>
      </c>
      <c r="C23" s="84"/>
      <c r="D23" s="88">
        <v>40</v>
      </c>
      <c r="E23" s="82"/>
      <c r="F23" s="86">
        <v>4</v>
      </c>
      <c r="G23" s="86"/>
      <c r="H23" s="86">
        <v>8</v>
      </c>
      <c r="I23" s="86"/>
      <c r="J23" s="86">
        <v>8</v>
      </c>
      <c r="K23" s="86"/>
      <c r="L23" s="86">
        <v>12</v>
      </c>
      <c r="M23" s="86"/>
      <c r="N23" s="86"/>
      <c r="O23" s="86"/>
      <c r="P23" s="526">
        <f t="shared" si="0"/>
        <v>32</v>
      </c>
    </row>
    <row r="24" spans="1:16" ht="16.5" thickBot="1" x14ac:dyDescent="0.3">
      <c r="A24" s="87">
        <v>1000486</v>
      </c>
      <c r="B24" s="12" t="s">
        <v>263</v>
      </c>
      <c r="C24" s="84"/>
      <c r="D24" s="88">
        <v>27</v>
      </c>
      <c r="E24" s="82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3">
        <f t="shared" si="0"/>
        <v>0</v>
      </c>
    </row>
    <row r="25" spans="1:16" ht="16.5" thickBot="1" x14ac:dyDescent="0.3">
      <c r="A25" s="87">
        <v>10248</v>
      </c>
      <c r="B25" s="12" t="s">
        <v>183</v>
      </c>
      <c r="C25" s="84"/>
      <c r="D25" s="88">
        <v>0</v>
      </c>
      <c r="E25" s="82"/>
      <c r="F25" s="86"/>
      <c r="G25" s="86"/>
      <c r="H25" s="86">
        <v>9</v>
      </c>
      <c r="I25" s="86"/>
      <c r="J25" s="86">
        <v>9</v>
      </c>
      <c r="K25" s="86"/>
      <c r="L25" s="86">
        <v>12</v>
      </c>
      <c r="M25" s="86"/>
      <c r="N25" s="86"/>
      <c r="O25" s="86"/>
      <c r="P25" s="526">
        <f t="shared" si="0"/>
        <v>30</v>
      </c>
    </row>
    <row r="26" spans="1:16" ht="16.5" thickBot="1" x14ac:dyDescent="0.3">
      <c r="A26" s="87">
        <v>1000090</v>
      </c>
      <c r="B26" s="12" t="s">
        <v>40</v>
      </c>
      <c r="C26" s="84"/>
      <c r="D26" s="88">
        <v>1</v>
      </c>
      <c r="E26" s="82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3">
        <f t="shared" si="0"/>
        <v>0</v>
      </c>
    </row>
    <row r="27" spans="1:16" ht="16.5" thickBot="1" x14ac:dyDescent="0.3">
      <c r="A27" s="87">
        <v>1000052</v>
      </c>
      <c r="B27" s="12" t="s">
        <v>41</v>
      </c>
      <c r="C27" s="84"/>
      <c r="D27" s="88">
        <v>3</v>
      </c>
      <c r="E27" s="82"/>
      <c r="F27" s="86"/>
      <c r="G27" s="86"/>
      <c r="H27" s="86">
        <v>2</v>
      </c>
      <c r="I27" s="86"/>
      <c r="J27" s="86">
        <v>2</v>
      </c>
      <c r="K27" s="86"/>
      <c r="L27" s="86">
        <v>2</v>
      </c>
      <c r="M27" s="86"/>
      <c r="N27" s="86"/>
      <c r="O27" s="86"/>
      <c r="P27" s="526">
        <f t="shared" si="0"/>
        <v>6</v>
      </c>
    </row>
    <row r="28" spans="1:16" ht="16.5" thickBot="1" x14ac:dyDescent="0.3">
      <c r="A28" s="87">
        <v>1000089</v>
      </c>
      <c r="B28" s="12" t="s">
        <v>42</v>
      </c>
      <c r="C28" s="84"/>
      <c r="D28" s="88">
        <v>3</v>
      </c>
      <c r="E28" s="82"/>
      <c r="F28" s="86"/>
      <c r="G28" s="86"/>
      <c r="H28" s="86">
        <v>2</v>
      </c>
      <c r="I28" s="86"/>
      <c r="J28" s="86">
        <v>2</v>
      </c>
      <c r="K28" s="86"/>
      <c r="L28" s="86">
        <v>2</v>
      </c>
      <c r="M28" s="86"/>
      <c r="N28" s="86"/>
      <c r="O28" s="86"/>
      <c r="P28" s="526">
        <f t="shared" si="0"/>
        <v>6</v>
      </c>
    </row>
    <row r="29" spans="1:16" ht="16.5" thickBot="1" x14ac:dyDescent="0.3">
      <c r="A29" s="87">
        <v>1000051</v>
      </c>
      <c r="B29" s="12" t="s">
        <v>43</v>
      </c>
      <c r="C29" s="84"/>
      <c r="D29" s="88">
        <v>2</v>
      </c>
      <c r="E29" s="82"/>
      <c r="F29" s="86"/>
      <c r="G29" s="86"/>
      <c r="H29" s="86">
        <v>1</v>
      </c>
      <c r="I29" s="86"/>
      <c r="J29" s="86"/>
      <c r="K29" s="86"/>
      <c r="L29" s="86"/>
      <c r="M29" s="86"/>
      <c r="N29" s="86"/>
      <c r="O29" s="86"/>
      <c r="P29" s="526">
        <f t="shared" si="0"/>
        <v>1</v>
      </c>
    </row>
    <row r="30" spans="1:16" ht="16.5" thickBot="1" x14ac:dyDescent="0.3">
      <c r="A30" s="87">
        <v>1000048</v>
      </c>
      <c r="B30" s="12" t="s">
        <v>45</v>
      </c>
      <c r="C30" s="84"/>
      <c r="D30" s="88">
        <v>0</v>
      </c>
      <c r="E30" s="82"/>
      <c r="F30" s="86"/>
      <c r="G30" s="86"/>
      <c r="H30" s="86">
        <v>1</v>
      </c>
      <c r="I30" s="86"/>
      <c r="J30" s="86"/>
      <c r="K30" s="86"/>
      <c r="L30" s="86">
        <v>1</v>
      </c>
      <c r="M30" s="86"/>
      <c r="N30" s="86"/>
      <c r="O30" s="86"/>
      <c r="P30" s="526">
        <f t="shared" si="0"/>
        <v>2</v>
      </c>
    </row>
    <row r="31" spans="1:16" ht="16.5" thickBot="1" x14ac:dyDescent="0.3">
      <c r="A31" s="87">
        <v>1000076</v>
      </c>
      <c r="B31" s="12" t="s">
        <v>46</v>
      </c>
      <c r="C31" s="84"/>
      <c r="D31" s="88">
        <v>0</v>
      </c>
      <c r="E31" s="82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3">
        <f t="shared" si="0"/>
        <v>0</v>
      </c>
    </row>
    <row r="32" spans="1:16" ht="16.5" thickBot="1" x14ac:dyDescent="0.3">
      <c r="A32" s="87">
        <v>1000075</v>
      </c>
      <c r="B32" s="12" t="s">
        <v>47</v>
      </c>
      <c r="C32" s="84"/>
      <c r="D32" s="88">
        <v>0</v>
      </c>
      <c r="E32" s="82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3">
        <f t="shared" si="0"/>
        <v>0</v>
      </c>
    </row>
    <row r="33" spans="1:16" ht="16.5" thickBot="1" x14ac:dyDescent="0.3">
      <c r="A33" s="87">
        <v>1000383</v>
      </c>
      <c r="B33" s="12" t="s">
        <v>231</v>
      </c>
      <c r="C33" s="84"/>
      <c r="D33" s="88">
        <v>0</v>
      </c>
      <c r="E33" s="82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3">
        <f t="shared" si="0"/>
        <v>0</v>
      </c>
    </row>
    <row r="34" spans="1:16" ht="16.5" thickBot="1" x14ac:dyDescent="0.3">
      <c r="A34" s="87">
        <v>1000033</v>
      </c>
      <c r="B34" s="12" t="s">
        <v>27</v>
      </c>
      <c r="C34" s="84"/>
      <c r="D34" s="88"/>
      <c r="E34" s="82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3">
        <f t="shared" si="0"/>
        <v>0</v>
      </c>
    </row>
    <row r="35" spans="1:16" ht="16.5" thickBot="1" x14ac:dyDescent="0.3">
      <c r="A35" s="87">
        <v>1000067</v>
      </c>
      <c r="B35" s="12" t="s">
        <v>11</v>
      </c>
      <c r="C35" s="84"/>
      <c r="D35" s="88"/>
      <c r="E35" s="82"/>
      <c r="F35" s="86">
        <v>1</v>
      </c>
      <c r="G35" s="86"/>
      <c r="H35" s="86">
        <v>1</v>
      </c>
      <c r="I35" s="86"/>
      <c r="J35" s="86">
        <v>1</v>
      </c>
      <c r="K35" s="86"/>
      <c r="L35" s="86">
        <v>1</v>
      </c>
      <c r="M35" s="86"/>
      <c r="N35" s="86"/>
      <c r="O35" s="86"/>
      <c r="P35" s="526">
        <f t="shared" si="0"/>
        <v>4</v>
      </c>
    </row>
    <row r="36" spans="1:16" ht="16.5" thickBot="1" x14ac:dyDescent="0.3">
      <c r="A36" s="87">
        <v>1000029</v>
      </c>
      <c r="B36" s="12" t="s">
        <v>30</v>
      </c>
      <c r="C36" s="84"/>
      <c r="D36" s="88"/>
      <c r="E36" s="82"/>
      <c r="F36" s="86"/>
      <c r="G36" s="86"/>
      <c r="H36" s="86">
        <v>1</v>
      </c>
      <c r="I36" s="86"/>
      <c r="J36" s="86"/>
      <c r="K36" s="86"/>
      <c r="L36" s="86">
        <v>1</v>
      </c>
      <c r="M36" s="86"/>
      <c r="N36" s="86"/>
      <c r="O36" s="86"/>
      <c r="P36" s="526">
        <f t="shared" si="0"/>
        <v>2</v>
      </c>
    </row>
    <row r="37" spans="1:16" ht="16.5" thickBot="1" x14ac:dyDescent="0.3">
      <c r="A37" s="87">
        <v>1000043</v>
      </c>
      <c r="B37" s="12" t="s">
        <v>84</v>
      </c>
      <c r="C37" s="84"/>
      <c r="D37" s="88"/>
      <c r="E37" s="82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3">
        <f t="shared" si="0"/>
        <v>0</v>
      </c>
    </row>
    <row r="38" spans="1:16" ht="16.5" thickBot="1" x14ac:dyDescent="0.3">
      <c r="A38" s="87">
        <v>1000073</v>
      </c>
      <c r="B38" s="12" t="s">
        <v>36</v>
      </c>
      <c r="C38" s="84"/>
      <c r="D38" s="88"/>
      <c r="E38" s="82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3">
        <f t="shared" si="0"/>
        <v>0</v>
      </c>
    </row>
    <row r="39" spans="1:16" ht="16.5" thickBot="1" x14ac:dyDescent="0.3">
      <c r="A39" s="87">
        <v>1000142</v>
      </c>
      <c r="B39" s="12" t="s">
        <v>54</v>
      </c>
      <c r="C39" s="84"/>
      <c r="D39" s="88"/>
      <c r="E39" s="82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3">
        <f t="shared" si="0"/>
        <v>0</v>
      </c>
    </row>
    <row r="40" spans="1:16" ht="16.5" thickBot="1" x14ac:dyDescent="0.3">
      <c r="A40" s="87">
        <v>1000147</v>
      </c>
      <c r="B40" s="12" t="s">
        <v>52</v>
      </c>
      <c r="C40" s="84"/>
      <c r="D40" s="88"/>
      <c r="E40" s="82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3">
        <f t="shared" si="0"/>
        <v>0</v>
      </c>
    </row>
    <row r="41" spans="1:16" ht="16.5" thickBot="1" x14ac:dyDescent="0.3">
      <c r="A41" s="87">
        <v>10211</v>
      </c>
      <c r="B41" s="12" t="s">
        <v>3</v>
      </c>
      <c r="C41" s="84"/>
      <c r="D41" s="88"/>
      <c r="E41" s="82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3">
        <f t="shared" si="0"/>
        <v>0</v>
      </c>
    </row>
    <row r="42" spans="1:16" ht="16.5" thickBot="1" x14ac:dyDescent="0.3">
      <c r="A42" s="87">
        <v>10212</v>
      </c>
      <c r="B42" s="12" t="s">
        <v>6</v>
      </c>
      <c r="C42" s="84"/>
      <c r="D42" s="88"/>
      <c r="E42" s="82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3">
        <f t="shared" si="0"/>
        <v>0</v>
      </c>
    </row>
    <row r="43" spans="1:16" ht="16.5" thickBot="1" x14ac:dyDescent="0.3">
      <c r="A43" s="87">
        <v>10249</v>
      </c>
      <c r="B43" s="12" t="s">
        <v>181</v>
      </c>
      <c r="C43" s="84"/>
      <c r="D43" s="88"/>
      <c r="E43" s="82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3">
        <f t="shared" si="0"/>
        <v>0</v>
      </c>
    </row>
    <row r="44" spans="1:16" ht="16.5" thickBot="1" x14ac:dyDescent="0.3">
      <c r="A44" s="87">
        <v>10231</v>
      </c>
      <c r="B44" s="12" t="s">
        <v>86</v>
      </c>
      <c r="C44" s="84"/>
      <c r="D44" s="88"/>
      <c r="E44" s="82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3">
        <f t="shared" si="0"/>
        <v>0</v>
      </c>
    </row>
    <row r="45" spans="1:16" ht="16.5" thickBot="1" x14ac:dyDescent="0.3">
      <c r="A45" s="87">
        <v>10000102</v>
      </c>
      <c r="B45" s="12" t="s">
        <v>2</v>
      </c>
      <c r="C45" s="84"/>
      <c r="D45" s="88"/>
      <c r="E45" s="82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3">
        <f t="shared" si="0"/>
        <v>0</v>
      </c>
    </row>
    <row r="46" spans="1:16" ht="16.5" thickBot="1" x14ac:dyDescent="0.3">
      <c r="A46" s="87">
        <v>1000472</v>
      </c>
      <c r="B46" s="12" t="s">
        <v>222</v>
      </c>
      <c r="C46" s="84"/>
      <c r="D46" s="88"/>
      <c r="E46" s="82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3">
        <f t="shared" si="0"/>
        <v>0</v>
      </c>
    </row>
    <row r="47" spans="1:16" ht="16.5" thickBot="1" x14ac:dyDescent="0.3">
      <c r="A47" s="87">
        <v>1000486</v>
      </c>
      <c r="B47" s="12" t="s">
        <v>263</v>
      </c>
      <c r="C47" s="84"/>
      <c r="D47" s="88"/>
      <c r="E47" s="82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3">
        <f t="shared" si="0"/>
        <v>0</v>
      </c>
    </row>
    <row r="48" spans="1:16" ht="16.5" thickBot="1" x14ac:dyDescent="0.3">
      <c r="A48" s="87">
        <v>1000010</v>
      </c>
      <c r="B48" s="12" t="s">
        <v>17</v>
      </c>
      <c r="C48" s="84"/>
      <c r="D48" s="88"/>
      <c r="E48" s="82"/>
      <c r="F48" s="86"/>
      <c r="G48" s="86"/>
      <c r="H48" s="86">
        <v>2</v>
      </c>
      <c r="I48" s="86"/>
      <c r="J48" s="86">
        <v>2</v>
      </c>
      <c r="K48" s="86"/>
      <c r="L48" s="86">
        <v>2</v>
      </c>
      <c r="M48" s="86"/>
      <c r="N48" s="86"/>
      <c r="O48" s="86"/>
      <c r="P48" s="526">
        <f t="shared" si="0"/>
        <v>6</v>
      </c>
    </row>
    <row r="49" spans="1:16" ht="16.5" thickBot="1" x14ac:dyDescent="0.3">
      <c r="A49" s="87">
        <v>1000080</v>
      </c>
      <c r="B49" s="12" t="s">
        <v>275</v>
      </c>
      <c r="C49" s="84"/>
      <c r="D49" s="88"/>
      <c r="E49" s="82"/>
      <c r="F49" s="86">
        <v>24</v>
      </c>
      <c r="G49" s="86"/>
      <c r="H49" s="86">
        <v>24</v>
      </c>
      <c r="I49" s="86"/>
      <c r="J49" s="86">
        <v>24</v>
      </c>
      <c r="K49" s="86"/>
      <c r="L49" s="86">
        <v>48</v>
      </c>
      <c r="M49" s="86"/>
      <c r="N49" s="86"/>
      <c r="O49" s="86"/>
      <c r="P49" s="526">
        <f t="shared" si="0"/>
        <v>120</v>
      </c>
    </row>
    <row r="50" spans="1:16" ht="16.5" thickBot="1" x14ac:dyDescent="0.3">
      <c r="A50" s="87">
        <v>1000436</v>
      </c>
      <c r="B50" s="12" t="s">
        <v>276</v>
      </c>
      <c r="C50" s="84"/>
      <c r="D50" s="88"/>
      <c r="E50" s="82"/>
      <c r="F50" s="86">
        <v>10</v>
      </c>
      <c r="G50" s="86"/>
      <c r="H50" s="86">
        <v>10</v>
      </c>
      <c r="I50" s="86"/>
      <c r="J50" s="86">
        <v>10</v>
      </c>
      <c r="K50" s="86"/>
      <c r="L50" s="86">
        <v>20</v>
      </c>
      <c r="M50" s="86"/>
      <c r="N50" s="86"/>
      <c r="O50" s="86"/>
      <c r="P50" s="526">
        <f t="shared" si="0"/>
        <v>50</v>
      </c>
    </row>
    <row r="51" spans="1:16" ht="16.5" thickBot="1" x14ac:dyDescent="0.3">
      <c r="A51" s="87">
        <v>1000550</v>
      </c>
      <c r="B51" s="12" t="s">
        <v>277</v>
      </c>
      <c r="C51" s="84"/>
      <c r="D51" s="88"/>
      <c r="E51" s="82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3">
        <f t="shared" si="0"/>
        <v>0</v>
      </c>
    </row>
    <row r="52" spans="1:16" ht="16.5" thickBot="1" x14ac:dyDescent="0.3">
      <c r="A52" s="36">
        <v>1000551</v>
      </c>
      <c r="B52" s="12" t="s">
        <v>278</v>
      </c>
      <c r="D52" s="35"/>
      <c r="E52" s="215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3">
        <f t="shared" si="0"/>
        <v>0</v>
      </c>
    </row>
    <row r="53" spans="1:16" ht="16.5" thickBot="1" x14ac:dyDescent="0.3">
      <c r="A53" s="207">
        <v>1000552</v>
      </c>
      <c r="B53" s="246" t="s">
        <v>279</v>
      </c>
      <c r="D53" s="38"/>
      <c r="E53" s="215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3">
        <f t="shared" si="0"/>
        <v>0</v>
      </c>
    </row>
    <row r="54" spans="1:16" ht="16.5" thickBot="1" x14ac:dyDescent="0.3">
      <c r="A54" s="226">
        <v>1000034</v>
      </c>
      <c r="B54" s="55" t="s">
        <v>28</v>
      </c>
      <c r="D54" s="38"/>
      <c r="F54" s="86"/>
      <c r="G54" s="86"/>
      <c r="H54" s="86"/>
      <c r="I54" s="86"/>
      <c r="J54" s="86">
        <v>1</v>
      </c>
      <c r="K54" s="86"/>
      <c r="L54" s="86">
        <v>1</v>
      </c>
      <c r="M54" s="86"/>
      <c r="N54" s="86"/>
      <c r="O54" s="86"/>
      <c r="P54" s="526">
        <f t="shared" si="0"/>
        <v>2</v>
      </c>
    </row>
    <row r="55" spans="1:16" ht="16.5" thickBot="1" x14ac:dyDescent="0.3">
      <c r="A55" s="226">
        <v>1000045</v>
      </c>
      <c r="B55" s="55" t="s">
        <v>23</v>
      </c>
      <c r="D55" s="38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3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3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63E0-4030-45FF-B72D-3FC3FD61D0A9}">
  <sheetPr>
    <tabColor rgb="FFFFFF00"/>
    <pageSetUpPr fitToPage="1"/>
  </sheetPr>
  <dimension ref="A1:P50"/>
  <sheetViews>
    <sheetView zoomScale="85" zoomScaleNormal="85" workbookViewId="0">
      <selection activeCell="S49" sqref="S49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6" style="27" customWidth="1"/>
    <col min="8" max="8" width="9.125" style="27" bestFit="1" customWidth="1"/>
    <col min="9" max="9" width="6" style="27" customWidth="1"/>
    <col min="10" max="10" width="9.125" style="27" bestFit="1" customWidth="1"/>
    <col min="11" max="11" width="6" style="27" customWidth="1"/>
    <col min="12" max="12" width="9.125" style="27" bestFit="1" customWidth="1"/>
    <col min="13" max="13" width="5.5" style="27" customWidth="1"/>
    <col min="14" max="14" width="9.125" style="27" bestFit="1" customWidth="1"/>
    <col min="15" max="15" width="6.125" style="27" customWidth="1"/>
    <col min="16" max="16384" width="10.875" style="27"/>
  </cols>
  <sheetData>
    <row r="1" spans="1:16" ht="10.5" customHeight="1" x14ac:dyDescent="0.45">
      <c r="A1" s="686" t="s">
        <v>163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</row>
    <row r="3" spans="1:16" s="3" customFormat="1" ht="20.25" customHeight="1" thickBot="1" x14ac:dyDescent="0.3">
      <c r="A3" s="5"/>
      <c r="B3" s="5" t="s">
        <v>408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150</v>
      </c>
      <c r="E5" s="130"/>
      <c r="F5" s="130">
        <v>50</v>
      </c>
      <c r="G5" s="130"/>
      <c r="H5" s="130">
        <v>50</v>
      </c>
      <c r="I5" s="130"/>
      <c r="J5" s="130">
        <v>50</v>
      </c>
      <c r="K5" s="130"/>
      <c r="L5" s="130">
        <v>50</v>
      </c>
      <c r="M5" s="130"/>
      <c r="N5" s="130"/>
      <c r="O5" s="130"/>
      <c r="P5" s="418">
        <f t="shared" ref="P5:P16" si="0">SUM(F5:N5)</f>
        <v>200</v>
      </c>
    </row>
    <row r="6" spans="1:16" ht="15.75" thickBot="1" x14ac:dyDescent="0.3">
      <c r="A6" s="35">
        <v>1000007</v>
      </c>
      <c r="B6" s="12" t="s">
        <v>5</v>
      </c>
      <c r="C6" s="41"/>
      <c r="D6" s="47">
        <v>150</v>
      </c>
      <c r="E6" s="131"/>
      <c r="F6" s="130">
        <v>50</v>
      </c>
      <c r="G6" s="130"/>
      <c r="H6" s="130">
        <v>50</v>
      </c>
      <c r="I6" s="130"/>
      <c r="J6" s="130"/>
      <c r="K6" s="130"/>
      <c r="L6" s="130">
        <v>50</v>
      </c>
      <c r="M6" s="130"/>
      <c r="N6" s="130"/>
      <c r="O6" s="130"/>
      <c r="P6" s="418">
        <f t="shared" si="0"/>
        <v>150</v>
      </c>
    </row>
    <row r="7" spans="1:16" ht="15.75" thickBot="1" x14ac:dyDescent="0.3">
      <c r="A7" s="35">
        <v>1000008</v>
      </c>
      <c r="B7" s="12" t="s">
        <v>7</v>
      </c>
      <c r="C7" s="41"/>
      <c r="D7" s="47">
        <v>5</v>
      </c>
      <c r="E7" s="131"/>
      <c r="F7" s="130">
        <v>50</v>
      </c>
      <c r="G7" s="130"/>
      <c r="H7" s="130">
        <v>50</v>
      </c>
      <c r="I7" s="130"/>
      <c r="J7" s="130"/>
      <c r="K7" s="130"/>
      <c r="L7" s="130"/>
      <c r="M7" s="130"/>
      <c r="N7" s="130"/>
      <c r="O7" s="130"/>
      <c r="P7" s="418">
        <f t="shared" si="0"/>
        <v>100</v>
      </c>
    </row>
    <row r="8" spans="1:16" ht="15.75" thickBot="1" x14ac:dyDescent="0.3">
      <c r="A8" s="35">
        <v>1000001</v>
      </c>
      <c r="B8" s="12" t="s">
        <v>8</v>
      </c>
      <c r="C8" s="41"/>
      <c r="D8" s="47">
        <v>4</v>
      </c>
      <c r="E8" s="131"/>
      <c r="F8" s="130">
        <v>4</v>
      </c>
      <c r="G8" s="130"/>
      <c r="H8" s="130">
        <v>4</v>
      </c>
      <c r="I8" s="130"/>
      <c r="J8" s="130">
        <v>4</v>
      </c>
      <c r="K8" s="130"/>
      <c r="L8" s="130">
        <v>4</v>
      </c>
      <c r="M8" s="130"/>
      <c r="N8" s="130"/>
      <c r="O8" s="130"/>
      <c r="P8" s="418">
        <f t="shared" si="0"/>
        <v>16</v>
      </c>
    </row>
    <row r="9" spans="1:16" ht="15.75" thickBot="1" x14ac:dyDescent="0.3">
      <c r="A9" s="35">
        <v>1000002</v>
      </c>
      <c r="B9" s="12" t="s">
        <v>9</v>
      </c>
      <c r="C9" s="41"/>
      <c r="D9" s="47">
        <v>1</v>
      </c>
      <c r="E9" s="131"/>
      <c r="F9" s="130"/>
      <c r="G9" s="130"/>
      <c r="H9" s="130">
        <v>2</v>
      </c>
      <c r="I9" s="130"/>
      <c r="J9" s="130"/>
      <c r="K9" s="130"/>
      <c r="L9" s="130">
        <v>2</v>
      </c>
      <c r="M9" s="130"/>
      <c r="N9" s="130"/>
      <c r="O9" s="130"/>
      <c r="P9" s="418">
        <f t="shared" si="0"/>
        <v>4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2</v>
      </c>
      <c r="E10" s="131"/>
      <c r="F10" s="130">
        <v>2</v>
      </c>
      <c r="G10" s="130"/>
      <c r="H10" s="130">
        <v>2</v>
      </c>
      <c r="I10" s="130"/>
      <c r="J10" s="130">
        <v>2</v>
      </c>
      <c r="K10" s="130"/>
      <c r="L10" s="130">
        <v>2</v>
      </c>
      <c r="M10" s="130"/>
      <c r="N10" s="130"/>
      <c r="O10" s="130"/>
      <c r="P10" s="418">
        <f t="shared" si="0"/>
        <v>8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7.5</v>
      </c>
      <c r="E11" s="131"/>
      <c r="F11" s="130">
        <v>5</v>
      </c>
      <c r="G11" s="130"/>
      <c r="H11" s="130">
        <v>5</v>
      </c>
      <c r="I11" s="130"/>
      <c r="J11" s="130">
        <v>5</v>
      </c>
      <c r="K11" s="130"/>
      <c r="L11" s="130">
        <v>5</v>
      </c>
      <c r="M11" s="130"/>
      <c r="N11" s="130"/>
      <c r="O11" s="130"/>
      <c r="P11" s="418">
        <f t="shared" si="0"/>
        <v>20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E12" s="131"/>
      <c r="F12" s="130"/>
      <c r="G12" s="130"/>
      <c r="H12" s="130">
        <v>1</v>
      </c>
      <c r="I12" s="130"/>
      <c r="J12" s="130"/>
      <c r="K12" s="130"/>
      <c r="L12" s="130">
        <v>1</v>
      </c>
      <c r="M12" s="130"/>
      <c r="N12" s="130"/>
      <c r="O12" s="130"/>
      <c r="P12" s="418">
        <f t="shared" si="0"/>
        <v>2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15</v>
      </c>
      <c r="E13" s="131"/>
      <c r="F13" s="130">
        <v>5</v>
      </c>
      <c r="G13" s="130"/>
      <c r="H13" s="130">
        <v>5</v>
      </c>
      <c r="I13" s="130"/>
      <c r="J13" s="130">
        <v>5</v>
      </c>
      <c r="K13" s="130"/>
      <c r="L13" s="130">
        <v>5</v>
      </c>
      <c r="M13" s="130"/>
      <c r="N13" s="130"/>
      <c r="O13" s="130"/>
      <c r="P13" s="418">
        <f t="shared" si="0"/>
        <v>20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E14" s="131"/>
      <c r="F14" s="130">
        <v>5</v>
      </c>
      <c r="G14" s="130"/>
      <c r="H14" s="130"/>
      <c r="I14" s="130"/>
      <c r="J14" s="130"/>
      <c r="K14" s="130"/>
      <c r="L14" s="130"/>
      <c r="M14" s="130"/>
      <c r="N14" s="130"/>
      <c r="O14" s="130"/>
      <c r="P14" s="418">
        <f t="shared" si="0"/>
        <v>5</v>
      </c>
    </row>
    <row r="15" spans="1:16" ht="15.75" thickBot="1" x14ac:dyDescent="0.3">
      <c r="A15" s="35">
        <v>1000049</v>
      </c>
      <c r="B15" s="12" t="s">
        <v>21</v>
      </c>
      <c r="C15" s="41"/>
      <c r="D15" s="47">
        <v>1</v>
      </c>
      <c r="E15" s="131"/>
      <c r="F15" s="130">
        <v>3</v>
      </c>
      <c r="G15" s="130"/>
      <c r="H15" s="130">
        <v>3</v>
      </c>
      <c r="I15" s="130"/>
      <c r="J15" s="130"/>
      <c r="K15" s="130"/>
      <c r="L15" s="130">
        <v>3</v>
      </c>
      <c r="M15" s="130"/>
      <c r="N15" s="130"/>
      <c r="O15" s="130"/>
      <c r="P15" s="418">
        <f t="shared" si="0"/>
        <v>9</v>
      </c>
    </row>
    <row r="16" spans="1:16" ht="15.75" thickBot="1" x14ac:dyDescent="0.3">
      <c r="A16" s="35">
        <v>1000050</v>
      </c>
      <c r="B16" s="13" t="s">
        <v>22</v>
      </c>
      <c r="C16" s="41"/>
      <c r="D16" s="47">
        <v>1</v>
      </c>
      <c r="E16" s="131"/>
      <c r="F16" s="130">
        <v>3</v>
      </c>
      <c r="G16" s="130"/>
      <c r="H16" s="130">
        <v>3</v>
      </c>
      <c r="I16" s="130"/>
      <c r="J16" s="130"/>
      <c r="K16" s="130"/>
      <c r="L16" s="130">
        <v>3</v>
      </c>
      <c r="M16" s="130"/>
      <c r="N16" s="130"/>
      <c r="O16" s="130"/>
      <c r="P16" s="418">
        <f t="shared" si="0"/>
        <v>9</v>
      </c>
    </row>
    <row r="17" spans="1:16" ht="15.75" thickBot="1" x14ac:dyDescent="0.3">
      <c r="A17" s="35">
        <v>1000045</v>
      </c>
      <c r="B17" s="12" t="s">
        <v>23</v>
      </c>
      <c r="C17" s="41"/>
      <c r="D17" s="47">
        <v>1</v>
      </c>
      <c r="E17" s="131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30">
        <f t="shared" ref="P17:P50" si="1">SUM(F17:N17)</f>
        <v>0</v>
      </c>
    </row>
    <row r="18" spans="1:16" ht="15.75" thickBot="1" x14ac:dyDescent="0.3">
      <c r="A18" s="35">
        <v>1000031</v>
      </c>
      <c r="B18" s="14" t="s">
        <v>25</v>
      </c>
      <c r="C18" s="41"/>
      <c r="D18" s="47">
        <v>0</v>
      </c>
      <c r="E18" s="131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30">
        <f t="shared" si="1"/>
        <v>0</v>
      </c>
    </row>
    <row r="19" spans="1:16" ht="15.75" thickBot="1" x14ac:dyDescent="0.3">
      <c r="A19" s="35">
        <v>1000029</v>
      </c>
      <c r="B19" s="12" t="s">
        <v>30</v>
      </c>
      <c r="C19" s="41"/>
      <c r="D19" s="47">
        <v>0</v>
      </c>
      <c r="E19" s="131"/>
      <c r="F19" s="130"/>
      <c r="G19" s="130"/>
      <c r="H19" s="130">
        <v>1</v>
      </c>
      <c r="I19" s="130"/>
      <c r="J19" s="130"/>
      <c r="K19" s="130"/>
      <c r="L19" s="130">
        <v>1</v>
      </c>
      <c r="M19" s="130"/>
      <c r="N19" s="130"/>
      <c r="O19" s="130"/>
      <c r="P19" s="418">
        <f t="shared" si="1"/>
        <v>2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1</v>
      </c>
      <c r="E20" s="131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30">
        <f t="shared" si="1"/>
        <v>0</v>
      </c>
    </row>
    <row r="21" spans="1:16" ht="15.75" thickBot="1" x14ac:dyDescent="0.3">
      <c r="A21" s="35">
        <v>1000100</v>
      </c>
      <c r="B21" s="12" t="s">
        <v>34</v>
      </c>
      <c r="C21" s="41"/>
      <c r="D21" s="47">
        <v>0</v>
      </c>
      <c r="E21" s="131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30">
        <f t="shared" si="1"/>
        <v>0</v>
      </c>
    </row>
    <row r="22" spans="1:16" ht="15.75" thickBot="1" x14ac:dyDescent="0.3">
      <c r="A22" s="35">
        <v>1000073</v>
      </c>
      <c r="B22" s="12" t="s">
        <v>36</v>
      </c>
      <c r="C22" s="41"/>
      <c r="D22" s="47">
        <v>0</v>
      </c>
      <c r="E22" s="131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30">
        <f t="shared" si="1"/>
        <v>0</v>
      </c>
    </row>
    <row r="23" spans="1:16" ht="15.75" thickBot="1" x14ac:dyDescent="0.3">
      <c r="A23" s="35">
        <v>1000084</v>
      </c>
      <c r="B23" s="14" t="s">
        <v>38</v>
      </c>
      <c r="C23" s="41"/>
      <c r="D23" s="47">
        <v>12</v>
      </c>
      <c r="E23" s="131"/>
      <c r="F23" s="130">
        <v>8</v>
      </c>
      <c r="G23" s="130"/>
      <c r="H23" s="130">
        <v>8</v>
      </c>
      <c r="I23" s="130"/>
      <c r="J23" s="130">
        <v>8</v>
      </c>
      <c r="K23" s="130"/>
      <c r="L23" s="130">
        <v>12</v>
      </c>
      <c r="M23" s="130"/>
      <c r="N23" s="130"/>
      <c r="O23" s="130"/>
      <c r="P23" s="418">
        <f t="shared" si="1"/>
        <v>36</v>
      </c>
    </row>
    <row r="24" spans="1:16" ht="15.75" thickBot="1" x14ac:dyDescent="0.3">
      <c r="A24" s="35">
        <v>1000146</v>
      </c>
      <c r="B24" s="14" t="s">
        <v>39</v>
      </c>
      <c r="C24" s="41"/>
      <c r="D24" s="47">
        <v>20</v>
      </c>
      <c r="E24" s="131"/>
      <c r="F24" s="130">
        <v>20</v>
      </c>
      <c r="G24" s="130"/>
      <c r="H24" s="130">
        <v>20</v>
      </c>
      <c r="I24" s="130"/>
      <c r="J24" s="130"/>
      <c r="K24" s="130"/>
      <c r="L24" s="130">
        <v>40</v>
      </c>
      <c r="M24" s="130"/>
      <c r="N24" s="130"/>
      <c r="O24" s="130"/>
      <c r="P24" s="418">
        <f t="shared" si="1"/>
        <v>80</v>
      </c>
    </row>
    <row r="25" spans="1:16" ht="15.75" thickBot="1" x14ac:dyDescent="0.3">
      <c r="A25" s="35">
        <v>10248</v>
      </c>
      <c r="B25" s="14" t="s">
        <v>183</v>
      </c>
      <c r="C25" s="41"/>
      <c r="D25" s="47">
        <v>0</v>
      </c>
      <c r="E25" s="131"/>
      <c r="F25" s="130">
        <v>6</v>
      </c>
      <c r="G25" s="130"/>
      <c r="H25" s="130">
        <v>6</v>
      </c>
      <c r="I25" s="130"/>
      <c r="J25" s="130">
        <v>6</v>
      </c>
      <c r="K25" s="130"/>
      <c r="L25" s="130">
        <v>6</v>
      </c>
      <c r="M25" s="130"/>
      <c r="N25" s="130"/>
      <c r="O25" s="130"/>
      <c r="P25" s="418">
        <f t="shared" si="1"/>
        <v>24</v>
      </c>
    </row>
    <row r="26" spans="1:16" ht="15.75" thickBot="1" x14ac:dyDescent="0.3">
      <c r="A26" s="35">
        <v>1000090</v>
      </c>
      <c r="B26" s="14" t="s">
        <v>40</v>
      </c>
      <c r="C26" s="41"/>
      <c r="D26" s="47">
        <v>0</v>
      </c>
      <c r="E26" s="131"/>
      <c r="F26" s="130"/>
      <c r="G26" s="130"/>
      <c r="H26" s="130">
        <v>3</v>
      </c>
      <c r="I26" s="130"/>
      <c r="J26" s="130"/>
      <c r="K26" s="130"/>
      <c r="L26" s="130">
        <v>3</v>
      </c>
      <c r="M26" s="130"/>
      <c r="N26" s="130"/>
      <c r="O26" s="130"/>
      <c r="P26" s="418">
        <f t="shared" si="1"/>
        <v>6</v>
      </c>
    </row>
    <row r="27" spans="1:16" ht="15.75" thickBot="1" x14ac:dyDescent="0.3">
      <c r="A27" s="35">
        <v>1000052</v>
      </c>
      <c r="B27" s="14" t="s">
        <v>41</v>
      </c>
      <c r="C27" s="41"/>
      <c r="D27" s="47">
        <v>1</v>
      </c>
      <c r="E27" s="131"/>
      <c r="F27" s="130"/>
      <c r="G27" s="130"/>
      <c r="H27" s="130">
        <v>3</v>
      </c>
      <c r="I27" s="130"/>
      <c r="J27" s="130"/>
      <c r="K27" s="130"/>
      <c r="L27" s="130">
        <v>3</v>
      </c>
      <c r="M27" s="130"/>
      <c r="N27" s="130"/>
      <c r="O27" s="130"/>
      <c r="P27" s="418">
        <f t="shared" si="1"/>
        <v>6</v>
      </c>
    </row>
    <row r="28" spans="1:16" ht="15.75" thickBot="1" x14ac:dyDescent="0.3">
      <c r="A28" s="35">
        <v>1000089</v>
      </c>
      <c r="B28" s="14" t="s">
        <v>42</v>
      </c>
      <c r="C28" s="41"/>
      <c r="D28" s="47">
        <v>1</v>
      </c>
      <c r="E28" s="131"/>
      <c r="F28" s="130"/>
      <c r="G28" s="130"/>
      <c r="H28" s="130">
        <v>3</v>
      </c>
      <c r="I28" s="130"/>
      <c r="J28" s="130"/>
      <c r="K28" s="130"/>
      <c r="L28" s="130">
        <v>3</v>
      </c>
      <c r="M28" s="130"/>
      <c r="N28" s="130"/>
      <c r="O28" s="130"/>
      <c r="P28" s="418">
        <f t="shared" si="1"/>
        <v>6</v>
      </c>
    </row>
    <row r="29" spans="1:16" ht="15.75" thickBot="1" x14ac:dyDescent="0.3">
      <c r="A29" s="35">
        <v>1000051</v>
      </c>
      <c r="B29" s="14" t="s">
        <v>43</v>
      </c>
      <c r="C29" s="41"/>
      <c r="D29" s="47">
        <v>1</v>
      </c>
      <c r="E29" s="131"/>
      <c r="F29" s="130"/>
      <c r="G29" s="130"/>
      <c r="H29" s="130">
        <v>2</v>
      </c>
      <c r="I29" s="130"/>
      <c r="J29" s="130"/>
      <c r="K29" s="130"/>
      <c r="L29" s="130">
        <v>2</v>
      </c>
      <c r="M29" s="130"/>
      <c r="N29" s="130"/>
      <c r="O29" s="130"/>
      <c r="P29" s="418">
        <f t="shared" si="1"/>
        <v>4</v>
      </c>
    </row>
    <row r="30" spans="1:16" ht="15.75" thickBot="1" x14ac:dyDescent="0.3">
      <c r="A30" s="35">
        <v>1000048</v>
      </c>
      <c r="B30" s="14" t="s">
        <v>45</v>
      </c>
      <c r="C30" s="41"/>
      <c r="D30" s="47">
        <v>0</v>
      </c>
      <c r="E30" s="131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30">
        <f t="shared" si="1"/>
        <v>0</v>
      </c>
    </row>
    <row r="31" spans="1:16" ht="15.75" thickBot="1" x14ac:dyDescent="0.3">
      <c r="A31" s="35">
        <v>10000015</v>
      </c>
      <c r="B31" s="14" t="s">
        <v>1</v>
      </c>
      <c r="C31" s="41"/>
      <c r="D31" s="47">
        <v>10</v>
      </c>
      <c r="E31" s="131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30">
        <f t="shared" si="1"/>
        <v>0</v>
      </c>
    </row>
    <row r="32" spans="1:16" ht="15.75" thickBot="1" x14ac:dyDescent="0.3">
      <c r="A32" s="35">
        <v>10000102</v>
      </c>
      <c r="B32" s="14" t="s">
        <v>2</v>
      </c>
      <c r="C32" s="41"/>
      <c r="D32" s="47"/>
      <c r="E32" s="131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30">
        <f t="shared" si="1"/>
        <v>0</v>
      </c>
    </row>
    <row r="33" spans="1:16" s="15" customFormat="1" ht="15.95" customHeight="1" thickBot="1" x14ac:dyDescent="0.3">
      <c r="A33" s="35">
        <v>1000033</v>
      </c>
      <c r="B33" s="14" t="s">
        <v>27</v>
      </c>
      <c r="C33" s="41"/>
      <c r="D33" s="47"/>
      <c r="E33" s="131"/>
      <c r="F33" s="130"/>
      <c r="G33" s="130"/>
      <c r="H33" s="130">
        <v>1</v>
      </c>
      <c r="I33" s="130"/>
      <c r="J33" s="130"/>
      <c r="K33" s="130"/>
      <c r="L33" s="130">
        <v>1</v>
      </c>
      <c r="M33" s="130"/>
      <c r="N33" s="130"/>
      <c r="O33" s="130"/>
      <c r="P33" s="418">
        <f t="shared" si="1"/>
        <v>2</v>
      </c>
    </row>
    <row r="34" spans="1:16" ht="15.75" thickBot="1" x14ac:dyDescent="0.3">
      <c r="A34" s="35">
        <v>1000157</v>
      </c>
      <c r="B34" s="14" t="s">
        <v>97</v>
      </c>
      <c r="C34" s="41"/>
      <c r="D34" s="47"/>
      <c r="E34" s="131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30">
        <f t="shared" si="1"/>
        <v>0</v>
      </c>
    </row>
    <row r="35" spans="1:16" ht="15.75" thickBot="1" x14ac:dyDescent="0.3">
      <c r="A35" s="35">
        <v>1000067</v>
      </c>
      <c r="B35" s="14" t="s">
        <v>11</v>
      </c>
      <c r="C35" s="41"/>
      <c r="D35" s="47"/>
      <c r="E35" s="131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30">
        <f t="shared" si="1"/>
        <v>0</v>
      </c>
    </row>
    <row r="36" spans="1:16" ht="15.75" thickBot="1" x14ac:dyDescent="0.3">
      <c r="A36" s="35">
        <v>1000034</v>
      </c>
      <c r="B36" s="14" t="s">
        <v>28</v>
      </c>
      <c r="C36" s="41"/>
      <c r="D36" s="47"/>
      <c r="E36" s="131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30">
        <f t="shared" si="1"/>
        <v>0</v>
      </c>
    </row>
    <row r="37" spans="1:16" ht="15.75" thickBot="1" x14ac:dyDescent="0.3">
      <c r="A37" s="35">
        <v>1000142</v>
      </c>
      <c r="B37" s="14" t="s">
        <v>54</v>
      </c>
      <c r="C37" s="41"/>
      <c r="D37" s="47"/>
      <c r="E37" s="131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30">
        <f t="shared" si="1"/>
        <v>0</v>
      </c>
    </row>
    <row r="38" spans="1:16" ht="15.75" thickBot="1" x14ac:dyDescent="0.3">
      <c r="A38" s="35">
        <v>1000075</v>
      </c>
      <c r="B38" s="14" t="s">
        <v>47</v>
      </c>
      <c r="C38" s="41"/>
      <c r="D38" s="47"/>
      <c r="E38" s="131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30">
        <f t="shared" si="1"/>
        <v>0</v>
      </c>
    </row>
    <row r="39" spans="1:16" ht="15.75" thickBot="1" x14ac:dyDescent="0.3">
      <c r="A39" s="35">
        <v>1000383</v>
      </c>
      <c r="B39" s="14" t="s">
        <v>264</v>
      </c>
      <c r="C39" s="41"/>
      <c r="D39" s="47"/>
      <c r="E39" s="131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30">
        <f t="shared" si="1"/>
        <v>0</v>
      </c>
    </row>
    <row r="40" spans="1:16" ht="15.75" thickBot="1" x14ac:dyDescent="0.3">
      <c r="A40" s="35">
        <v>1000486</v>
      </c>
      <c r="B40" s="14" t="s">
        <v>263</v>
      </c>
      <c r="C40" s="41"/>
      <c r="D40" s="47"/>
      <c r="E40" s="131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30">
        <f t="shared" si="1"/>
        <v>0</v>
      </c>
    </row>
    <row r="41" spans="1:16" ht="15.75" thickBot="1" x14ac:dyDescent="0.3">
      <c r="A41" s="35">
        <v>1000157</v>
      </c>
      <c r="B41" s="14" t="s">
        <v>226</v>
      </c>
      <c r="C41" s="41"/>
      <c r="D41" s="47"/>
      <c r="E41" s="131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30">
        <f t="shared" si="1"/>
        <v>0</v>
      </c>
    </row>
    <row r="42" spans="1:16" ht="15.75" thickBot="1" x14ac:dyDescent="0.3">
      <c r="A42" s="35">
        <v>1000440</v>
      </c>
      <c r="B42" s="14" t="s">
        <v>199</v>
      </c>
      <c r="C42" s="41"/>
      <c r="D42" s="47"/>
      <c r="E42" s="131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30">
        <f t="shared" si="1"/>
        <v>0</v>
      </c>
    </row>
    <row r="43" spans="1:16" ht="15.75" thickBot="1" x14ac:dyDescent="0.3">
      <c r="A43" s="35">
        <v>1000076</v>
      </c>
      <c r="B43" s="14" t="s">
        <v>46</v>
      </c>
      <c r="C43" s="41"/>
      <c r="D43" s="47"/>
      <c r="E43" s="131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30">
        <f t="shared" si="1"/>
        <v>0</v>
      </c>
    </row>
    <row r="44" spans="1:16" ht="15.75" thickBot="1" x14ac:dyDescent="0.3">
      <c r="A44" s="35">
        <v>1000147</v>
      </c>
      <c r="B44" s="14" t="s">
        <v>52</v>
      </c>
      <c r="C44" s="41"/>
      <c r="D44" s="47"/>
      <c r="E44" s="131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30">
        <f t="shared" si="1"/>
        <v>0</v>
      </c>
    </row>
    <row r="45" spans="1:16" ht="15.75" thickBot="1" x14ac:dyDescent="0.3">
      <c r="A45" s="35">
        <v>1000436</v>
      </c>
      <c r="B45" s="14" t="s">
        <v>276</v>
      </c>
      <c r="C45" s="41"/>
      <c r="D45" s="47"/>
      <c r="E45" s="131"/>
      <c r="F45" s="130"/>
      <c r="G45" s="130"/>
      <c r="H45" s="130"/>
      <c r="I45" s="130"/>
      <c r="J45" s="130">
        <v>20</v>
      </c>
      <c r="K45" s="130"/>
      <c r="L45" s="130"/>
      <c r="M45" s="130"/>
      <c r="N45" s="130"/>
      <c r="O45" s="130"/>
      <c r="P45" s="418">
        <f t="shared" si="1"/>
        <v>20</v>
      </c>
    </row>
    <row r="46" spans="1:16" ht="15.75" thickBot="1" x14ac:dyDescent="0.3">
      <c r="A46" s="35">
        <v>1000550</v>
      </c>
      <c r="B46" s="14" t="s">
        <v>277</v>
      </c>
      <c r="C46" s="41"/>
      <c r="D46" s="47"/>
      <c r="E46" s="131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30">
        <f t="shared" si="1"/>
        <v>0</v>
      </c>
    </row>
    <row r="47" spans="1:16" ht="15.75" thickBot="1" x14ac:dyDescent="0.3">
      <c r="A47" s="35">
        <v>1000551</v>
      </c>
      <c r="B47" s="14" t="s">
        <v>278</v>
      </c>
      <c r="C47" s="41"/>
      <c r="D47" s="47"/>
      <c r="E47" s="131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30">
        <f t="shared" si="1"/>
        <v>0</v>
      </c>
    </row>
    <row r="48" spans="1:16" ht="15.75" thickBot="1" x14ac:dyDescent="0.3">
      <c r="A48" s="35">
        <v>1000552</v>
      </c>
      <c r="B48" s="14" t="s">
        <v>279</v>
      </c>
      <c r="C48" s="41"/>
      <c r="D48" s="47"/>
      <c r="E48" s="131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30">
        <f t="shared" si="1"/>
        <v>0</v>
      </c>
    </row>
    <row r="49" spans="1:16" s="200" customFormat="1" ht="15.75" thickBot="1" x14ac:dyDescent="0.3">
      <c r="A49" s="38">
        <v>1000080</v>
      </c>
      <c r="B49" s="17" t="s">
        <v>275</v>
      </c>
      <c r="C49" s="41"/>
      <c r="D49" s="46"/>
      <c r="E49" s="27"/>
      <c r="F49" s="130">
        <v>48</v>
      </c>
      <c r="G49" s="130"/>
      <c r="H49" s="130">
        <v>48</v>
      </c>
      <c r="I49" s="130"/>
      <c r="J49" s="130">
        <v>48</v>
      </c>
      <c r="K49" s="130"/>
      <c r="L49" s="130">
        <v>96</v>
      </c>
      <c r="M49" s="130"/>
      <c r="N49" s="130"/>
      <c r="O49" s="130"/>
      <c r="P49" s="418">
        <f t="shared" si="1"/>
        <v>240</v>
      </c>
    </row>
    <row r="50" spans="1:16" ht="15.75" thickBot="1" x14ac:dyDescent="0.3">
      <c r="A50" s="83"/>
      <c r="B50" s="11"/>
      <c r="D50" s="46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30">
        <f t="shared" si="1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1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B37A-77FA-400B-B67B-7A1D8C1A57D4}">
  <sheetPr>
    <tabColor rgb="FFFFFF00"/>
    <pageSetUpPr fitToPage="1"/>
  </sheetPr>
  <dimension ref="A1:P58"/>
  <sheetViews>
    <sheetView zoomScale="70" zoomScaleNormal="70" workbookViewId="0">
      <selection activeCell="R45" sqref="R45"/>
    </sheetView>
  </sheetViews>
  <sheetFormatPr baseColWidth="10" defaultColWidth="10.875" defaultRowHeight="15" x14ac:dyDescent="0.25"/>
  <cols>
    <col min="1" max="1" width="10.2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6.5" style="27" customWidth="1"/>
    <col min="8" max="8" width="9.25" style="27" customWidth="1"/>
    <col min="9" max="9" width="6.875" style="27" customWidth="1"/>
    <col min="10" max="10" width="9.125" style="27" bestFit="1" customWidth="1"/>
    <col min="11" max="11" width="6.25" style="27" customWidth="1"/>
    <col min="12" max="12" width="9.125" style="27" bestFit="1" customWidth="1"/>
    <col min="13" max="13" width="6.25" style="27" customWidth="1"/>
    <col min="14" max="14" width="9.125" style="27" bestFit="1" customWidth="1"/>
    <col min="15" max="15" width="6.5" style="27" customWidth="1"/>
    <col min="16" max="16384" width="10.875" style="27"/>
  </cols>
  <sheetData>
    <row r="1" spans="1:16" ht="17.25" customHeight="1" x14ac:dyDescent="0.45">
      <c r="A1" s="686" t="s">
        <v>100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</row>
    <row r="3" spans="1:16" s="3" customFormat="1" ht="24.75" customHeight="1" thickBot="1" x14ac:dyDescent="0.3">
      <c r="A3" s="5"/>
      <c r="B3" s="5" t="s">
        <v>409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58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7">
        <v>50</v>
      </c>
      <c r="F6" s="28">
        <v>50</v>
      </c>
      <c r="G6" s="28"/>
      <c r="H6" s="28">
        <v>50</v>
      </c>
      <c r="I6" s="28"/>
      <c r="J6" s="28">
        <v>50</v>
      </c>
      <c r="K6" s="28"/>
      <c r="L6" s="28">
        <v>150</v>
      </c>
      <c r="M6" s="28"/>
      <c r="N6" s="28"/>
      <c r="O6" s="28"/>
      <c r="P6" s="418">
        <f t="shared" si="0"/>
        <v>300</v>
      </c>
    </row>
    <row r="7" spans="1:16" ht="15.75" thickBot="1" x14ac:dyDescent="0.3">
      <c r="A7" s="35">
        <v>1000007</v>
      </c>
      <c r="B7" s="12" t="s">
        <v>5</v>
      </c>
      <c r="C7" s="41"/>
      <c r="D7" s="47">
        <v>50</v>
      </c>
      <c r="F7" s="28">
        <v>50</v>
      </c>
      <c r="G7" s="28"/>
      <c r="H7" s="28"/>
      <c r="I7" s="28"/>
      <c r="J7" s="28">
        <v>50</v>
      </c>
      <c r="K7" s="28"/>
      <c r="L7" s="28">
        <v>150</v>
      </c>
      <c r="M7" s="28"/>
      <c r="N7" s="28"/>
      <c r="O7" s="28"/>
      <c r="P7" s="418">
        <f t="shared" si="0"/>
        <v>250</v>
      </c>
    </row>
    <row r="8" spans="1:16" ht="15.75" thickBot="1" x14ac:dyDescent="0.3">
      <c r="A8" s="35">
        <v>1000001</v>
      </c>
      <c r="B8" s="12" t="s">
        <v>8</v>
      </c>
      <c r="C8" s="41"/>
      <c r="D8" s="47">
        <v>1</v>
      </c>
      <c r="F8" s="28">
        <v>2</v>
      </c>
      <c r="G8" s="28"/>
      <c r="H8" s="28">
        <v>2</v>
      </c>
      <c r="I8" s="28"/>
      <c r="J8" s="28">
        <v>2</v>
      </c>
      <c r="K8" s="28"/>
      <c r="L8" s="28">
        <v>2</v>
      </c>
      <c r="M8" s="28"/>
      <c r="N8" s="28"/>
      <c r="O8" s="28"/>
      <c r="P8" s="418">
        <f t="shared" si="0"/>
        <v>8</v>
      </c>
    </row>
    <row r="9" spans="1:16" ht="15.75" thickBot="1" x14ac:dyDescent="0.3">
      <c r="A9" s="35">
        <v>1000002</v>
      </c>
      <c r="B9" s="12" t="s">
        <v>9</v>
      </c>
      <c r="C9" s="41"/>
      <c r="D9" s="47">
        <v>2</v>
      </c>
      <c r="F9" s="28">
        <v>1</v>
      </c>
      <c r="G9" s="28"/>
      <c r="H9" s="28"/>
      <c r="I9" s="28"/>
      <c r="J9" s="28"/>
      <c r="K9" s="28"/>
      <c r="L9" s="28"/>
      <c r="M9" s="28"/>
      <c r="N9" s="28"/>
      <c r="O9" s="28"/>
      <c r="P9" s="418">
        <f t="shared" si="0"/>
        <v>1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0</v>
      </c>
      <c r="F10" s="28">
        <v>2</v>
      </c>
      <c r="G10" s="28"/>
      <c r="H10" s="28">
        <v>2</v>
      </c>
      <c r="I10" s="28"/>
      <c r="J10" s="28">
        <v>2</v>
      </c>
      <c r="K10" s="28"/>
      <c r="L10" s="28">
        <v>2</v>
      </c>
      <c r="M10" s="28"/>
      <c r="N10" s="28"/>
      <c r="O10" s="28"/>
      <c r="P10" s="418">
        <f t="shared" si="0"/>
        <v>8</v>
      </c>
    </row>
    <row r="11" spans="1:16" ht="15.75" thickBot="1" x14ac:dyDescent="0.3">
      <c r="A11" s="35">
        <v>1000067</v>
      </c>
      <c r="B11" s="12" t="s">
        <v>11</v>
      </c>
      <c r="C11" s="41"/>
      <c r="D11" s="47">
        <v>0</v>
      </c>
      <c r="F11" s="28">
        <v>1</v>
      </c>
      <c r="G11" s="28"/>
      <c r="H11" s="28"/>
      <c r="I11" s="28"/>
      <c r="J11" s="28">
        <v>1</v>
      </c>
      <c r="K11" s="28"/>
      <c r="L11" s="28">
        <v>1</v>
      </c>
      <c r="M11" s="28"/>
      <c r="N11" s="28"/>
      <c r="O11" s="28"/>
      <c r="P11" s="418">
        <f t="shared" si="0"/>
        <v>3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5</v>
      </c>
      <c r="F12" s="28">
        <v>5</v>
      </c>
      <c r="G12" s="28"/>
      <c r="H12" s="28">
        <v>5</v>
      </c>
      <c r="I12" s="28"/>
      <c r="J12" s="28">
        <v>5</v>
      </c>
      <c r="K12" s="28"/>
      <c r="L12" s="28">
        <v>10</v>
      </c>
      <c r="M12" s="28"/>
      <c r="N12" s="28"/>
      <c r="O12" s="28"/>
      <c r="P12" s="418">
        <f t="shared" si="0"/>
        <v>25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0</v>
      </c>
      <c r="F13" s="28"/>
      <c r="G13" s="28"/>
      <c r="H13" s="28">
        <v>1</v>
      </c>
      <c r="I13" s="28"/>
      <c r="J13" s="28">
        <v>1</v>
      </c>
      <c r="K13" s="28"/>
      <c r="L13" s="28">
        <v>1</v>
      </c>
      <c r="M13" s="28"/>
      <c r="N13" s="28"/>
      <c r="O13" s="28"/>
      <c r="P13" s="418">
        <f t="shared" si="0"/>
        <v>3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15</v>
      </c>
      <c r="F14" s="28">
        <v>10</v>
      </c>
      <c r="G14" s="28"/>
      <c r="H14" s="28">
        <v>10</v>
      </c>
      <c r="I14" s="28"/>
      <c r="J14" s="28">
        <v>10</v>
      </c>
      <c r="K14" s="28"/>
      <c r="L14" s="28">
        <v>10</v>
      </c>
      <c r="M14" s="28"/>
      <c r="N14" s="28"/>
      <c r="O14" s="28"/>
      <c r="P14" s="418">
        <f t="shared" si="0"/>
        <v>40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2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1000011</v>
      </c>
      <c r="B17" s="12" t="s">
        <v>18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1000031</v>
      </c>
      <c r="B18" s="14" t="s">
        <v>25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1000025</v>
      </c>
      <c r="B19" s="12" t="s">
        <v>32</v>
      </c>
      <c r="C19" s="41"/>
      <c r="D19" s="47">
        <v>1.1666666666666667</v>
      </c>
      <c r="F19" s="28"/>
      <c r="G19" s="28"/>
      <c r="H19" s="28"/>
      <c r="I19" s="28"/>
      <c r="J19" s="28"/>
      <c r="K19" s="28"/>
      <c r="L19" s="28">
        <v>5</v>
      </c>
      <c r="M19" s="28"/>
      <c r="N19" s="28"/>
      <c r="O19" s="28"/>
      <c r="P19" s="418">
        <f t="shared" si="0"/>
        <v>5</v>
      </c>
    </row>
    <row r="20" spans="1:16" ht="15.75" thickBot="1" x14ac:dyDescent="0.3">
      <c r="A20" s="35">
        <v>1000082</v>
      </c>
      <c r="B20" s="12" t="s">
        <v>37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1000084</v>
      </c>
      <c r="B21" s="12" t="s">
        <v>38</v>
      </c>
      <c r="C21" s="41"/>
      <c r="D21" s="47">
        <v>4</v>
      </c>
      <c r="F21" s="28">
        <v>4</v>
      </c>
      <c r="G21" s="28"/>
      <c r="H21" s="28">
        <v>4</v>
      </c>
      <c r="I21" s="28"/>
      <c r="J21" s="28">
        <v>4</v>
      </c>
      <c r="K21" s="28"/>
      <c r="L21" s="28">
        <v>8</v>
      </c>
      <c r="M21" s="28"/>
      <c r="N21" s="28"/>
      <c r="O21" s="28"/>
      <c r="P21" s="418">
        <f t="shared" si="0"/>
        <v>20</v>
      </c>
    </row>
    <row r="22" spans="1:16" ht="15.75" thickBot="1" x14ac:dyDescent="0.3">
      <c r="A22" s="35">
        <v>1000146</v>
      </c>
      <c r="B22" s="12" t="s">
        <v>39</v>
      </c>
      <c r="C22" s="41"/>
      <c r="D22" s="47">
        <v>1</v>
      </c>
      <c r="F22" s="28">
        <v>10</v>
      </c>
      <c r="G22" s="28"/>
      <c r="H22" s="28"/>
      <c r="I22" s="28"/>
      <c r="J22" s="28">
        <v>10</v>
      </c>
      <c r="K22" s="28"/>
      <c r="L22" s="28">
        <v>10</v>
      </c>
      <c r="M22" s="28"/>
      <c r="N22" s="28"/>
      <c r="O22" s="28"/>
      <c r="P22" s="418">
        <f t="shared" si="0"/>
        <v>30</v>
      </c>
    </row>
    <row r="23" spans="1:16" ht="15.75" thickBot="1" x14ac:dyDescent="0.3">
      <c r="A23" s="35">
        <v>1000052</v>
      </c>
      <c r="B23" s="12" t="s">
        <v>41</v>
      </c>
      <c r="C23" s="41"/>
      <c r="D23" s="47">
        <v>1</v>
      </c>
      <c r="F23" s="28">
        <v>2</v>
      </c>
      <c r="G23" s="28"/>
      <c r="H23" s="28"/>
      <c r="I23" s="28"/>
      <c r="J23" s="28"/>
      <c r="K23" s="28"/>
      <c r="L23" s="28"/>
      <c r="M23" s="28"/>
      <c r="N23" s="28"/>
      <c r="O23" s="28"/>
      <c r="P23" s="418">
        <f t="shared" si="0"/>
        <v>2</v>
      </c>
    </row>
    <row r="24" spans="1:16" ht="15.75" thickBot="1" x14ac:dyDescent="0.3">
      <c r="A24" s="35">
        <v>1000089</v>
      </c>
      <c r="B24" s="12" t="s">
        <v>42</v>
      </c>
      <c r="C24" s="41"/>
      <c r="D24" s="47">
        <v>1</v>
      </c>
      <c r="E24" s="15"/>
      <c r="F24" s="28">
        <v>2</v>
      </c>
      <c r="G24" s="28"/>
      <c r="H24" s="28"/>
      <c r="I24" s="28"/>
      <c r="J24" s="28"/>
      <c r="K24" s="28"/>
      <c r="L24" s="28"/>
      <c r="M24" s="28"/>
      <c r="N24" s="28"/>
      <c r="O24" s="28"/>
      <c r="P24" s="418">
        <f t="shared" si="0"/>
        <v>2</v>
      </c>
    </row>
    <row r="25" spans="1:16" ht="15.75" thickBot="1" x14ac:dyDescent="0.3">
      <c r="A25" s="44">
        <v>1000051</v>
      </c>
      <c r="B25" s="13" t="s">
        <v>43</v>
      </c>
      <c r="C25" s="41"/>
      <c r="D25" s="47">
        <v>0</v>
      </c>
      <c r="F25" s="28"/>
      <c r="G25" s="28"/>
      <c r="H25" s="28">
        <v>2</v>
      </c>
      <c r="I25" s="28"/>
      <c r="J25" s="28"/>
      <c r="K25" s="28"/>
      <c r="L25" s="28"/>
      <c r="M25" s="28"/>
      <c r="N25" s="28"/>
      <c r="O25" s="28"/>
      <c r="P25" s="418">
        <f t="shared" si="0"/>
        <v>2</v>
      </c>
    </row>
    <row r="26" spans="1:16" ht="15.75" thickBot="1" x14ac:dyDescent="0.3">
      <c r="A26" s="44">
        <v>1000048</v>
      </c>
      <c r="B26" s="13" t="s">
        <v>45</v>
      </c>
      <c r="C26" s="41"/>
      <c r="D26" s="47">
        <v>0</v>
      </c>
      <c r="F26" s="28"/>
      <c r="G26" s="28"/>
      <c r="H26" s="28">
        <v>2</v>
      </c>
      <c r="I26" s="28"/>
      <c r="J26" s="28"/>
      <c r="K26" s="28"/>
      <c r="L26" s="28"/>
      <c r="M26" s="28"/>
      <c r="N26" s="28"/>
      <c r="O26" s="28"/>
      <c r="P26" s="418">
        <f t="shared" si="0"/>
        <v>2</v>
      </c>
    </row>
    <row r="27" spans="1:16" ht="15.75" thickBot="1" x14ac:dyDescent="0.3">
      <c r="A27" s="44">
        <v>1000076</v>
      </c>
      <c r="B27" s="13" t="s">
        <v>46</v>
      </c>
      <c r="C27" s="41"/>
      <c r="D27" s="47">
        <v>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1000050</v>
      </c>
      <c r="B28" s="12" t="s">
        <v>22</v>
      </c>
      <c r="C28" s="41"/>
      <c r="D28" s="47">
        <v>2</v>
      </c>
      <c r="F28" s="28"/>
      <c r="G28" s="28"/>
      <c r="H28" s="28">
        <v>2</v>
      </c>
      <c r="I28" s="28"/>
      <c r="J28" s="28"/>
      <c r="K28" s="28"/>
      <c r="L28" s="28"/>
      <c r="M28" s="28"/>
      <c r="N28" s="28"/>
      <c r="O28" s="28"/>
      <c r="P28" s="418">
        <f t="shared" si="0"/>
        <v>2</v>
      </c>
    </row>
    <row r="29" spans="1:16" ht="15.75" thickBot="1" x14ac:dyDescent="0.3">
      <c r="A29" s="70">
        <v>1000045</v>
      </c>
      <c r="B29" s="1" t="s">
        <v>23</v>
      </c>
      <c r="C29" s="41"/>
      <c r="D29" s="4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s="15" customFormat="1" ht="15.95" customHeight="1" thickBot="1" x14ac:dyDescent="0.3">
      <c r="A30" s="70">
        <v>1000033</v>
      </c>
      <c r="B30" s="1" t="s">
        <v>27</v>
      </c>
      <c r="C30" s="41"/>
      <c r="D30" s="4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119">
        <v>1000087</v>
      </c>
      <c r="B31" s="1" t="s">
        <v>69</v>
      </c>
      <c r="C31" s="41"/>
      <c r="D31" s="47"/>
      <c r="E31" s="15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1000384</v>
      </c>
      <c r="B32" s="12" t="s">
        <v>189</v>
      </c>
      <c r="C32" s="41"/>
      <c r="D32" s="4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1000034</v>
      </c>
      <c r="B33" s="12" t="s">
        <v>28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1000027</v>
      </c>
      <c r="B34" s="12" t="s">
        <v>33</v>
      </c>
      <c r="C34" s="41"/>
      <c r="D34" s="47"/>
      <c r="F34" s="28"/>
      <c r="G34" s="28"/>
      <c r="H34" s="28">
        <v>6</v>
      </c>
      <c r="I34" s="28"/>
      <c r="J34" s="28"/>
      <c r="K34" s="28"/>
      <c r="L34" s="28">
        <v>6</v>
      </c>
      <c r="M34" s="28"/>
      <c r="N34" s="28"/>
      <c r="O34" s="28"/>
      <c r="P34" s="418">
        <f t="shared" si="0"/>
        <v>12</v>
      </c>
    </row>
    <row r="35" spans="1:16" ht="15.75" thickBot="1" x14ac:dyDescent="0.3">
      <c r="A35" s="35">
        <v>1000049</v>
      </c>
      <c r="B35" s="12" t="s">
        <v>21</v>
      </c>
      <c r="C35" s="41"/>
      <c r="D35" s="47"/>
      <c r="F35" s="28"/>
      <c r="G35" s="28"/>
      <c r="H35" s="28">
        <v>2</v>
      </c>
      <c r="I35" s="28"/>
      <c r="J35" s="28"/>
      <c r="K35" s="28"/>
      <c r="L35" s="28"/>
      <c r="M35" s="28"/>
      <c r="N35" s="28"/>
      <c r="O35" s="28"/>
      <c r="P35" s="418">
        <f t="shared" si="0"/>
        <v>2</v>
      </c>
    </row>
    <row r="36" spans="1:16" ht="15.75" thickBot="1" x14ac:dyDescent="0.3">
      <c r="A36" s="35">
        <v>1000472</v>
      </c>
      <c r="B36" s="12" t="s">
        <v>222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1000008</v>
      </c>
      <c r="B37" s="12" t="s">
        <v>7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1000383</v>
      </c>
      <c r="B38" s="12" t="s">
        <v>264</v>
      </c>
      <c r="C38" s="41"/>
      <c r="D38" s="47"/>
      <c r="F38" s="28"/>
      <c r="G38" s="28"/>
      <c r="H38" s="28">
        <v>72</v>
      </c>
      <c r="I38" s="28"/>
      <c r="J38" s="28">
        <v>72</v>
      </c>
      <c r="K38" s="28"/>
      <c r="L38" s="28">
        <v>96</v>
      </c>
      <c r="M38" s="28"/>
      <c r="N38" s="28"/>
      <c r="O38" s="28"/>
      <c r="P38" s="418">
        <f t="shared" si="0"/>
        <v>240</v>
      </c>
    </row>
    <row r="39" spans="1:16" ht="15.75" thickBot="1" x14ac:dyDescent="0.3">
      <c r="A39" s="35">
        <v>1000486</v>
      </c>
      <c r="B39" s="12" t="s">
        <v>263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1000009</v>
      </c>
      <c r="B40" s="12" t="s">
        <v>19</v>
      </c>
      <c r="C40" s="41"/>
      <c r="D40" s="47"/>
      <c r="F40" s="28"/>
      <c r="G40" s="28"/>
      <c r="H40" s="28"/>
      <c r="I40" s="28"/>
      <c r="J40" s="28"/>
      <c r="K40" s="28"/>
      <c r="L40" s="28">
        <v>2</v>
      </c>
      <c r="M40" s="28"/>
      <c r="N40" s="28"/>
      <c r="O40" s="28"/>
      <c r="P40" s="418">
        <f t="shared" si="0"/>
        <v>2</v>
      </c>
    </row>
    <row r="41" spans="1:16" ht="15.75" thickBot="1" x14ac:dyDescent="0.3">
      <c r="A41" s="35">
        <v>1000010</v>
      </c>
      <c r="B41" s="12" t="s">
        <v>17</v>
      </c>
      <c r="C41" s="41"/>
      <c r="D41" s="47"/>
      <c r="F41" s="28"/>
      <c r="G41" s="28"/>
      <c r="H41" s="28">
        <v>1</v>
      </c>
      <c r="I41" s="28"/>
      <c r="J41" s="28"/>
      <c r="K41" s="28"/>
      <c r="L41" s="28">
        <v>2</v>
      </c>
      <c r="M41" s="28"/>
      <c r="N41" s="28"/>
      <c r="O41" s="28"/>
      <c r="P41" s="418">
        <f t="shared" si="0"/>
        <v>3</v>
      </c>
    </row>
    <row r="42" spans="1:16" ht="15.75" thickBot="1" x14ac:dyDescent="0.3">
      <c r="A42" s="35">
        <v>1000092</v>
      </c>
      <c r="B42" s="12" t="s">
        <v>51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1000036</v>
      </c>
      <c r="B43" s="12" t="s">
        <v>75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10248</v>
      </c>
      <c r="B44" s="12" t="s">
        <v>183</v>
      </c>
      <c r="C44" s="41"/>
      <c r="D44" s="47"/>
      <c r="F44" s="28">
        <v>9</v>
      </c>
      <c r="G44" s="28"/>
      <c r="H44" s="28">
        <v>9</v>
      </c>
      <c r="I44" s="28"/>
      <c r="J44" s="28">
        <v>9</v>
      </c>
      <c r="K44" s="28"/>
      <c r="L44" s="28">
        <v>6</v>
      </c>
      <c r="M44" s="28"/>
      <c r="N44" s="28"/>
      <c r="O44" s="28"/>
      <c r="P44" s="418">
        <f t="shared" si="0"/>
        <v>33</v>
      </c>
    </row>
    <row r="45" spans="1:16" ht="15.75" thickBot="1" x14ac:dyDescent="0.3">
      <c r="A45" s="35">
        <v>1000029</v>
      </c>
      <c r="B45" s="12" t="s">
        <v>30</v>
      </c>
      <c r="C45" s="41"/>
      <c r="D45" s="47"/>
      <c r="F45" s="28">
        <v>1</v>
      </c>
      <c r="G45" s="28"/>
      <c r="H45" s="28">
        <v>1</v>
      </c>
      <c r="I45" s="28"/>
      <c r="J45" s="28">
        <v>1</v>
      </c>
      <c r="K45" s="28"/>
      <c r="L45" s="28">
        <v>1</v>
      </c>
      <c r="M45" s="28"/>
      <c r="N45" s="28"/>
      <c r="O45" s="28"/>
      <c r="P45" s="418">
        <f t="shared" si="0"/>
        <v>4</v>
      </c>
    </row>
    <row r="46" spans="1:16" ht="15.75" thickBot="1" x14ac:dyDescent="0.3">
      <c r="A46" s="35">
        <v>1000142</v>
      </c>
      <c r="B46" s="12" t="s">
        <v>54</v>
      </c>
      <c r="C46" s="41"/>
      <c r="D46" s="47"/>
      <c r="F46" s="28"/>
      <c r="G46" s="28"/>
      <c r="H46" s="28"/>
      <c r="I46" s="28"/>
      <c r="J46" s="28"/>
      <c r="K46" s="28"/>
      <c r="L46" s="28">
        <v>1</v>
      </c>
      <c r="M46" s="28"/>
      <c r="N46" s="28"/>
      <c r="O46" s="28"/>
      <c r="P46" s="418">
        <f t="shared" si="0"/>
        <v>1</v>
      </c>
    </row>
    <row r="47" spans="1:16" ht="15.75" thickBot="1" x14ac:dyDescent="0.3">
      <c r="A47" s="35">
        <v>1000101</v>
      </c>
      <c r="B47" s="12" t="s">
        <v>35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1000075</v>
      </c>
      <c r="B48" s="12" t="s">
        <v>47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1000436</v>
      </c>
      <c r="B49" s="12" t="s">
        <v>276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1000550</v>
      </c>
      <c r="B50" s="12" t="s">
        <v>277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1000551</v>
      </c>
      <c r="B51" s="12" t="s">
        <v>278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1000552</v>
      </c>
      <c r="B52" s="12" t="s">
        <v>279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s="200" customFormat="1" ht="15.75" thickBot="1" x14ac:dyDescent="0.3">
      <c r="A53" s="38">
        <v>1000080</v>
      </c>
      <c r="B53" s="17" t="s">
        <v>275</v>
      </c>
      <c r="C53" s="41"/>
      <c r="D53" s="4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1000090</v>
      </c>
      <c r="B54" s="14" t="s">
        <v>40</v>
      </c>
      <c r="D54" s="47"/>
      <c r="F54" s="28">
        <v>6</v>
      </c>
      <c r="G54" s="28"/>
      <c r="H54" s="28"/>
      <c r="I54" s="28"/>
      <c r="J54" s="28"/>
      <c r="K54" s="28"/>
      <c r="L54" s="28">
        <v>6</v>
      </c>
      <c r="M54" s="28"/>
      <c r="N54" s="28"/>
      <c r="O54" s="28"/>
      <c r="P54" s="418">
        <f t="shared" si="0"/>
        <v>12</v>
      </c>
    </row>
    <row r="55" spans="1:16" ht="15.75" thickBot="1" x14ac:dyDescent="0.3">
      <c r="A55" s="35">
        <v>1000049</v>
      </c>
      <c r="B55" s="12" t="s">
        <v>21</v>
      </c>
      <c r="D55" s="47"/>
      <c r="E55" s="4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1000057</v>
      </c>
      <c r="B56" s="22" t="s">
        <v>70</v>
      </c>
      <c r="D56" s="47"/>
      <c r="F56" s="28">
        <v>1</v>
      </c>
      <c r="G56" s="28"/>
      <c r="H56" s="28"/>
      <c r="I56" s="28"/>
      <c r="J56" s="28"/>
      <c r="K56" s="28"/>
      <c r="L56" s="28"/>
      <c r="M56" s="28"/>
      <c r="N56" s="28"/>
      <c r="O56" s="28"/>
      <c r="P56" s="418">
        <f t="shared" si="0"/>
        <v>1</v>
      </c>
    </row>
    <row r="57" spans="1:16" ht="15.75" thickBot="1" x14ac:dyDescent="0.3">
      <c r="A57" s="519">
        <v>1000085</v>
      </c>
      <c r="B57" s="12" t="s">
        <v>50</v>
      </c>
      <c r="D57" s="47"/>
      <c r="F57" s="28">
        <v>1</v>
      </c>
      <c r="G57" s="28"/>
      <c r="H57" s="28"/>
      <c r="I57" s="28"/>
      <c r="J57" s="28"/>
      <c r="K57" s="28"/>
      <c r="L57" s="28"/>
      <c r="M57" s="28"/>
      <c r="N57" s="28"/>
      <c r="O57" s="28"/>
      <c r="P57" s="418">
        <f t="shared" si="0"/>
        <v>1</v>
      </c>
    </row>
    <row r="58" spans="1:16" x14ac:dyDescent="0.25">
      <c r="A58" s="35"/>
      <c r="B58" s="22"/>
      <c r="D58" s="4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4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BDAE-F794-4871-9CCC-E29BFA19F172}">
  <sheetPr>
    <tabColor rgb="FFFFFF00"/>
    <pageSetUpPr fitToPage="1"/>
  </sheetPr>
  <dimension ref="A1:P59"/>
  <sheetViews>
    <sheetView zoomScale="85" zoomScaleNormal="85" workbookViewId="0">
      <selection activeCell="R46" sqref="R46"/>
    </sheetView>
  </sheetViews>
  <sheetFormatPr baseColWidth="10" defaultColWidth="10.875" defaultRowHeight="15" x14ac:dyDescent="0.25"/>
  <cols>
    <col min="1" max="1" width="7.875" style="27" bestFit="1" customWidth="1"/>
    <col min="2" max="2" width="37.125" style="27" bestFit="1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5.625" style="27" customWidth="1"/>
    <col min="8" max="8" width="9.125" style="27" bestFit="1" customWidth="1"/>
    <col min="9" max="9" width="5.875" style="27" customWidth="1"/>
    <col min="10" max="10" width="9.125" style="27" bestFit="1" customWidth="1"/>
    <col min="11" max="11" width="5.625" style="27" customWidth="1"/>
    <col min="12" max="12" width="9.125" style="27" bestFit="1" customWidth="1"/>
    <col min="13" max="13" width="5.875" style="27" customWidth="1"/>
    <col min="14" max="14" width="9.125" style="27" bestFit="1" customWidth="1"/>
    <col min="15" max="15" width="6.25" style="27" customWidth="1"/>
    <col min="16" max="16384" width="10.875" style="27"/>
  </cols>
  <sheetData>
    <row r="1" spans="1:16" ht="17.25" customHeight="1" x14ac:dyDescent="0.45">
      <c r="A1" s="686" t="s">
        <v>158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2" customHeight="1" thickBot="1" x14ac:dyDescent="0.5">
      <c r="A2" s="688"/>
      <c r="B2" s="689"/>
      <c r="C2" s="18"/>
      <c r="D2" s="428" t="s">
        <v>399</v>
      </c>
      <c r="F2" s="754"/>
      <c r="G2" s="755"/>
      <c r="H2" s="755"/>
      <c r="I2" s="755"/>
      <c r="J2" s="756"/>
      <c r="K2" s="2"/>
    </row>
    <row r="3" spans="1:16" s="3" customFormat="1" ht="23.25" customHeight="1" thickBot="1" x14ac:dyDescent="0.3">
      <c r="A3" s="5"/>
      <c r="B3" s="5" t="s">
        <v>410</v>
      </c>
      <c r="C3" s="18"/>
      <c r="D3" s="18"/>
    </row>
    <row r="4" spans="1:16" s="3" customFormat="1" ht="15.7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>
        <v>10</v>
      </c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59" si="0">SUM(F5:O5)</f>
        <v>10</v>
      </c>
    </row>
    <row r="6" spans="1:16" ht="15.75" thickBot="1" x14ac:dyDescent="0.3">
      <c r="A6" s="35">
        <v>10000102</v>
      </c>
      <c r="B6" s="12" t="s">
        <v>2</v>
      </c>
      <c r="C6" s="41"/>
      <c r="D6" s="47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1000006</v>
      </c>
      <c r="B7" s="12" t="s">
        <v>4</v>
      </c>
      <c r="C7" s="41"/>
      <c r="D7" s="47">
        <v>400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30">
        <f t="shared" si="0"/>
        <v>0</v>
      </c>
    </row>
    <row r="8" spans="1:16" ht="15.75" thickBot="1" x14ac:dyDescent="0.3">
      <c r="A8" s="35">
        <v>1000007</v>
      </c>
      <c r="B8" s="12" t="s">
        <v>5</v>
      </c>
      <c r="C8" s="41"/>
      <c r="D8" s="47">
        <v>400</v>
      </c>
      <c r="F8" s="28">
        <v>500</v>
      </c>
      <c r="G8" s="28"/>
      <c r="H8" s="28">
        <v>500</v>
      </c>
      <c r="I8" s="28"/>
      <c r="J8" s="28">
        <v>500</v>
      </c>
      <c r="K8" s="28"/>
      <c r="L8" s="28">
        <v>500</v>
      </c>
      <c r="M8" s="28"/>
      <c r="N8" s="28">
        <v>500</v>
      </c>
      <c r="O8" s="28"/>
      <c r="P8" s="418">
        <f t="shared" si="0"/>
        <v>2500</v>
      </c>
    </row>
    <row r="9" spans="1:16" ht="15.75" thickBot="1" x14ac:dyDescent="0.3">
      <c r="A9" s="35">
        <v>1000008</v>
      </c>
      <c r="B9" s="12" t="s">
        <v>7</v>
      </c>
      <c r="C9" s="41"/>
      <c r="D9" s="47">
        <v>180</v>
      </c>
      <c r="F9" s="28">
        <v>500</v>
      </c>
      <c r="G9" s="28"/>
      <c r="H9" s="28">
        <v>200</v>
      </c>
      <c r="I9" s="28"/>
      <c r="J9" s="28">
        <v>300</v>
      </c>
      <c r="K9" s="28"/>
      <c r="L9" s="28">
        <v>500</v>
      </c>
      <c r="M9" s="28"/>
      <c r="N9" s="28">
        <v>600</v>
      </c>
      <c r="O9" s="28"/>
      <c r="P9" s="418">
        <f t="shared" si="0"/>
        <v>2100</v>
      </c>
    </row>
    <row r="10" spans="1:16" ht="15.75" thickBot="1" x14ac:dyDescent="0.3">
      <c r="A10" s="35">
        <v>1000001</v>
      </c>
      <c r="B10" s="12" t="s">
        <v>8</v>
      </c>
      <c r="C10" s="41"/>
      <c r="D10" s="47">
        <v>4</v>
      </c>
      <c r="F10" s="28"/>
      <c r="G10" s="28"/>
      <c r="H10" s="28">
        <v>15</v>
      </c>
      <c r="I10" s="28"/>
      <c r="J10" s="28"/>
      <c r="K10" s="28"/>
      <c r="L10" s="28"/>
      <c r="M10" s="28"/>
      <c r="N10" s="28"/>
      <c r="O10" s="28"/>
      <c r="P10" s="418">
        <f t="shared" si="0"/>
        <v>15</v>
      </c>
    </row>
    <row r="11" spans="1:16" ht="15.75" thickBot="1" x14ac:dyDescent="0.3">
      <c r="A11" s="35">
        <v>1000002</v>
      </c>
      <c r="B11" s="12" t="s">
        <v>9</v>
      </c>
      <c r="C11" s="41"/>
      <c r="D11" s="47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1000004</v>
      </c>
      <c r="B12" s="12" t="s">
        <v>10</v>
      </c>
      <c r="C12" s="41"/>
      <c r="D12" s="47">
        <v>1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1000067</v>
      </c>
      <c r="B13" s="12" t="s">
        <v>11</v>
      </c>
      <c r="C13" s="41"/>
      <c r="D13" s="47">
        <v>4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1000054</v>
      </c>
      <c r="B14" s="12" t="s">
        <v>12</v>
      </c>
      <c r="C14" s="41"/>
      <c r="D14" s="47">
        <v>380</v>
      </c>
      <c r="F14" s="28"/>
      <c r="G14" s="28"/>
      <c r="H14" s="28"/>
      <c r="I14" s="28"/>
      <c r="J14" s="28"/>
      <c r="K14" s="28"/>
      <c r="L14" s="28">
        <v>40</v>
      </c>
      <c r="M14" s="28"/>
      <c r="N14" s="28"/>
      <c r="O14" s="28"/>
      <c r="P14" s="418">
        <f t="shared" si="0"/>
        <v>40</v>
      </c>
    </row>
    <row r="15" spans="1:16" ht="15.75" thickBot="1" x14ac:dyDescent="0.3">
      <c r="A15" s="35">
        <v>1000070</v>
      </c>
      <c r="B15" s="12" t="s">
        <v>13</v>
      </c>
      <c r="C15" s="41"/>
      <c r="D15" s="47">
        <v>0</v>
      </c>
      <c r="F15" s="28"/>
      <c r="G15" s="28"/>
      <c r="H15" s="28">
        <v>15</v>
      </c>
      <c r="I15" s="28"/>
      <c r="J15" s="28"/>
      <c r="K15" s="28"/>
      <c r="L15" s="28"/>
      <c r="M15" s="28"/>
      <c r="N15" s="28"/>
      <c r="O15" s="28"/>
      <c r="P15" s="418">
        <f t="shared" si="0"/>
        <v>15</v>
      </c>
    </row>
    <row r="16" spans="1:16" ht="15.75" thickBot="1" x14ac:dyDescent="0.3">
      <c r="A16" s="35">
        <v>1000017</v>
      </c>
      <c r="B16" s="13" t="s">
        <v>14</v>
      </c>
      <c r="C16" s="41"/>
      <c r="D16" s="47">
        <v>100</v>
      </c>
      <c r="F16" s="28">
        <v>30</v>
      </c>
      <c r="G16" s="28"/>
      <c r="H16" s="28">
        <v>30</v>
      </c>
      <c r="I16" s="28"/>
      <c r="J16" s="28">
        <v>30</v>
      </c>
      <c r="K16" s="28"/>
      <c r="L16" s="28">
        <v>30</v>
      </c>
      <c r="M16" s="28"/>
      <c r="N16" s="28">
        <v>30</v>
      </c>
      <c r="O16" s="28"/>
      <c r="P16" s="418">
        <f t="shared" si="0"/>
        <v>150</v>
      </c>
    </row>
    <row r="17" spans="1:16" ht="15.75" thickBot="1" x14ac:dyDescent="0.3">
      <c r="A17" s="35">
        <v>1000016</v>
      </c>
      <c r="B17" s="12" t="s">
        <v>15</v>
      </c>
      <c r="C17" s="41"/>
      <c r="D17" s="47">
        <v>15</v>
      </c>
      <c r="F17" s="28">
        <v>5</v>
      </c>
      <c r="G17" s="28"/>
      <c r="H17" s="28"/>
      <c r="I17" s="28"/>
      <c r="J17" s="28"/>
      <c r="K17" s="28"/>
      <c r="L17" s="28"/>
      <c r="M17" s="28"/>
      <c r="N17" s="28"/>
      <c r="O17" s="28"/>
      <c r="P17" s="418">
        <f t="shared" si="0"/>
        <v>5</v>
      </c>
    </row>
    <row r="18" spans="1:16" ht="15.75" thickBot="1" x14ac:dyDescent="0.3">
      <c r="A18" s="35">
        <v>1000041</v>
      </c>
      <c r="B18" s="14" t="s">
        <v>16</v>
      </c>
      <c r="C18" s="41"/>
      <c r="D18" s="47">
        <v>5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1000049</v>
      </c>
      <c r="B19" s="12" t="s">
        <v>21</v>
      </c>
      <c r="C19" s="41"/>
      <c r="D19" s="47">
        <v>1</v>
      </c>
      <c r="F19" s="28"/>
      <c r="G19" s="28"/>
      <c r="H19" s="28">
        <v>5</v>
      </c>
      <c r="I19" s="28"/>
      <c r="J19" s="28"/>
      <c r="K19" s="28"/>
      <c r="L19" s="28"/>
      <c r="M19" s="28"/>
      <c r="N19" s="28"/>
      <c r="O19" s="28"/>
      <c r="P19" s="418">
        <f t="shared" si="0"/>
        <v>5</v>
      </c>
    </row>
    <row r="20" spans="1:16" ht="15.75" thickBot="1" x14ac:dyDescent="0.3">
      <c r="A20" s="35">
        <v>1000050</v>
      </c>
      <c r="B20" s="12" t="s">
        <v>22</v>
      </c>
      <c r="C20" s="41"/>
      <c r="D20" s="47">
        <v>1</v>
      </c>
      <c r="F20" s="28"/>
      <c r="G20" s="28"/>
      <c r="H20" s="28">
        <v>5</v>
      </c>
      <c r="I20" s="28"/>
      <c r="J20" s="28"/>
      <c r="K20" s="28"/>
      <c r="L20" s="28"/>
      <c r="M20" s="28"/>
      <c r="N20" s="28"/>
      <c r="O20" s="28"/>
      <c r="P20" s="418">
        <f t="shared" si="0"/>
        <v>5</v>
      </c>
    </row>
    <row r="21" spans="1:16" ht="15.75" thickBot="1" x14ac:dyDescent="0.3">
      <c r="A21" s="35">
        <v>1000033</v>
      </c>
      <c r="B21" s="12" t="s">
        <v>27</v>
      </c>
      <c r="C21" s="41"/>
      <c r="D21" s="47">
        <v>8</v>
      </c>
      <c r="F21" s="28">
        <v>10</v>
      </c>
      <c r="G21" s="28"/>
      <c r="H21" s="28"/>
      <c r="I21" s="28"/>
      <c r="J21" s="28"/>
      <c r="K21" s="28"/>
      <c r="L21" s="28"/>
      <c r="M21" s="28"/>
      <c r="N21" s="28">
        <v>10</v>
      </c>
      <c r="O21" s="28"/>
      <c r="P21" s="418">
        <f t="shared" si="0"/>
        <v>20</v>
      </c>
    </row>
    <row r="22" spans="1:16" ht="15.75" thickBot="1" x14ac:dyDescent="0.3">
      <c r="A22" s="35">
        <v>1000034</v>
      </c>
      <c r="B22" s="12" t="s">
        <v>28</v>
      </c>
      <c r="C22" s="41"/>
      <c r="D22" s="47">
        <v>1</v>
      </c>
      <c r="F22" s="28">
        <v>10</v>
      </c>
      <c r="G22" s="28"/>
      <c r="H22" s="28"/>
      <c r="I22" s="28"/>
      <c r="J22" s="28">
        <v>10</v>
      </c>
      <c r="K22" s="28"/>
      <c r="L22" s="28"/>
      <c r="M22" s="28"/>
      <c r="N22" s="28">
        <v>10</v>
      </c>
      <c r="O22" s="28"/>
      <c r="P22" s="418">
        <f t="shared" si="0"/>
        <v>30</v>
      </c>
    </row>
    <row r="23" spans="1:16" ht="15.75" thickBot="1" x14ac:dyDescent="0.3">
      <c r="A23" s="35">
        <v>1000101</v>
      </c>
      <c r="B23" s="12" t="s">
        <v>35</v>
      </c>
      <c r="C23" s="41"/>
      <c r="D23" s="47"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1000073</v>
      </c>
      <c r="B24" s="12" t="s">
        <v>36</v>
      </c>
      <c r="C24" s="41"/>
      <c r="D24" s="47">
        <v>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1000082</v>
      </c>
      <c r="B25" s="12" t="s">
        <v>37</v>
      </c>
      <c r="C25" s="41"/>
      <c r="D25" s="47">
        <v>75</v>
      </c>
      <c r="F25" s="28">
        <v>88</v>
      </c>
      <c r="G25" s="28"/>
      <c r="H25" s="28"/>
      <c r="I25" s="28"/>
      <c r="J25" s="28">
        <v>88</v>
      </c>
      <c r="K25" s="28"/>
      <c r="L25" s="28">
        <v>88</v>
      </c>
      <c r="M25" s="28"/>
      <c r="N25" s="28">
        <v>88</v>
      </c>
      <c r="O25" s="28"/>
      <c r="P25" s="418">
        <f t="shared" si="0"/>
        <v>352</v>
      </c>
    </row>
    <row r="26" spans="1:16" ht="15.75" thickBot="1" x14ac:dyDescent="0.3">
      <c r="A26" s="35">
        <v>1000090</v>
      </c>
      <c r="B26" s="12" t="s">
        <v>40</v>
      </c>
      <c r="C26" s="41"/>
      <c r="D26" s="47">
        <v>0</v>
      </c>
      <c r="F26" s="28"/>
      <c r="G26" s="28"/>
      <c r="H26" s="28">
        <v>6</v>
      </c>
      <c r="I26" s="28"/>
      <c r="J26" s="28"/>
      <c r="K26" s="28"/>
      <c r="L26" s="28"/>
      <c r="M26" s="28"/>
      <c r="N26" s="28"/>
      <c r="O26" s="28"/>
      <c r="P26" s="418">
        <f t="shared" si="0"/>
        <v>6</v>
      </c>
    </row>
    <row r="27" spans="1:16" ht="15.75" thickBot="1" x14ac:dyDescent="0.3">
      <c r="A27" s="35">
        <v>1000052</v>
      </c>
      <c r="B27" s="12" t="s">
        <v>41</v>
      </c>
      <c r="C27" s="41"/>
      <c r="D27" s="47">
        <v>10</v>
      </c>
      <c r="F27" s="28">
        <v>10</v>
      </c>
      <c r="G27" s="28"/>
      <c r="H27" s="28"/>
      <c r="I27" s="28"/>
      <c r="J27" s="28">
        <v>10</v>
      </c>
      <c r="K27" s="28"/>
      <c r="L27" s="28">
        <v>10</v>
      </c>
      <c r="M27" s="28"/>
      <c r="N27" s="28">
        <v>10</v>
      </c>
      <c r="O27" s="28"/>
      <c r="P27" s="418">
        <f t="shared" si="0"/>
        <v>40</v>
      </c>
    </row>
    <row r="28" spans="1:16" ht="15.75" thickBot="1" x14ac:dyDescent="0.3">
      <c r="A28" s="35">
        <v>1000089</v>
      </c>
      <c r="B28" s="12" t="s">
        <v>42</v>
      </c>
      <c r="C28" s="41"/>
      <c r="D28" s="47">
        <v>10</v>
      </c>
      <c r="F28" s="28">
        <v>10</v>
      </c>
      <c r="G28" s="28"/>
      <c r="H28" s="28"/>
      <c r="I28" s="28"/>
      <c r="J28" s="28">
        <v>10</v>
      </c>
      <c r="K28" s="28"/>
      <c r="L28" s="28">
        <v>10</v>
      </c>
      <c r="M28" s="28"/>
      <c r="N28" s="28">
        <v>10</v>
      </c>
      <c r="O28" s="28"/>
      <c r="P28" s="418">
        <f t="shared" si="0"/>
        <v>40</v>
      </c>
    </row>
    <row r="29" spans="1:16" ht="15.75" thickBot="1" x14ac:dyDescent="0.3">
      <c r="A29" s="35">
        <v>1000051</v>
      </c>
      <c r="B29" s="12" t="s">
        <v>43</v>
      </c>
      <c r="C29" s="41"/>
      <c r="D29" s="47">
        <v>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1000048</v>
      </c>
      <c r="B30" s="12" t="s">
        <v>45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1000075</v>
      </c>
      <c r="B31" s="12" t="s">
        <v>47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1000147</v>
      </c>
      <c r="B32" s="12" t="s">
        <v>52</v>
      </c>
      <c r="C32" s="41"/>
      <c r="D32" s="47">
        <v>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1000107</v>
      </c>
      <c r="B33" s="12" t="s">
        <v>60</v>
      </c>
      <c r="C33" s="41"/>
      <c r="D33" s="47">
        <v>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1000062</v>
      </c>
      <c r="B34" s="12" t="s">
        <v>66</v>
      </c>
      <c r="C34" s="41"/>
      <c r="D34" s="47">
        <v>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1000035</v>
      </c>
      <c r="B35" s="12" t="s">
        <v>29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1000084</v>
      </c>
      <c r="B36" s="12" t="s">
        <v>38</v>
      </c>
      <c r="C36" s="41"/>
      <c r="D36" s="47"/>
      <c r="F36" s="28">
        <v>68</v>
      </c>
      <c r="G36" s="28"/>
      <c r="H36" s="28">
        <v>68</v>
      </c>
      <c r="I36" s="28"/>
      <c r="J36" s="28">
        <v>68</v>
      </c>
      <c r="K36" s="28"/>
      <c r="L36" s="28">
        <v>68</v>
      </c>
      <c r="M36" s="28"/>
      <c r="N36" s="28">
        <v>68</v>
      </c>
      <c r="O36" s="28"/>
      <c r="P36" s="418">
        <f t="shared" si="0"/>
        <v>340</v>
      </c>
    </row>
    <row r="37" spans="1:16" s="15" customFormat="1" ht="15.95" customHeight="1" thickBot="1" x14ac:dyDescent="0.3">
      <c r="A37" s="35">
        <v>1000142</v>
      </c>
      <c r="B37" s="12" t="s">
        <v>54</v>
      </c>
      <c r="C37" s="41"/>
      <c r="D37" s="47"/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1000076</v>
      </c>
      <c r="B38" s="12" t="s">
        <v>46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1000025</v>
      </c>
      <c r="B39" s="12" t="s">
        <v>32</v>
      </c>
      <c r="C39" s="41"/>
      <c r="D39" s="47"/>
      <c r="F39" s="28">
        <v>5</v>
      </c>
      <c r="G39" s="28"/>
      <c r="H39" s="28"/>
      <c r="I39" s="28"/>
      <c r="J39" s="28">
        <v>20</v>
      </c>
      <c r="K39" s="28"/>
      <c r="L39" s="28"/>
      <c r="M39" s="28"/>
      <c r="N39" s="28">
        <v>15</v>
      </c>
      <c r="O39" s="28"/>
      <c r="P39" s="418">
        <f t="shared" si="0"/>
        <v>40</v>
      </c>
    </row>
    <row r="40" spans="1:16" ht="15.75" thickBot="1" x14ac:dyDescent="0.3">
      <c r="A40" s="35">
        <v>1000036</v>
      </c>
      <c r="B40" s="12" t="s">
        <v>75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10248</v>
      </c>
      <c r="B41" s="12" t="s">
        <v>183</v>
      </c>
      <c r="C41" s="41"/>
      <c r="D41" s="47"/>
      <c r="F41" s="28"/>
      <c r="G41" s="28"/>
      <c r="H41" s="28">
        <v>15</v>
      </c>
      <c r="I41" s="28"/>
      <c r="J41" s="28"/>
      <c r="K41" s="28"/>
      <c r="L41" s="28"/>
      <c r="M41" s="28"/>
      <c r="N41" s="28"/>
      <c r="O41" s="28"/>
      <c r="P41" s="418">
        <f t="shared" si="0"/>
        <v>15</v>
      </c>
    </row>
    <row r="42" spans="1:16" ht="15.75" thickBot="1" x14ac:dyDescent="0.3">
      <c r="A42" s="35">
        <v>1000439</v>
      </c>
      <c r="B42" s="12" t="s">
        <v>193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1000100</v>
      </c>
      <c r="B43" s="12" t="s">
        <v>34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1000412</v>
      </c>
      <c r="B44" s="12" t="s">
        <v>195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1000030</v>
      </c>
      <c r="B45" s="12" t="s">
        <v>24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1000045</v>
      </c>
      <c r="B46" s="12" t="s">
        <v>23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1000029</v>
      </c>
      <c r="B47" s="12" t="s">
        <v>30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1000465</v>
      </c>
      <c r="B48" s="12" t="s">
        <v>219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1000214</v>
      </c>
      <c r="B49" s="12" t="s">
        <v>49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1000534</v>
      </c>
      <c r="B50" s="12" t="s">
        <v>260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1000064</v>
      </c>
      <c r="B51" s="12" t="s">
        <v>64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1000080</v>
      </c>
      <c r="B52" s="12" t="s">
        <v>275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1000436</v>
      </c>
      <c r="B53" s="12" t="s">
        <v>276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1000550</v>
      </c>
      <c r="B54" s="12" t="s">
        <v>277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1000551</v>
      </c>
      <c r="B55" s="12" t="s">
        <v>278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243">
        <v>1000552</v>
      </c>
      <c r="B56" s="251" t="s">
        <v>279</v>
      </c>
      <c r="C56" s="215"/>
      <c r="D56" s="38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70">
        <v>1000045</v>
      </c>
      <c r="B57" s="1" t="s">
        <v>23</v>
      </c>
      <c r="D57" s="3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243"/>
      <c r="B58" s="251"/>
      <c r="D58" s="3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243"/>
      <c r="B59" s="251"/>
      <c r="D59" s="3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2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2F70-C2D8-431D-BD86-A8F22C151808}">
  <sheetPr>
    <tabColor rgb="FFFFFF00"/>
    <pageSetUpPr fitToPage="1"/>
  </sheetPr>
  <dimension ref="A1:U56"/>
  <sheetViews>
    <sheetView topLeftCell="A24" zoomScale="85" zoomScaleNormal="85" workbookViewId="0">
      <selection activeCell="Q27" sqref="Q27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5.625" style="27" customWidth="1"/>
    <col min="8" max="8" width="9.125" style="27" bestFit="1" customWidth="1"/>
    <col min="9" max="9" width="6" style="27" customWidth="1"/>
    <col min="10" max="10" width="9.125" style="27" bestFit="1" customWidth="1"/>
    <col min="11" max="11" width="5.5" style="27" customWidth="1"/>
    <col min="12" max="12" width="9.125" style="27" bestFit="1" customWidth="1"/>
    <col min="13" max="13" width="6.125" style="27" customWidth="1"/>
    <col min="14" max="14" width="9.125" style="27" bestFit="1" customWidth="1"/>
    <col min="15" max="15" width="5.875" style="27" customWidth="1"/>
    <col min="16" max="16384" width="10.875" style="27"/>
  </cols>
  <sheetData>
    <row r="1" spans="1:16" ht="17.25" customHeight="1" x14ac:dyDescent="0.45">
      <c r="A1" s="686" t="s">
        <v>211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</row>
    <row r="3" spans="1:16" s="3" customFormat="1" ht="22.5" customHeight="1" thickBot="1" x14ac:dyDescent="0.3">
      <c r="A3" s="5"/>
      <c r="B3" s="5" t="s">
        <v>411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1</v>
      </c>
      <c r="F5" s="28">
        <v>10</v>
      </c>
      <c r="G5" s="28"/>
      <c r="H5" s="28">
        <v>10</v>
      </c>
      <c r="I5" s="28"/>
      <c r="J5" s="28">
        <v>10</v>
      </c>
      <c r="K5" s="28"/>
      <c r="L5" s="28">
        <v>10</v>
      </c>
      <c r="M5" s="28"/>
      <c r="N5" s="28">
        <v>10</v>
      </c>
      <c r="O5" s="28"/>
      <c r="P5" s="418">
        <f t="shared" ref="P5:P56" si="0">SUM(F5:O5)</f>
        <v>50</v>
      </c>
    </row>
    <row r="6" spans="1:16" ht="15.75" thickBot="1" x14ac:dyDescent="0.3">
      <c r="A6" s="35">
        <v>1000006</v>
      </c>
      <c r="B6" s="12" t="s">
        <v>4</v>
      </c>
      <c r="C6" s="41"/>
      <c r="D6" s="47">
        <v>500</v>
      </c>
      <c r="F6" s="28">
        <v>50</v>
      </c>
      <c r="G6" s="28"/>
      <c r="H6" s="28">
        <v>50</v>
      </c>
      <c r="I6" s="28"/>
      <c r="J6" s="28">
        <v>50</v>
      </c>
      <c r="K6" s="28"/>
      <c r="L6" s="28">
        <v>50</v>
      </c>
      <c r="M6" s="28"/>
      <c r="N6" s="28">
        <v>50</v>
      </c>
      <c r="O6" s="28"/>
      <c r="P6" s="418">
        <f t="shared" si="0"/>
        <v>250</v>
      </c>
    </row>
    <row r="7" spans="1:16" ht="15.75" thickBot="1" x14ac:dyDescent="0.3">
      <c r="A7" s="35">
        <v>1000008</v>
      </c>
      <c r="B7" s="12" t="s">
        <v>7</v>
      </c>
      <c r="C7" s="41"/>
      <c r="D7" s="47">
        <v>100</v>
      </c>
      <c r="F7" s="28">
        <v>50</v>
      </c>
      <c r="G7" s="28"/>
      <c r="H7" s="28">
        <v>50</v>
      </c>
      <c r="I7" s="28"/>
      <c r="J7" s="28">
        <v>50</v>
      </c>
      <c r="K7" s="28"/>
      <c r="L7" s="28">
        <v>50</v>
      </c>
      <c r="M7" s="28"/>
      <c r="N7" s="28">
        <v>50</v>
      </c>
      <c r="O7" s="28"/>
      <c r="P7" s="418">
        <f t="shared" si="0"/>
        <v>250</v>
      </c>
    </row>
    <row r="8" spans="1:16" ht="15.75" thickBot="1" x14ac:dyDescent="0.3">
      <c r="A8" s="35">
        <v>1000001</v>
      </c>
      <c r="B8" s="12" t="s">
        <v>8</v>
      </c>
      <c r="C8" s="41"/>
      <c r="D8" s="47">
        <v>3</v>
      </c>
      <c r="F8" s="28">
        <v>3</v>
      </c>
      <c r="G8" s="28"/>
      <c r="H8" s="28">
        <v>3</v>
      </c>
      <c r="I8" s="28"/>
      <c r="J8" s="28">
        <v>3</v>
      </c>
      <c r="K8" s="28"/>
      <c r="L8" s="28">
        <v>3</v>
      </c>
      <c r="M8" s="28"/>
      <c r="N8" s="28">
        <v>3</v>
      </c>
      <c r="O8" s="28"/>
      <c r="P8" s="418">
        <f t="shared" si="0"/>
        <v>15</v>
      </c>
    </row>
    <row r="9" spans="1:16" ht="15.75" thickBot="1" x14ac:dyDescent="0.3">
      <c r="A9" s="35">
        <v>1000002</v>
      </c>
      <c r="B9" s="12" t="s">
        <v>9</v>
      </c>
      <c r="C9" s="41"/>
      <c r="D9" s="47">
        <v>1</v>
      </c>
      <c r="F9" s="28">
        <v>1</v>
      </c>
      <c r="G9" s="28"/>
      <c r="H9" s="28">
        <v>1</v>
      </c>
      <c r="I9" s="28"/>
      <c r="J9" s="28">
        <v>1</v>
      </c>
      <c r="K9" s="28"/>
      <c r="L9" s="28">
        <v>1</v>
      </c>
      <c r="M9" s="28"/>
      <c r="N9" s="28">
        <v>1</v>
      </c>
      <c r="O9" s="28"/>
      <c r="P9" s="418">
        <f t="shared" si="0"/>
        <v>5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2</v>
      </c>
      <c r="F10" s="28">
        <v>2</v>
      </c>
      <c r="G10" s="28"/>
      <c r="H10" s="28">
        <v>2</v>
      </c>
      <c r="I10" s="28"/>
      <c r="J10" s="28">
        <v>2</v>
      </c>
      <c r="K10" s="28"/>
      <c r="L10" s="28"/>
      <c r="M10" s="28"/>
      <c r="N10" s="28">
        <v>2</v>
      </c>
      <c r="O10" s="28"/>
      <c r="P10" s="418">
        <f t="shared" si="0"/>
        <v>8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60</v>
      </c>
      <c r="F11" s="28">
        <v>20</v>
      </c>
      <c r="G11" s="28"/>
      <c r="H11" s="28">
        <v>20</v>
      </c>
      <c r="I11" s="28"/>
      <c r="J11" s="28">
        <v>20</v>
      </c>
      <c r="K11" s="28"/>
      <c r="L11" s="28">
        <v>20</v>
      </c>
      <c r="M11" s="28"/>
      <c r="N11" s="28">
        <v>20</v>
      </c>
      <c r="O11" s="28"/>
      <c r="P11" s="418">
        <f t="shared" si="0"/>
        <v>100</v>
      </c>
    </row>
    <row r="12" spans="1:16" ht="15.75" thickBot="1" x14ac:dyDescent="0.3">
      <c r="A12" s="35">
        <v>1000017</v>
      </c>
      <c r="B12" s="12" t="s">
        <v>14</v>
      </c>
      <c r="C12" s="41"/>
      <c r="D12" s="47">
        <v>20</v>
      </c>
      <c r="F12" s="28">
        <v>20</v>
      </c>
      <c r="G12" s="28"/>
      <c r="H12" s="28">
        <v>20</v>
      </c>
      <c r="I12" s="28"/>
      <c r="J12" s="28">
        <v>20</v>
      </c>
      <c r="K12" s="28"/>
      <c r="L12" s="28">
        <v>20</v>
      </c>
      <c r="M12" s="28"/>
      <c r="N12" s="28">
        <v>20</v>
      </c>
      <c r="O12" s="28"/>
      <c r="P12" s="418">
        <f t="shared" si="0"/>
        <v>100</v>
      </c>
    </row>
    <row r="13" spans="1:16" ht="15.75" thickBot="1" x14ac:dyDescent="0.3">
      <c r="A13" s="35">
        <v>1000016</v>
      </c>
      <c r="B13" s="12" t="s">
        <v>15</v>
      </c>
      <c r="C13" s="41"/>
      <c r="D13" s="47">
        <v>5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1000041</v>
      </c>
      <c r="B14" s="12" t="s">
        <v>16</v>
      </c>
      <c r="C14" s="41"/>
      <c r="D14" s="47">
        <v>10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1000049</v>
      </c>
      <c r="B15" s="13" t="s">
        <v>21</v>
      </c>
      <c r="C15" s="41"/>
      <c r="D15" s="47">
        <v>1</v>
      </c>
      <c r="F15" s="28">
        <v>1</v>
      </c>
      <c r="G15" s="28"/>
      <c r="H15" s="28">
        <v>1</v>
      </c>
      <c r="I15" s="28"/>
      <c r="J15" s="28">
        <v>1</v>
      </c>
      <c r="K15" s="28"/>
      <c r="L15" s="28"/>
      <c r="M15" s="28"/>
      <c r="N15" s="28">
        <v>1</v>
      </c>
      <c r="O15" s="28"/>
      <c r="P15" s="418">
        <f t="shared" si="0"/>
        <v>4</v>
      </c>
    </row>
    <row r="16" spans="1:16" ht="15.75" thickBot="1" x14ac:dyDescent="0.3">
      <c r="A16" s="35">
        <v>1000050</v>
      </c>
      <c r="B16" s="12" t="s">
        <v>22</v>
      </c>
      <c r="C16" s="41"/>
      <c r="D16" s="47">
        <v>1</v>
      </c>
      <c r="F16" s="28">
        <v>2</v>
      </c>
      <c r="G16" s="28"/>
      <c r="H16" s="28">
        <v>2</v>
      </c>
      <c r="I16" s="28"/>
      <c r="J16" s="28">
        <v>2</v>
      </c>
      <c r="K16" s="28"/>
      <c r="L16" s="28">
        <v>2</v>
      </c>
      <c r="M16" s="28"/>
      <c r="N16" s="28">
        <v>2</v>
      </c>
      <c r="O16" s="28"/>
      <c r="P16" s="418">
        <f t="shared" si="0"/>
        <v>10</v>
      </c>
    </row>
    <row r="17" spans="1:16" ht="15.75" thickBot="1" x14ac:dyDescent="0.3">
      <c r="A17" s="35">
        <v>1000045</v>
      </c>
      <c r="B17" s="12" t="s">
        <v>23</v>
      </c>
      <c r="C17" s="41"/>
      <c r="D17" s="4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1000030</v>
      </c>
      <c r="B18" s="12" t="s">
        <v>24</v>
      </c>
      <c r="C18" s="41"/>
      <c r="D18" s="47">
        <v>4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1000031</v>
      </c>
      <c r="B19" s="12" t="s">
        <v>25</v>
      </c>
      <c r="C19" s="41"/>
      <c r="D19" s="47">
        <v>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1000026</v>
      </c>
      <c r="B20" s="12" t="s">
        <v>31</v>
      </c>
      <c r="C20" s="41"/>
      <c r="D20" s="47">
        <v>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1000027</v>
      </c>
      <c r="B21" s="12" t="s">
        <v>33</v>
      </c>
      <c r="C21" s="41"/>
      <c r="D21" s="47">
        <v>12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1000100</v>
      </c>
      <c r="B22" s="12" t="s">
        <v>34</v>
      </c>
      <c r="C22" s="41"/>
      <c r="D22" s="47">
        <v>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44">
        <v>1000082</v>
      </c>
      <c r="B23" s="13" t="s">
        <v>37</v>
      </c>
      <c r="C23" s="41"/>
      <c r="D23" s="47">
        <v>60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44">
        <v>1000084</v>
      </c>
      <c r="B24" s="13" t="s">
        <v>38</v>
      </c>
      <c r="C24" s="41"/>
      <c r="D24" s="47">
        <v>30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44">
        <v>1000052</v>
      </c>
      <c r="B25" s="13" t="s">
        <v>41</v>
      </c>
      <c r="C25" s="41"/>
      <c r="D25" s="47">
        <v>6</v>
      </c>
      <c r="F25" s="28">
        <v>2</v>
      </c>
      <c r="G25" s="28"/>
      <c r="H25" s="28">
        <v>2</v>
      </c>
      <c r="I25" s="28"/>
      <c r="J25" s="28">
        <v>2</v>
      </c>
      <c r="K25" s="28"/>
      <c r="L25" s="28">
        <v>2</v>
      </c>
      <c r="M25" s="28"/>
      <c r="N25" s="28">
        <v>2</v>
      </c>
      <c r="O25" s="28"/>
      <c r="P25" s="418">
        <v>10</v>
      </c>
    </row>
    <row r="26" spans="1:16" ht="15.75" thickBot="1" x14ac:dyDescent="0.3">
      <c r="A26" s="44">
        <v>1000089</v>
      </c>
      <c r="B26" s="13" t="s">
        <v>42</v>
      </c>
      <c r="C26" s="41"/>
      <c r="D26" s="47">
        <v>6</v>
      </c>
      <c r="F26" s="28">
        <v>4</v>
      </c>
      <c r="G26" s="28"/>
      <c r="H26" s="28">
        <v>4</v>
      </c>
      <c r="I26" s="28"/>
      <c r="J26" s="28">
        <v>4</v>
      </c>
      <c r="K26" s="28"/>
      <c r="L26" s="28">
        <v>4</v>
      </c>
      <c r="M26" s="28"/>
      <c r="N26" s="28">
        <v>4</v>
      </c>
      <c r="O26" s="28"/>
      <c r="P26" s="418">
        <v>20</v>
      </c>
    </row>
    <row r="27" spans="1:16" ht="15.75" thickBot="1" x14ac:dyDescent="0.3">
      <c r="A27" s="44">
        <v>1000051</v>
      </c>
      <c r="B27" s="13" t="s">
        <v>43</v>
      </c>
      <c r="C27" s="41"/>
      <c r="D27" s="47">
        <v>1</v>
      </c>
      <c r="F27" s="28">
        <v>2</v>
      </c>
      <c r="G27" s="28"/>
      <c r="H27" s="28">
        <v>2</v>
      </c>
      <c r="I27" s="28"/>
      <c r="J27" s="28">
        <v>2</v>
      </c>
      <c r="K27" s="28"/>
      <c r="L27" s="28">
        <v>2</v>
      </c>
      <c r="M27" s="28"/>
      <c r="N27" s="28">
        <v>2</v>
      </c>
      <c r="O27" s="28"/>
      <c r="P27" s="418">
        <f t="shared" si="0"/>
        <v>10</v>
      </c>
    </row>
    <row r="28" spans="1:16" ht="15.75" thickBot="1" x14ac:dyDescent="0.3">
      <c r="A28" s="35">
        <v>1000048</v>
      </c>
      <c r="B28" s="12" t="s">
        <v>45</v>
      </c>
      <c r="C28" s="41"/>
      <c r="D28" s="47">
        <v>1</v>
      </c>
      <c r="E28" s="15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44">
        <v>1000142</v>
      </c>
      <c r="B29" s="13" t="s">
        <v>54</v>
      </c>
      <c r="C29" s="41"/>
      <c r="D29" s="47">
        <v>1</v>
      </c>
      <c r="F29" s="28">
        <v>1</v>
      </c>
      <c r="G29" s="28"/>
      <c r="H29" s="28">
        <v>1</v>
      </c>
      <c r="I29" s="28"/>
      <c r="J29" s="28">
        <v>1</v>
      </c>
      <c r="K29" s="28"/>
      <c r="L29" s="28"/>
      <c r="M29" s="28"/>
      <c r="N29" s="28">
        <v>1</v>
      </c>
      <c r="O29" s="28"/>
      <c r="P29" s="418">
        <f t="shared" si="0"/>
        <v>4</v>
      </c>
    </row>
    <row r="30" spans="1:16" ht="15.75" thickBot="1" x14ac:dyDescent="0.3">
      <c r="A30" s="35">
        <v>1000205</v>
      </c>
      <c r="B30" s="12" t="s">
        <v>82</v>
      </c>
      <c r="C30" s="41"/>
      <c r="D30" s="47">
        <v>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1000070</v>
      </c>
      <c r="B31" s="12" t="s">
        <v>13</v>
      </c>
      <c r="C31" s="41"/>
      <c r="D31" s="45">
        <v>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s="15" customFormat="1" ht="15.95" customHeight="1" thickBot="1" x14ac:dyDescent="0.3">
      <c r="A32" s="35">
        <v>1000067</v>
      </c>
      <c r="B32" s="12" t="s">
        <v>11</v>
      </c>
      <c r="C32" s="41"/>
      <c r="D32" s="4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21" ht="15.75" thickBot="1" x14ac:dyDescent="0.3">
      <c r="A33" s="35">
        <v>1000146</v>
      </c>
      <c r="B33" s="12" t="s">
        <v>39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21" ht="15.75" thickBot="1" x14ac:dyDescent="0.3">
      <c r="A34" s="35">
        <v>1000032</v>
      </c>
      <c r="B34" s="12" t="s">
        <v>26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21" ht="15.75" thickBot="1" x14ac:dyDescent="0.3">
      <c r="A35" s="35">
        <v>1000087</v>
      </c>
      <c r="B35" s="12" t="s">
        <v>197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21" ht="15.75" thickBot="1" x14ac:dyDescent="0.3">
      <c r="A36" s="35">
        <v>1000011</v>
      </c>
      <c r="B36" s="12" t="s">
        <v>18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21" ht="15.75" thickBot="1" x14ac:dyDescent="0.3">
      <c r="A37" s="35">
        <v>1000075</v>
      </c>
      <c r="B37" s="12" t="s">
        <v>47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21" ht="15.75" thickBot="1" x14ac:dyDescent="0.3">
      <c r="A38" s="35">
        <v>1000147</v>
      </c>
      <c r="B38" s="12" t="s">
        <v>52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21" ht="15.75" thickBot="1" x14ac:dyDescent="0.3">
      <c r="A39" s="35">
        <v>10000102</v>
      </c>
      <c r="B39" s="12" t="s">
        <v>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21" ht="15.75" thickBot="1" x14ac:dyDescent="0.3">
      <c r="A40" s="35">
        <v>1000029</v>
      </c>
      <c r="B40" s="12" t="s">
        <v>30</v>
      </c>
      <c r="C40" s="41"/>
      <c r="D40" s="47"/>
      <c r="F40" s="28">
        <v>1</v>
      </c>
      <c r="G40" s="28"/>
      <c r="H40" s="28">
        <v>1</v>
      </c>
      <c r="I40" s="28"/>
      <c r="J40" s="28">
        <v>1</v>
      </c>
      <c r="K40" s="28"/>
      <c r="L40" s="28">
        <v>1</v>
      </c>
      <c r="M40" s="28"/>
      <c r="N40" s="28">
        <v>1</v>
      </c>
      <c r="O40" s="28"/>
      <c r="P40" s="418">
        <f t="shared" si="0"/>
        <v>5</v>
      </c>
    </row>
    <row r="41" spans="1:21" ht="15.75" thickBot="1" x14ac:dyDescent="0.3">
      <c r="A41" s="35">
        <v>1000073</v>
      </c>
      <c r="B41" s="12" t="s">
        <v>36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21" ht="15.75" thickBot="1" x14ac:dyDescent="0.3">
      <c r="A42" s="35">
        <v>1000007</v>
      </c>
      <c r="B42" s="12" t="s">
        <v>5</v>
      </c>
      <c r="C42" s="41"/>
      <c r="D42" s="47"/>
      <c r="F42" s="28">
        <v>50</v>
      </c>
      <c r="G42" s="28"/>
      <c r="H42" s="28">
        <v>50</v>
      </c>
      <c r="I42" s="28"/>
      <c r="J42" s="28">
        <v>50</v>
      </c>
      <c r="K42" s="28"/>
      <c r="L42" s="28"/>
      <c r="M42" s="28"/>
      <c r="N42" s="28">
        <v>50</v>
      </c>
      <c r="O42" s="28"/>
      <c r="P42" s="418">
        <f t="shared" si="0"/>
        <v>200</v>
      </c>
    </row>
    <row r="43" spans="1:21" ht="15.75" thickBot="1" x14ac:dyDescent="0.3">
      <c r="A43" s="35">
        <v>1000034</v>
      </c>
      <c r="B43" s="12" t="s">
        <v>28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21" ht="15.75" thickBot="1" x14ac:dyDescent="0.3">
      <c r="A44" s="35">
        <v>1000073</v>
      </c>
      <c r="B44" s="12" t="s">
        <v>36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21" ht="15.75" thickBot="1" x14ac:dyDescent="0.3">
      <c r="A45" s="35">
        <v>1000076</v>
      </c>
      <c r="B45" s="12" t="s">
        <v>46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  <c r="U45" s="554" t="s">
        <v>336</v>
      </c>
    </row>
    <row r="46" spans="1:21" ht="15.75" thickBot="1" x14ac:dyDescent="0.3">
      <c r="A46" s="35">
        <v>1000101</v>
      </c>
      <c r="B46" s="12" t="s">
        <v>35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21" ht="15.75" thickBot="1" x14ac:dyDescent="0.3">
      <c r="A47" s="35">
        <v>1000025</v>
      </c>
      <c r="B47" s="12" t="s">
        <v>32</v>
      </c>
      <c r="C47" s="41"/>
      <c r="D47" s="47"/>
      <c r="F47" s="28">
        <v>5</v>
      </c>
      <c r="G47" s="28"/>
      <c r="H47" s="28">
        <v>5</v>
      </c>
      <c r="I47" s="28"/>
      <c r="J47" s="28">
        <v>5</v>
      </c>
      <c r="K47" s="28"/>
      <c r="L47" s="28">
        <v>5</v>
      </c>
      <c r="M47" s="28"/>
      <c r="N47" s="28">
        <v>5</v>
      </c>
      <c r="O47" s="28"/>
      <c r="P47" s="418">
        <f t="shared" si="0"/>
        <v>25</v>
      </c>
    </row>
    <row r="48" spans="1:21" ht="15.75" thickBot="1" x14ac:dyDescent="0.3">
      <c r="A48" s="35">
        <v>1000092</v>
      </c>
      <c r="B48" s="12" t="s">
        <v>51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1000101</v>
      </c>
      <c r="B49" s="12" t="s">
        <v>35</v>
      </c>
      <c r="C49" s="41"/>
      <c r="D49" s="4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35">
        <v>1000214</v>
      </c>
      <c r="B50" s="12" t="s">
        <v>49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10248</v>
      </c>
      <c r="B51" s="12" t="s">
        <v>183</v>
      </c>
      <c r="C51" s="41"/>
      <c r="D51" s="47"/>
      <c r="F51" s="28">
        <v>6</v>
      </c>
      <c r="G51" s="28"/>
      <c r="H51" s="28">
        <v>6</v>
      </c>
      <c r="I51" s="28"/>
      <c r="J51" s="28">
        <v>12</v>
      </c>
      <c r="K51" s="28"/>
      <c r="L51" s="28">
        <v>12</v>
      </c>
      <c r="M51" s="28"/>
      <c r="N51" s="28">
        <v>12</v>
      </c>
      <c r="O51" s="28"/>
      <c r="P51" s="418">
        <f t="shared" si="0"/>
        <v>48</v>
      </c>
    </row>
    <row r="52" spans="1:16" ht="15.75" thickBot="1" x14ac:dyDescent="0.3">
      <c r="A52" s="35">
        <v>1000080</v>
      </c>
      <c r="B52" s="12" t="s">
        <v>275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5.75" thickBot="1" x14ac:dyDescent="0.3">
      <c r="A53" s="35">
        <v>1000436</v>
      </c>
      <c r="B53" s="12" t="s">
        <v>276</v>
      </c>
      <c r="C53" s="41"/>
      <c r="D53" s="4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1000550</v>
      </c>
      <c r="B54" s="12" t="s">
        <v>277</v>
      </c>
      <c r="C54" s="41"/>
      <c r="D54" s="4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1000551</v>
      </c>
      <c r="B55" s="12" t="s">
        <v>278</v>
      </c>
      <c r="C55" s="41"/>
      <c r="D55" s="4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6.5" thickBot="1" x14ac:dyDescent="0.3">
      <c r="A56" s="207">
        <v>1000552</v>
      </c>
      <c r="B56" s="246" t="s">
        <v>279</v>
      </c>
      <c r="C56"/>
      <c r="D56" s="38"/>
      <c r="E56" s="215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4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8367-94F9-4E47-8730-D27C3B6CEA59}">
  <sheetPr>
    <tabColor rgb="FFFFFF00"/>
    <pageSetUpPr fitToPage="1"/>
  </sheetPr>
  <dimension ref="A1:T59"/>
  <sheetViews>
    <sheetView topLeftCell="A4" workbookViewId="0">
      <selection activeCell="R14" sqref="R14"/>
    </sheetView>
  </sheetViews>
  <sheetFormatPr baseColWidth="10" defaultColWidth="10.875" defaultRowHeight="15" x14ac:dyDescent="0.25"/>
  <cols>
    <col min="1" max="1" width="7.875" style="27" bestFit="1" customWidth="1"/>
    <col min="2" max="2" width="31.375" style="27" customWidth="1"/>
    <col min="3" max="3" width="0.875" style="27" customWidth="1"/>
    <col min="4" max="4" width="8.125" style="27" bestFit="1" customWidth="1"/>
    <col min="5" max="5" width="1" style="27" customWidth="1"/>
    <col min="6" max="6" width="9.125" style="27" bestFit="1" customWidth="1"/>
    <col min="7" max="7" width="4.125" style="27" customWidth="1"/>
    <col min="8" max="8" width="9.125" style="27" bestFit="1" customWidth="1"/>
    <col min="9" max="9" width="5.125" style="27" customWidth="1"/>
    <col min="10" max="10" width="9.125" style="27" bestFit="1" customWidth="1"/>
    <col min="11" max="11" width="4.875" style="27" customWidth="1"/>
    <col min="12" max="12" width="9.125" style="27" bestFit="1" customWidth="1"/>
    <col min="13" max="13" width="5" style="27" customWidth="1"/>
    <col min="14" max="14" width="9.125" style="27" bestFit="1" customWidth="1"/>
    <col min="15" max="15" width="5.125" style="27" customWidth="1"/>
    <col min="16" max="16384" width="10.875" style="27"/>
  </cols>
  <sheetData>
    <row r="1" spans="1:16" ht="17.25" customHeight="1" x14ac:dyDescent="0.45">
      <c r="A1" s="686" t="s">
        <v>248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7.25" customHeight="1" thickBot="1" x14ac:dyDescent="0.5">
      <c r="A2" s="688"/>
      <c r="B2" s="689"/>
      <c r="C2" s="18"/>
      <c r="D2" s="436" t="s">
        <v>399</v>
      </c>
      <c r="F2" s="754"/>
      <c r="G2" s="755"/>
      <c r="H2" s="755"/>
      <c r="I2" s="755"/>
      <c r="J2" s="756"/>
      <c r="K2" s="2"/>
      <c r="L2"/>
      <c r="M2"/>
      <c r="N2"/>
      <c r="P2" s="449" t="s">
        <v>414</v>
      </c>
    </row>
    <row r="3" spans="1:16" s="3" customFormat="1" ht="20.25" customHeight="1" thickBot="1" x14ac:dyDescent="0.3">
      <c r="A3" s="5"/>
      <c r="B3" s="5" t="s">
        <v>415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8">
        <v>100</v>
      </c>
      <c r="F5" s="28">
        <v>50</v>
      </c>
      <c r="G5" s="28"/>
      <c r="H5" s="28">
        <v>50</v>
      </c>
      <c r="I5" s="28"/>
      <c r="J5" s="28">
        <v>50</v>
      </c>
      <c r="K5" s="28"/>
      <c r="L5" s="28">
        <v>50</v>
      </c>
      <c r="M5" s="28"/>
      <c r="N5" s="28"/>
      <c r="O5" s="28"/>
      <c r="P5" s="418">
        <f t="shared" ref="P5:P58" si="0">SUM(F5:O5)</f>
        <v>200</v>
      </c>
    </row>
    <row r="6" spans="1:16" ht="15.75" thickBot="1" x14ac:dyDescent="0.3">
      <c r="A6" s="35">
        <v>1000007</v>
      </c>
      <c r="B6" s="12" t="s">
        <v>5</v>
      </c>
      <c r="C6" s="41"/>
      <c r="D6" s="47">
        <v>90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5.75" thickBot="1" x14ac:dyDescent="0.3">
      <c r="A7" s="35">
        <v>1000008</v>
      </c>
      <c r="B7" s="12" t="s">
        <v>7</v>
      </c>
      <c r="C7" s="41"/>
      <c r="D7" s="47">
        <v>2</v>
      </c>
      <c r="F7" s="28">
        <v>50</v>
      </c>
      <c r="G7" s="28"/>
      <c r="H7" s="28"/>
      <c r="I7" s="28"/>
      <c r="J7" s="28"/>
      <c r="K7" s="28"/>
      <c r="L7" s="28"/>
      <c r="M7" s="28"/>
      <c r="N7" s="28"/>
      <c r="O7" s="28"/>
      <c r="P7" s="418">
        <f t="shared" si="0"/>
        <v>50</v>
      </c>
    </row>
    <row r="8" spans="1:16" ht="15.75" thickBot="1" x14ac:dyDescent="0.3">
      <c r="A8" s="35">
        <v>1000001</v>
      </c>
      <c r="B8" s="12" t="s">
        <v>8</v>
      </c>
      <c r="C8" s="41"/>
      <c r="D8" s="47">
        <v>3</v>
      </c>
      <c r="F8" s="28"/>
      <c r="G8" s="28"/>
      <c r="H8" s="28"/>
      <c r="I8" s="28"/>
      <c r="J8" s="28">
        <v>2</v>
      </c>
      <c r="K8" s="28"/>
      <c r="L8" s="28"/>
      <c r="M8" s="28"/>
      <c r="N8" s="28"/>
      <c r="O8" s="28"/>
      <c r="P8" s="418">
        <f t="shared" si="0"/>
        <v>2</v>
      </c>
    </row>
    <row r="9" spans="1:16" ht="15.75" thickBot="1" x14ac:dyDescent="0.3">
      <c r="A9" s="35">
        <v>1000002</v>
      </c>
      <c r="B9" s="12" t="s">
        <v>9</v>
      </c>
      <c r="C9" s="41"/>
      <c r="D9" s="47">
        <v>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1000004</v>
      </c>
      <c r="B10" s="12" t="s">
        <v>10</v>
      </c>
      <c r="C10" s="41"/>
      <c r="D10" s="47">
        <v>2</v>
      </c>
      <c r="F10" s="28">
        <v>2</v>
      </c>
      <c r="G10" s="28"/>
      <c r="H10" s="28">
        <v>2</v>
      </c>
      <c r="I10" s="28"/>
      <c r="J10" s="28"/>
      <c r="K10" s="28"/>
      <c r="L10" s="28">
        <v>1</v>
      </c>
      <c r="M10" s="28"/>
      <c r="N10" s="28"/>
      <c r="O10" s="28"/>
      <c r="P10" s="418">
        <f t="shared" si="0"/>
        <v>5</v>
      </c>
    </row>
    <row r="11" spans="1:16" ht="15.75" thickBot="1" x14ac:dyDescent="0.3">
      <c r="A11" s="35">
        <v>1000054</v>
      </c>
      <c r="B11" s="12" t="s">
        <v>12</v>
      </c>
      <c r="C11" s="41"/>
      <c r="D11" s="47">
        <v>20</v>
      </c>
      <c r="F11" s="28"/>
      <c r="G11" s="28"/>
      <c r="H11" s="28">
        <v>10</v>
      </c>
      <c r="I11" s="28"/>
      <c r="J11" s="28"/>
      <c r="K11" s="28"/>
      <c r="L11" s="28"/>
      <c r="M11" s="28"/>
      <c r="N11" s="28"/>
      <c r="O11" s="28"/>
      <c r="P11" s="418">
        <f t="shared" si="0"/>
        <v>10</v>
      </c>
    </row>
    <row r="12" spans="1:16" ht="15.75" thickBot="1" x14ac:dyDescent="0.3">
      <c r="A12" s="35">
        <v>1000070</v>
      </c>
      <c r="B12" s="12" t="s">
        <v>13</v>
      </c>
      <c r="C12" s="41"/>
      <c r="D12" s="47">
        <v>0</v>
      </c>
      <c r="F12" s="28"/>
      <c r="G12" s="28"/>
      <c r="H12" s="28"/>
      <c r="I12" s="28"/>
      <c r="J12" s="28">
        <v>1</v>
      </c>
      <c r="K12" s="653" t="s">
        <v>485</v>
      </c>
      <c r="L12" s="28">
        <v>1</v>
      </c>
      <c r="M12" s="28"/>
      <c r="N12" s="28"/>
      <c r="O12" s="28"/>
      <c r="P12" s="418">
        <f t="shared" si="0"/>
        <v>2</v>
      </c>
    </row>
    <row r="13" spans="1:16" ht="15.75" thickBot="1" x14ac:dyDescent="0.3">
      <c r="A13" s="35">
        <v>1000017</v>
      </c>
      <c r="B13" s="12" t="s">
        <v>14</v>
      </c>
      <c r="C13" s="41"/>
      <c r="D13" s="47">
        <v>20</v>
      </c>
      <c r="F13" s="28"/>
      <c r="G13" s="28"/>
      <c r="H13" s="28"/>
      <c r="I13" s="28"/>
      <c r="J13" s="28">
        <v>10</v>
      </c>
      <c r="K13" s="28"/>
      <c r="L13" s="28">
        <v>10</v>
      </c>
      <c r="M13" s="28"/>
      <c r="N13" s="28"/>
      <c r="O13" s="28"/>
      <c r="P13" s="418">
        <f t="shared" si="0"/>
        <v>20</v>
      </c>
    </row>
    <row r="14" spans="1:16" ht="15.75" thickBot="1" x14ac:dyDescent="0.3">
      <c r="A14" s="35">
        <v>1000016</v>
      </c>
      <c r="B14" s="12" t="s">
        <v>15</v>
      </c>
      <c r="C14" s="41"/>
      <c r="D14" s="47">
        <v>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>
        <f t="shared" si="0"/>
        <v>0</v>
      </c>
    </row>
    <row r="15" spans="1:16" ht="15.75" thickBot="1" x14ac:dyDescent="0.3">
      <c r="A15" s="35">
        <v>1000050</v>
      </c>
      <c r="B15" s="12" t="s">
        <v>22</v>
      </c>
      <c r="C15" s="41"/>
      <c r="D15" s="47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1000049</v>
      </c>
      <c r="B16" s="13" t="s">
        <v>21</v>
      </c>
      <c r="C16" s="41"/>
      <c r="D16" s="4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20" ht="15.75" thickBot="1" x14ac:dyDescent="0.3">
      <c r="A17" s="35">
        <v>1000045</v>
      </c>
      <c r="B17" s="12" t="s">
        <v>23</v>
      </c>
      <c r="C17" s="41"/>
      <c r="D17" s="47">
        <v>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20" ht="15.75" thickBot="1" x14ac:dyDescent="0.3">
      <c r="A18" s="35">
        <v>1000033</v>
      </c>
      <c r="B18" s="12" t="s">
        <v>27</v>
      </c>
      <c r="C18" s="41"/>
      <c r="D18" s="47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20" ht="15.75" thickBot="1" x14ac:dyDescent="0.3">
      <c r="A19" s="35">
        <v>1000034</v>
      </c>
      <c r="B19" s="12" t="s">
        <v>28</v>
      </c>
      <c r="C19" s="41"/>
      <c r="D19" s="47">
        <v>0</v>
      </c>
      <c r="F19" s="28"/>
      <c r="G19" s="28"/>
      <c r="H19" s="28"/>
      <c r="I19" s="28"/>
      <c r="J19" s="28"/>
      <c r="K19" s="28"/>
      <c r="L19" s="28">
        <v>1</v>
      </c>
      <c r="M19" s="28"/>
      <c r="N19" s="28"/>
      <c r="O19" s="28"/>
      <c r="P19" s="418">
        <f t="shared" si="0"/>
        <v>1</v>
      </c>
    </row>
    <row r="20" spans="1:20" ht="15.75" thickBot="1" x14ac:dyDescent="0.3">
      <c r="A20" s="35">
        <v>1000025</v>
      </c>
      <c r="B20" s="12" t="s">
        <v>32</v>
      </c>
      <c r="C20" s="41"/>
      <c r="D20" s="47"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20" ht="15.75" thickBot="1" x14ac:dyDescent="0.3">
      <c r="A21" s="35">
        <v>1000073</v>
      </c>
      <c r="B21" s="12" t="s">
        <v>36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20" ht="15.75" thickBot="1" x14ac:dyDescent="0.3">
      <c r="A22" s="35">
        <v>1000082</v>
      </c>
      <c r="B22" s="12" t="s">
        <v>37</v>
      </c>
      <c r="C22" s="41"/>
      <c r="D22" s="47">
        <v>30</v>
      </c>
      <c r="F22" s="28">
        <v>8</v>
      </c>
      <c r="G22" s="28"/>
      <c r="H22" s="28">
        <v>8</v>
      </c>
      <c r="I22" s="28"/>
      <c r="J22" s="28">
        <v>8</v>
      </c>
      <c r="K22" s="28"/>
      <c r="L22" s="28"/>
      <c r="M22" s="28"/>
      <c r="N22" s="28"/>
      <c r="O22" s="28"/>
      <c r="P22" s="418">
        <f t="shared" si="0"/>
        <v>24</v>
      </c>
    </row>
    <row r="23" spans="1:20" ht="15.75" thickBot="1" x14ac:dyDescent="0.3">
      <c r="A23" s="35">
        <v>1000084</v>
      </c>
      <c r="B23" s="12" t="s">
        <v>38</v>
      </c>
      <c r="C23" s="41"/>
      <c r="D23" s="47">
        <v>15</v>
      </c>
      <c r="F23" s="28">
        <v>8</v>
      </c>
      <c r="G23" s="28"/>
      <c r="H23" s="28"/>
      <c r="I23" s="28"/>
      <c r="J23" s="28"/>
      <c r="K23" s="28"/>
      <c r="L23" s="28">
        <v>8</v>
      </c>
      <c r="M23" s="28"/>
      <c r="N23" s="28"/>
      <c r="O23" s="28"/>
      <c r="P23" s="418">
        <f t="shared" si="0"/>
        <v>16</v>
      </c>
    </row>
    <row r="24" spans="1:20" ht="15.75" thickBot="1" x14ac:dyDescent="0.3">
      <c r="A24" s="35">
        <v>1000146</v>
      </c>
      <c r="B24" s="12" t="s">
        <v>39</v>
      </c>
      <c r="C24" s="41"/>
      <c r="D24" s="47">
        <v>10</v>
      </c>
      <c r="F24" s="28"/>
      <c r="G24" s="28"/>
      <c r="H24" s="28">
        <v>10</v>
      </c>
      <c r="I24" s="28"/>
      <c r="J24" s="28"/>
      <c r="K24" s="28"/>
      <c r="L24" s="28"/>
      <c r="M24" s="28"/>
      <c r="N24" s="28"/>
      <c r="O24" s="28"/>
      <c r="P24" s="418">
        <f t="shared" si="0"/>
        <v>10</v>
      </c>
    </row>
    <row r="25" spans="1:20" ht="15.75" thickBot="1" x14ac:dyDescent="0.3">
      <c r="A25" s="35">
        <v>10248</v>
      </c>
      <c r="B25" s="12" t="s">
        <v>183</v>
      </c>
      <c r="C25" s="41"/>
      <c r="D25" s="47">
        <v>0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20" ht="15.75" thickBot="1" x14ac:dyDescent="0.3">
      <c r="A26" s="35">
        <v>1000090</v>
      </c>
      <c r="B26" s="12" t="s">
        <v>40</v>
      </c>
      <c r="C26" s="41"/>
      <c r="D26" s="47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20" ht="15.75" thickBot="1" x14ac:dyDescent="0.3">
      <c r="A27" s="35">
        <v>1000052</v>
      </c>
      <c r="B27" s="12" t="s">
        <v>41</v>
      </c>
      <c r="C27" s="41"/>
      <c r="D27" s="47">
        <v>2</v>
      </c>
      <c r="F27" s="28"/>
      <c r="G27" s="28"/>
      <c r="H27" s="28"/>
      <c r="I27" s="28"/>
      <c r="J27" s="28">
        <v>1</v>
      </c>
      <c r="K27" s="28"/>
      <c r="L27" s="28"/>
      <c r="M27" s="28"/>
      <c r="N27" s="28"/>
      <c r="O27" s="28"/>
      <c r="P27" s="418">
        <f t="shared" si="0"/>
        <v>1</v>
      </c>
    </row>
    <row r="28" spans="1:20" ht="15.75" thickBot="1" x14ac:dyDescent="0.3">
      <c r="A28" s="35">
        <v>1000089</v>
      </c>
      <c r="B28" s="12" t="s">
        <v>42</v>
      </c>
      <c r="C28" s="41"/>
      <c r="D28" s="47">
        <v>2</v>
      </c>
      <c r="F28" s="28"/>
      <c r="G28" s="28"/>
      <c r="H28" s="28">
        <v>1</v>
      </c>
      <c r="I28" s="28"/>
      <c r="J28" s="28"/>
      <c r="K28" s="28"/>
      <c r="L28" s="28"/>
      <c r="M28" s="28"/>
      <c r="N28" s="28"/>
      <c r="O28" s="28"/>
      <c r="P28" s="418">
        <f t="shared" si="0"/>
        <v>1</v>
      </c>
    </row>
    <row r="29" spans="1:20" ht="15.75" thickBot="1" x14ac:dyDescent="0.3">
      <c r="A29" s="35">
        <v>1000051</v>
      </c>
      <c r="B29" s="12" t="s">
        <v>43</v>
      </c>
      <c r="C29" s="41"/>
      <c r="D29" s="47">
        <v>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  <c r="T29" s="450" t="s">
        <v>336</v>
      </c>
    </row>
    <row r="30" spans="1:20" ht="15.75" thickBot="1" x14ac:dyDescent="0.3">
      <c r="A30" s="35">
        <v>1000048</v>
      </c>
      <c r="B30" s="12" t="s">
        <v>45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20" ht="15.75" thickBot="1" x14ac:dyDescent="0.3">
      <c r="A31" s="35">
        <v>1000214</v>
      </c>
      <c r="B31" s="12" t="s">
        <v>49</v>
      </c>
      <c r="C31" s="41"/>
      <c r="D31" s="47">
        <v>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20" ht="15.75" thickBot="1" x14ac:dyDescent="0.3">
      <c r="A32" s="35">
        <v>1000142</v>
      </c>
      <c r="B32" s="12" t="s">
        <v>54</v>
      </c>
      <c r="C32" s="41"/>
      <c r="D32" s="47">
        <v>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1000101</v>
      </c>
      <c r="B33" s="12" t="s">
        <v>35</v>
      </c>
      <c r="C33" s="41"/>
      <c r="D33" s="4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10000102</v>
      </c>
      <c r="B34" s="12" t="s">
        <v>2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s="15" customFormat="1" ht="15.95" customHeight="1" thickBot="1" x14ac:dyDescent="0.3">
      <c r="A35" s="35">
        <v>1000040</v>
      </c>
      <c r="B35" s="12" t="s">
        <v>77</v>
      </c>
      <c r="C35" s="41"/>
      <c r="D35" s="4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1000100</v>
      </c>
      <c r="B36" s="12" t="s">
        <v>34</v>
      </c>
      <c r="C36" s="41"/>
      <c r="D36" s="4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1000067</v>
      </c>
      <c r="B37" s="12" t="s">
        <v>11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10000015</v>
      </c>
      <c r="B38" s="12" t="s">
        <v>1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1000092</v>
      </c>
      <c r="B39" s="12" t="s">
        <v>51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10211</v>
      </c>
      <c r="B40" s="12" t="s">
        <v>3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10000102</v>
      </c>
      <c r="B41" s="12" t="s">
        <v>237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10212</v>
      </c>
      <c r="B42" s="12" t="s">
        <v>6</v>
      </c>
      <c r="C42" s="41"/>
      <c r="D42" s="4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1000076</v>
      </c>
      <c r="B43" s="12" t="s">
        <v>46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1000075</v>
      </c>
      <c r="B44" s="12" t="s">
        <v>47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1000412</v>
      </c>
      <c r="B45" s="12" t="s">
        <v>195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1000201</v>
      </c>
      <c r="B46" s="12" t="s">
        <v>62</v>
      </c>
      <c r="C46" s="41"/>
      <c r="D46" s="4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1000103</v>
      </c>
      <c r="B47" s="12" t="s">
        <v>56</v>
      </c>
      <c r="C47" s="41"/>
      <c r="D47" s="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1000205</v>
      </c>
      <c r="B48" s="12" t="s">
        <v>82</v>
      </c>
      <c r="C48" s="41"/>
      <c r="D48" s="4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1000036</v>
      </c>
      <c r="B49" s="12" t="s">
        <v>75</v>
      </c>
      <c r="C49" s="41"/>
      <c r="D49" s="47"/>
      <c r="F49" s="28"/>
      <c r="G49" s="28"/>
      <c r="H49" s="28">
        <v>3</v>
      </c>
      <c r="I49" s="28"/>
      <c r="J49" s="28"/>
      <c r="K49" s="28"/>
      <c r="L49" s="28"/>
      <c r="M49" s="28"/>
      <c r="N49" s="28"/>
      <c r="O49" s="28"/>
      <c r="P49" s="418">
        <f t="shared" si="0"/>
        <v>3</v>
      </c>
    </row>
    <row r="50" spans="1:16" ht="15.75" thickBot="1" x14ac:dyDescent="0.3">
      <c r="A50" s="35">
        <v>1000080</v>
      </c>
      <c r="B50" s="12" t="s">
        <v>275</v>
      </c>
      <c r="C50" s="41"/>
      <c r="D50" s="4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1000436</v>
      </c>
      <c r="B51" s="12" t="s">
        <v>276</v>
      </c>
      <c r="C51" s="41"/>
      <c r="D51" s="4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5.75" thickBot="1" x14ac:dyDescent="0.3">
      <c r="A52" s="35">
        <v>1000550</v>
      </c>
      <c r="B52" s="12" t="s">
        <v>277</v>
      </c>
      <c r="C52" s="41"/>
      <c r="D52" s="4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6.5" thickBot="1" x14ac:dyDescent="0.3">
      <c r="A53" s="36">
        <v>1000551</v>
      </c>
      <c r="B53" s="12" t="s">
        <v>278</v>
      </c>
      <c r="C53"/>
      <c r="D53" s="35"/>
      <c r="E53" s="215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6.5" thickBot="1" x14ac:dyDescent="0.3">
      <c r="A54" s="207">
        <v>1000552</v>
      </c>
      <c r="B54" s="246" t="s">
        <v>279</v>
      </c>
      <c r="C54"/>
      <c r="D54" s="38"/>
      <c r="E54" s="215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5.75" thickBot="1" x14ac:dyDescent="0.3">
      <c r="A55" s="35">
        <v>1000029</v>
      </c>
      <c r="B55" s="12" t="s">
        <v>30</v>
      </c>
      <c r="D55" s="3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1000440</v>
      </c>
      <c r="B56" s="14" t="s">
        <v>199</v>
      </c>
      <c r="D56" s="3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269">
        <v>1000037</v>
      </c>
      <c r="B57" s="267" t="s">
        <v>76</v>
      </c>
      <c r="D57" s="3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5.75" thickBot="1" x14ac:dyDescent="0.3">
      <c r="A58" s="35">
        <v>1000147</v>
      </c>
      <c r="B58" s="12" t="s">
        <v>52</v>
      </c>
      <c r="D58" s="3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35"/>
      <c r="B59" s="12"/>
      <c r="D59" s="3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/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9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598B-F58E-405E-90A0-2842E95AE26B}">
  <sheetPr>
    <tabColor rgb="FFFFFF00"/>
    <pageSetUpPr fitToPage="1"/>
  </sheetPr>
  <dimension ref="A1:S48"/>
  <sheetViews>
    <sheetView topLeftCell="A4" zoomScale="80" zoomScaleNormal="80" workbookViewId="0">
      <selection activeCell="R14" sqref="R14"/>
    </sheetView>
  </sheetViews>
  <sheetFormatPr baseColWidth="10" defaultColWidth="10.875" defaultRowHeight="15" x14ac:dyDescent="0.25"/>
  <cols>
    <col min="1" max="1" width="9.75" style="27" bestFit="1" customWidth="1"/>
    <col min="2" max="2" width="31.375" style="27" customWidth="1"/>
    <col min="3" max="3" width="0.875" style="27" customWidth="1"/>
    <col min="4" max="4" width="8.5" style="27" bestFit="1" customWidth="1"/>
    <col min="5" max="5" width="1" style="27" customWidth="1"/>
    <col min="6" max="6" width="9.125" style="27" bestFit="1" customWidth="1"/>
    <col min="7" max="7" width="5.375" style="27" customWidth="1"/>
    <col min="8" max="8" width="9.125" style="27" bestFit="1" customWidth="1"/>
    <col min="9" max="9" width="5.875" style="27" customWidth="1"/>
    <col min="10" max="10" width="9.125" style="27" bestFit="1" customWidth="1"/>
    <col min="11" max="11" width="6.125" style="27" customWidth="1"/>
    <col min="12" max="12" width="9.125" style="27" bestFit="1" customWidth="1"/>
    <col min="13" max="13" width="5.875" style="27" customWidth="1"/>
    <col min="14" max="14" width="9.125" style="27" bestFit="1" customWidth="1"/>
    <col min="15" max="15" width="5.75" style="27" customWidth="1"/>
    <col min="16" max="16384" width="10.875" style="27"/>
  </cols>
  <sheetData>
    <row r="1" spans="1:16" ht="17.25" customHeight="1" x14ac:dyDescent="0.45">
      <c r="A1" s="686" t="s">
        <v>165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s="3" customFormat="1" ht="17.25" customHeight="1" thickBot="1" x14ac:dyDescent="0.5">
      <c r="A2" s="688"/>
      <c r="B2" s="689"/>
      <c r="C2" s="18"/>
      <c r="D2" s="431" t="s">
        <v>399</v>
      </c>
      <c r="F2" s="754"/>
      <c r="G2" s="755"/>
      <c r="H2" s="755"/>
      <c r="I2" s="755"/>
      <c r="J2" s="756"/>
      <c r="K2" s="2"/>
    </row>
    <row r="3" spans="1:16" s="3" customFormat="1" ht="25.5" customHeight="1" thickBot="1" x14ac:dyDescent="0.3">
      <c r="A3" s="5"/>
      <c r="B3" s="5" t="s">
        <v>412</v>
      </c>
      <c r="C3" s="18"/>
      <c r="D3" s="18"/>
    </row>
    <row r="4" spans="1:16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8">
        <v>5</v>
      </c>
      <c r="F5" s="28">
        <v>10</v>
      </c>
      <c r="G5" s="28"/>
      <c r="H5" s="28">
        <v>10</v>
      </c>
      <c r="I5" s="28"/>
      <c r="J5" s="28">
        <v>10</v>
      </c>
      <c r="K5" s="28"/>
      <c r="L5" s="28">
        <v>10</v>
      </c>
      <c r="M5" s="28"/>
      <c r="N5" s="28"/>
      <c r="O5" s="28"/>
      <c r="P5" s="594">
        <f t="shared" ref="P5:P35" si="0">SUM(F5:N5)</f>
        <v>40</v>
      </c>
    </row>
    <row r="6" spans="1:16" ht="15.75" thickBot="1" x14ac:dyDescent="0.3">
      <c r="A6" s="35">
        <v>1000006</v>
      </c>
      <c r="B6" s="12" t="s">
        <v>4</v>
      </c>
      <c r="C6" s="41"/>
      <c r="D6" s="47">
        <v>200</v>
      </c>
      <c r="F6" s="28">
        <v>50</v>
      </c>
      <c r="G6" s="28"/>
      <c r="H6" s="28">
        <v>50</v>
      </c>
      <c r="I6" s="28"/>
      <c r="J6" s="28">
        <v>50</v>
      </c>
      <c r="K6" s="28"/>
      <c r="L6" s="28"/>
      <c r="M6" s="28"/>
      <c r="N6" s="28"/>
      <c r="O6" s="28"/>
      <c r="P6" s="594">
        <f t="shared" si="0"/>
        <v>150</v>
      </c>
    </row>
    <row r="7" spans="1:16" ht="15.75" thickBot="1" x14ac:dyDescent="0.3">
      <c r="A7" s="35">
        <v>1000007</v>
      </c>
      <c r="B7" s="12" t="s">
        <v>5</v>
      </c>
      <c r="C7" s="41"/>
      <c r="D7" s="47">
        <v>200</v>
      </c>
      <c r="F7" s="28">
        <v>50</v>
      </c>
      <c r="G7" s="28"/>
      <c r="H7" s="28">
        <v>50</v>
      </c>
      <c r="I7" s="28"/>
      <c r="J7" s="28">
        <v>50</v>
      </c>
      <c r="K7" s="28"/>
      <c r="L7" s="28"/>
      <c r="M7" s="28"/>
      <c r="N7" s="28"/>
      <c r="O7" s="28"/>
      <c r="P7" s="594">
        <f t="shared" si="0"/>
        <v>150</v>
      </c>
    </row>
    <row r="8" spans="1:16" ht="15.75" thickBot="1" x14ac:dyDescent="0.3">
      <c r="A8" s="35">
        <v>1000008</v>
      </c>
      <c r="B8" s="12" t="s">
        <v>7</v>
      </c>
      <c r="C8" s="41"/>
      <c r="D8" s="47">
        <v>15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595">
        <f t="shared" si="0"/>
        <v>0</v>
      </c>
    </row>
    <row r="9" spans="1:16" ht="15.75" thickBot="1" x14ac:dyDescent="0.3">
      <c r="A9" s="35">
        <v>1000001</v>
      </c>
      <c r="B9" s="12" t="s">
        <v>8</v>
      </c>
      <c r="C9" s="41"/>
      <c r="D9" s="47">
        <v>2</v>
      </c>
      <c r="F9" s="28">
        <v>3</v>
      </c>
      <c r="G9" s="28"/>
      <c r="H9" s="28">
        <v>3</v>
      </c>
      <c r="I9" s="28"/>
      <c r="J9" s="28">
        <v>3</v>
      </c>
      <c r="K9" s="28"/>
      <c r="L9" s="28"/>
      <c r="M9" s="28"/>
      <c r="N9" s="28"/>
      <c r="O9" s="28"/>
      <c r="P9" s="594">
        <f t="shared" si="0"/>
        <v>9</v>
      </c>
    </row>
    <row r="10" spans="1:16" ht="15.75" thickBot="1" x14ac:dyDescent="0.3">
      <c r="A10" s="35">
        <v>1000002</v>
      </c>
      <c r="B10" s="12" t="s">
        <v>9</v>
      </c>
      <c r="C10" s="41"/>
      <c r="D10" s="4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594">
        <f t="shared" si="0"/>
        <v>0</v>
      </c>
    </row>
    <row r="11" spans="1:16" ht="15.75" thickBot="1" x14ac:dyDescent="0.3">
      <c r="A11" s="35">
        <v>1000067</v>
      </c>
      <c r="B11" s="12" t="s">
        <v>11</v>
      </c>
      <c r="C11" s="41"/>
      <c r="D11" s="47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95">
        <f t="shared" ref="P11:P48" si="1">SUM(F11:N11)</f>
        <v>0</v>
      </c>
    </row>
    <row r="12" spans="1:16" ht="15.75" thickBot="1" x14ac:dyDescent="0.3">
      <c r="A12" s="35">
        <v>1000054</v>
      </c>
      <c r="B12" s="12" t="s">
        <v>12</v>
      </c>
      <c r="C12" s="41"/>
      <c r="D12" s="47">
        <v>30</v>
      </c>
      <c r="F12" s="28"/>
      <c r="G12" s="28"/>
      <c r="H12" s="28"/>
      <c r="I12" s="28"/>
      <c r="J12" s="28"/>
      <c r="K12" s="28"/>
      <c r="L12" s="28">
        <v>10</v>
      </c>
      <c r="M12" s="28"/>
      <c r="N12" s="28"/>
      <c r="O12" s="28"/>
      <c r="P12" s="594">
        <f t="shared" si="0"/>
        <v>10</v>
      </c>
    </row>
    <row r="13" spans="1:16" ht="15.75" thickBot="1" x14ac:dyDescent="0.3">
      <c r="A13" s="35">
        <v>1000070</v>
      </c>
      <c r="B13" s="12" t="s">
        <v>13</v>
      </c>
      <c r="C13" s="41"/>
      <c r="D13" s="47">
        <v>1</v>
      </c>
      <c r="F13" s="28"/>
      <c r="G13" s="28"/>
      <c r="H13" s="28">
        <v>1</v>
      </c>
      <c r="I13" s="28"/>
      <c r="J13" s="28"/>
      <c r="K13" s="28"/>
      <c r="L13" s="28"/>
      <c r="M13" s="28"/>
      <c r="N13" s="28"/>
      <c r="O13" s="28"/>
      <c r="P13" s="594">
        <f t="shared" si="0"/>
        <v>1</v>
      </c>
    </row>
    <row r="14" spans="1:16" ht="15.75" thickBot="1" x14ac:dyDescent="0.3">
      <c r="A14" s="35">
        <v>1000017</v>
      </c>
      <c r="B14" s="12" t="s">
        <v>14</v>
      </c>
      <c r="C14" s="41"/>
      <c r="D14" s="47">
        <v>20</v>
      </c>
      <c r="F14" s="28">
        <v>10</v>
      </c>
      <c r="G14" s="28"/>
      <c r="H14" s="28">
        <v>20</v>
      </c>
      <c r="I14" s="28"/>
      <c r="J14" s="28">
        <v>20</v>
      </c>
      <c r="K14" s="28"/>
      <c r="L14" s="28">
        <v>10</v>
      </c>
      <c r="M14" s="28"/>
      <c r="N14" s="28"/>
      <c r="O14" s="28"/>
      <c r="P14" s="594">
        <f t="shared" si="0"/>
        <v>60</v>
      </c>
    </row>
    <row r="15" spans="1:16" ht="15.75" thickBot="1" x14ac:dyDescent="0.3">
      <c r="A15" s="35">
        <v>1000016</v>
      </c>
      <c r="B15" s="12" t="s">
        <v>15</v>
      </c>
      <c r="C15" s="41"/>
      <c r="D15" s="47">
        <v>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595">
        <f t="shared" si="0"/>
        <v>0</v>
      </c>
    </row>
    <row r="16" spans="1:16" ht="15.75" thickBot="1" x14ac:dyDescent="0.3">
      <c r="A16" s="35">
        <v>1000041</v>
      </c>
      <c r="B16" s="13" t="s">
        <v>16</v>
      </c>
      <c r="C16" s="41"/>
      <c r="D16" s="47">
        <v>5</v>
      </c>
      <c r="F16" s="28">
        <v>5</v>
      </c>
      <c r="G16" s="28"/>
      <c r="H16" s="28">
        <v>5</v>
      </c>
      <c r="I16" s="28"/>
      <c r="J16" s="28">
        <v>5</v>
      </c>
      <c r="K16" s="28"/>
      <c r="L16" s="28">
        <v>5</v>
      </c>
      <c r="M16" s="28"/>
      <c r="N16" s="28"/>
      <c r="O16" s="28"/>
      <c r="P16" s="594">
        <f t="shared" si="1"/>
        <v>20</v>
      </c>
    </row>
    <row r="17" spans="1:16" ht="15.75" thickBot="1" x14ac:dyDescent="0.3">
      <c r="A17" s="35">
        <v>1000049</v>
      </c>
      <c r="B17" s="12" t="s">
        <v>21</v>
      </c>
      <c r="C17" s="41"/>
      <c r="D17" s="47">
        <v>2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595">
        <f t="shared" si="0"/>
        <v>0</v>
      </c>
    </row>
    <row r="18" spans="1:16" ht="15.75" thickBot="1" x14ac:dyDescent="0.3">
      <c r="A18" s="35">
        <v>1000050</v>
      </c>
      <c r="B18" s="14" t="s">
        <v>22</v>
      </c>
      <c r="C18" s="41"/>
      <c r="D18" s="47">
        <v>2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595">
        <f t="shared" si="0"/>
        <v>0</v>
      </c>
    </row>
    <row r="19" spans="1:16" ht="15.75" thickBot="1" x14ac:dyDescent="0.3">
      <c r="A19" s="35">
        <v>1000031</v>
      </c>
      <c r="B19" s="12" t="s">
        <v>25</v>
      </c>
      <c r="C19" s="41"/>
      <c r="D19" s="47">
        <v>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595">
        <f t="shared" si="0"/>
        <v>0</v>
      </c>
    </row>
    <row r="20" spans="1:16" ht="15.75" thickBot="1" x14ac:dyDescent="0.3">
      <c r="A20" s="35">
        <v>1000025</v>
      </c>
      <c r="B20" s="12" t="s">
        <v>32</v>
      </c>
      <c r="C20" s="41"/>
      <c r="D20" s="47">
        <v>5</v>
      </c>
      <c r="F20" s="28"/>
      <c r="G20" s="28"/>
      <c r="H20" s="28"/>
      <c r="I20" s="28"/>
      <c r="J20" s="28">
        <v>5</v>
      </c>
      <c r="K20" s="28"/>
      <c r="L20" s="28"/>
      <c r="M20" s="28"/>
      <c r="N20" s="28"/>
      <c r="O20" s="28"/>
      <c r="P20" s="594">
        <f t="shared" si="0"/>
        <v>5</v>
      </c>
    </row>
    <row r="21" spans="1:16" ht="15.75" thickBot="1" x14ac:dyDescent="0.3">
      <c r="A21" s="35">
        <v>1000101</v>
      </c>
      <c r="B21" s="12" t="s">
        <v>35</v>
      </c>
      <c r="C21" s="41"/>
      <c r="D21" s="47">
        <v>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95">
        <f t="shared" si="0"/>
        <v>0</v>
      </c>
    </row>
    <row r="22" spans="1:16" ht="15.75" thickBot="1" x14ac:dyDescent="0.3">
      <c r="A22" s="35">
        <v>1000082</v>
      </c>
      <c r="B22" s="12" t="s">
        <v>37</v>
      </c>
      <c r="C22" s="41"/>
      <c r="D22" s="47">
        <v>45</v>
      </c>
      <c r="F22" s="28">
        <v>8</v>
      </c>
      <c r="G22" s="28"/>
      <c r="H22" s="28">
        <v>8</v>
      </c>
      <c r="I22" s="28"/>
      <c r="J22" s="28">
        <v>16</v>
      </c>
      <c r="K22" s="28"/>
      <c r="L22" s="28">
        <v>8</v>
      </c>
      <c r="M22" s="28"/>
      <c r="N22" s="28"/>
      <c r="O22" s="28"/>
      <c r="P22" s="594">
        <f t="shared" si="1"/>
        <v>40</v>
      </c>
    </row>
    <row r="23" spans="1:16" ht="15.75" thickBot="1" x14ac:dyDescent="0.3">
      <c r="A23" s="35">
        <v>1000146</v>
      </c>
      <c r="B23" s="12" t="s">
        <v>39</v>
      </c>
      <c r="C23" s="41"/>
      <c r="D23" s="47">
        <v>90</v>
      </c>
      <c r="F23" s="28"/>
      <c r="G23" s="28"/>
      <c r="H23" s="28">
        <v>20</v>
      </c>
      <c r="I23" s="28"/>
      <c r="J23" s="28">
        <v>30</v>
      </c>
      <c r="K23" s="28"/>
      <c r="L23" s="28"/>
      <c r="M23" s="28"/>
      <c r="N23" s="28"/>
      <c r="O23" s="28"/>
      <c r="P23" s="594">
        <f t="shared" si="0"/>
        <v>50</v>
      </c>
    </row>
    <row r="24" spans="1:16" ht="15.75" thickBot="1" x14ac:dyDescent="0.3">
      <c r="A24" s="115">
        <v>10248</v>
      </c>
      <c r="B24" s="120" t="s">
        <v>183</v>
      </c>
      <c r="C24" s="41"/>
      <c r="D24" s="47">
        <v>0</v>
      </c>
      <c r="F24" s="28"/>
      <c r="G24" s="28"/>
      <c r="H24" s="28"/>
      <c r="I24" s="28"/>
      <c r="J24" s="28">
        <v>6</v>
      </c>
      <c r="K24" s="28"/>
      <c r="L24" s="28"/>
      <c r="M24" s="28"/>
      <c r="N24" s="28"/>
      <c r="O24" s="28"/>
      <c r="P24" s="594">
        <f t="shared" si="0"/>
        <v>6</v>
      </c>
    </row>
    <row r="25" spans="1:16" ht="15.75" thickBot="1" x14ac:dyDescent="0.3">
      <c r="A25" s="122">
        <v>1000090</v>
      </c>
      <c r="B25" s="14" t="s">
        <v>40</v>
      </c>
      <c r="C25" s="41"/>
      <c r="D25" s="47">
        <v>3</v>
      </c>
      <c r="E25" s="15"/>
      <c r="F25" s="28">
        <v>8</v>
      </c>
      <c r="G25" s="28"/>
      <c r="H25" s="28"/>
      <c r="I25" s="28"/>
      <c r="J25" s="28">
        <v>8</v>
      </c>
      <c r="K25" s="28"/>
      <c r="L25" s="28"/>
      <c r="M25" s="28"/>
      <c r="N25" s="28"/>
      <c r="O25" s="28"/>
      <c r="P25" s="594">
        <f t="shared" si="0"/>
        <v>16</v>
      </c>
    </row>
    <row r="26" spans="1:16" ht="15.75" thickBot="1" x14ac:dyDescent="0.3">
      <c r="A26" s="44">
        <v>1000052</v>
      </c>
      <c r="B26" s="13" t="s">
        <v>41</v>
      </c>
      <c r="C26" s="41"/>
      <c r="D26" s="47">
        <v>4</v>
      </c>
      <c r="F26" s="28">
        <v>2</v>
      </c>
      <c r="G26" s="28"/>
      <c r="H26" s="28">
        <v>2</v>
      </c>
      <c r="I26" s="28"/>
      <c r="J26" s="28">
        <v>2</v>
      </c>
      <c r="K26" s="28"/>
      <c r="L26" s="28"/>
      <c r="M26" s="28"/>
      <c r="N26" s="28"/>
      <c r="O26" s="28"/>
      <c r="P26" s="594">
        <f t="shared" si="0"/>
        <v>6</v>
      </c>
    </row>
    <row r="27" spans="1:16" ht="15.75" thickBot="1" x14ac:dyDescent="0.3">
      <c r="A27" s="44">
        <v>1000089</v>
      </c>
      <c r="B27" s="13" t="s">
        <v>42</v>
      </c>
      <c r="C27" s="41"/>
      <c r="D27" s="47">
        <v>4</v>
      </c>
      <c r="F27" s="28">
        <v>2</v>
      </c>
      <c r="G27" s="28"/>
      <c r="H27" s="28">
        <v>2</v>
      </c>
      <c r="I27" s="28"/>
      <c r="J27" s="28">
        <v>2</v>
      </c>
      <c r="K27" s="28"/>
      <c r="L27" s="28"/>
      <c r="M27" s="28"/>
      <c r="N27" s="28"/>
      <c r="O27" s="28"/>
      <c r="P27" s="594">
        <f t="shared" si="0"/>
        <v>6</v>
      </c>
    </row>
    <row r="28" spans="1:16" ht="15.75" thickBot="1" x14ac:dyDescent="0.3">
      <c r="A28" s="44">
        <v>1000051</v>
      </c>
      <c r="B28" s="13" t="s">
        <v>43</v>
      </c>
      <c r="C28" s="41"/>
      <c r="D28" s="47">
        <v>1</v>
      </c>
      <c r="F28" s="28"/>
      <c r="G28" s="28"/>
      <c r="H28" s="28"/>
      <c r="I28" s="28"/>
      <c r="J28" s="28">
        <v>3</v>
      </c>
      <c r="K28" s="28"/>
      <c r="L28" s="28"/>
      <c r="M28" s="28"/>
      <c r="N28" s="28"/>
      <c r="O28" s="28"/>
      <c r="P28" s="594">
        <f t="shared" si="0"/>
        <v>3</v>
      </c>
    </row>
    <row r="29" spans="1:16" ht="15.75" thickBot="1" x14ac:dyDescent="0.3">
      <c r="A29" s="44">
        <v>1000048</v>
      </c>
      <c r="B29" s="13" t="s">
        <v>45</v>
      </c>
      <c r="C29" s="41"/>
      <c r="D29" s="47">
        <v>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595">
        <f t="shared" si="0"/>
        <v>0</v>
      </c>
    </row>
    <row r="30" spans="1:16" ht="15.75" thickBot="1" x14ac:dyDescent="0.3">
      <c r="A30" s="44">
        <v>1000148</v>
      </c>
      <c r="B30" s="13" t="s">
        <v>53</v>
      </c>
      <c r="C30" s="41"/>
      <c r="D30" s="47">
        <v>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595">
        <f t="shared" si="0"/>
        <v>0</v>
      </c>
    </row>
    <row r="31" spans="1:16" ht="15.75" thickBot="1" x14ac:dyDescent="0.3">
      <c r="A31" s="44">
        <v>1000142</v>
      </c>
      <c r="B31" s="13" t="s">
        <v>54</v>
      </c>
      <c r="C31" s="41"/>
      <c r="D31" s="47">
        <v>1</v>
      </c>
      <c r="F31" s="28"/>
      <c r="G31" s="28"/>
      <c r="H31" s="28"/>
      <c r="I31" s="28"/>
      <c r="J31" s="28">
        <v>2</v>
      </c>
      <c r="K31" s="28"/>
      <c r="L31" s="28"/>
      <c r="M31" s="28"/>
      <c r="N31" s="28"/>
      <c r="O31" s="28"/>
      <c r="P31" s="594">
        <f t="shared" si="0"/>
        <v>2</v>
      </c>
    </row>
    <row r="32" spans="1:16" ht="15.75" thickBot="1" x14ac:dyDescent="0.3">
      <c r="A32" s="67">
        <v>1000035</v>
      </c>
      <c r="B32" s="1" t="s">
        <v>29</v>
      </c>
      <c r="C32" s="41"/>
      <c r="D32" s="47"/>
      <c r="E32" s="15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595">
        <f t="shared" si="0"/>
        <v>0</v>
      </c>
    </row>
    <row r="33" spans="1:19" s="15" customFormat="1" ht="15.95" customHeight="1" thickBot="1" x14ac:dyDescent="0.3">
      <c r="A33" s="71">
        <v>1000214</v>
      </c>
      <c r="B33" s="12" t="s">
        <v>49</v>
      </c>
      <c r="C33" s="41"/>
      <c r="D33" s="4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95">
        <f t="shared" si="0"/>
        <v>0</v>
      </c>
    </row>
    <row r="34" spans="1:19" ht="15.75" thickBot="1" x14ac:dyDescent="0.3">
      <c r="A34" s="35">
        <v>1000085</v>
      </c>
      <c r="B34" s="12" t="s">
        <v>50</v>
      </c>
      <c r="C34" s="41"/>
      <c r="D34" s="4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595">
        <f t="shared" si="0"/>
        <v>0</v>
      </c>
    </row>
    <row r="35" spans="1:19" ht="15.75" thickBot="1" x14ac:dyDescent="0.3">
      <c r="A35" s="35">
        <v>1000033</v>
      </c>
      <c r="B35" s="12" t="s">
        <v>27</v>
      </c>
      <c r="C35" s="41"/>
      <c r="D35" s="4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595">
        <f t="shared" si="0"/>
        <v>0</v>
      </c>
    </row>
    <row r="36" spans="1:19" ht="15.75" thickBot="1" x14ac:dyDescent="0.3">
      <c r="A36" s="35">
        <v>1000029</v>
      </c>
      <c r="B36" s="12" t="s">
        <v>30</v>
      </c>
      <c r="C36" s="41"/>
      <c r="D36" s="47"/>
      <c r="F36" s="28"/>
      <c r="G36" s="28"/>
      <c r="H36" s="28"/>
      <c r="I36" s="28"/>
      <c r="J36" s="28">
        <v>1</v>
      </c>
      <c r="K36" s="28"/>
      <c r="L36" s="28"/>
      <c r="M36" s="28"/>
      <c r="N36" s="28"/>
      <c r="O36" s="28"/>
      <c r="P36" s="594">
        <f t="shared" si="1"/>
        <v>1</v>
      </c>
    </row>
    <row r="37" spans="1:19" ht="15.75" thickBot="1" x14ac:dyDescent="0.3">
      <c r="A37" s="35">
        <v>1000076</v>
      </c>
      <c r="B37" s="12" t="s">
        <v>46</v>
      </c>
      <c r="C37" s="41"/>
      <c r="D37" s="4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595">
        <f t="shared" si="1"/>
        <v>0</v>
      </c>
      <c r="S37" s="640" t="s">
        <v>336</v>
      </c>
    </row>
    <row r="38" spans="1:19" ht="15.75" thickBot="1" x14ac:dyDescent="0.3">
      <c r="A38" s="35">
        <v>1000004</v>
      </c>
      <c r="B38" s="12" t="s">
        <v>10</v>
      </c>
      <c r="C38" s="41"/>
      <c r="D38" s="4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595">
        <f t="shared" si="1"/>
        <v>0</v>
      </c>
    </row>
    <row r="39" spans="1:19" ht="15.75" thickBot="1" x14ac:dyDescent="0.3">
      <c r="A39" s="35">
        <v>1000147</v>
      </c>
      <c r="B39" s="12" t="s">
        <v>52</v>
      </c>
      <c r="C39" s="41"/>
      <c r="D39" s="4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595">
        <f t="shared" si="1"/>
        <v>0</v>
      </c>
    </row>
    <row r="40" spans="1:19" ht="15.75" thickBot="1" x14ac:dyDescent="0.3">
      <c r="A40" s="35">
        <v>1000100</v>
      </c>
      <c r="B40" s="12" t="s">
        <v>34</v>
      </c>
      <c r="C40" s="41"/>
      <c r="D40" s="4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595">
        <f t="shared" si="1"/>
        <v>0</v>
      </c>
    </row>
    <row r="41" spans="1:19" ht="15.75" thickBot="1" x14ac:dyDescent="0.3">
      <c r="A41" s="35">
        <v>1000034</v>
      </c>
      <c r="B41" s="12" t="s">
        <v>28</v>
      </c>
      <c r="C41" s="41"/>
      <c r="D41" s="4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595">
        <f t="shared" si="1"/>
        <v>0</v>
      </c>
    </row>
    <row r="42" spans="1:19" ht="15.75" thickBot="1" x14ac:dyDescent="0.3">
      <c r="A42" s="35">
        <v>1000436</v>
      </c>
      <c r="B42" s="12" t="s">
        <v>276</v>
      </c>
      <c r="C42" s="41"/>
      <c r="D42" s="47"/>
      <c r="F42" s="28"/>
      <c r="G42" s="28"/>
      <c r="H42" s="28"/>
      <c r="I42" s="28"/>
      <c r="J42" s="28"/>
      <c r="K42" s="28"/>
      <c r="L42" s="28">
        <v>20</v>
      </c>
      <c r="M42" s="28"/>
      <c r="N42" s="28"/>
      <c r="O42" s="28"/>
      <c r="P42" s="594">
        <f t="shared" si="1"/>
        <v>20</v>
      </c>
    </row>
    <row r="43" spans="1:19" ht="15.75" thickBot="1" x14ac:dyDescent="0.3">
      <c r="A43" s="35">
        <v>1000550</v>
      </c>
      <c r="B43" s="12" t="s">
        <v>277</v>
      </c>
      <c r="C43" s="41"/>
      <c r="D43" s="4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595">
        <f t="shared" si="1"/>
        <v>0</v>
      </c>
    </row>
    <row r="44" spans="1:19" ht="15.75" thickBot="1" x14ac:dyDescent="0.3">
      <c r="A44" s="35">
        <v>1000551</v>
      </c>
      <c r="B44" s="12" t="s">
        <v>278</v>
      </c>
      <c r="C44" s="41"/>
      <c r="D44" s="4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595">
        <f t="shared" si="1"/>
        <v>0</v>
      </c>
    </row>
    <row r="45" spans="1:19" ht="15.75" thickBot="1" x14ac:dyDescent="0.3">
      <c r="A45" s="35">
        <v>1000552</v>
      </c>
      <c r="B45" s="12" t="s">
        <v>279</v>
      </c>
      <c r="C45" s="41"/>
      <c r="D45" s="4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595">
        <f t="shared" si="1"/>
        <v>0</v>
      </c>
    </row>
    <row r="46" spans="1:19" s="200" customFormat="1" ht="15.75" thickBot="1" x14ac:dyDescent="0.3">
      <c r="A46" s="38">
        <v>1000080</v>
      </c>
      <c r="B46" s="17" t="s">
        <v>275</v>
      </c>
      <c r="C46" s="41"/>
      <c r="D46" s="46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595">
        <f t="shared" si="1"/>
        <v>0</v>
      </c>
    </row>
    <row r="47" spans="1:19" ht="15.75" thickBot="1" x14ac:dyDescent="0.3">
      <c r="A47" s="35">
        <v>1000073</v>
      </c>
      <c r="B47" s="12" t="s">
        <v>36</v>
      </c>
      <c r="D47" s="4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595">
        <f t="shared" si="1"/>
        <v>0</v>
      </c>
    </row>
    <row r="48" spans="1:19" ht="15.75" thickBot="1" x14ac:dyDescent="0.3">
      <c r="A48" s="35">
        <v>1000040</v>
      </c>
      <c r="B48" s="12" t="s">
        <v>77</v>
      </c>
      <c r="D48" s="4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595">
        <f t="shared" si="1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4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4AFB-544D-4D03-92CB-CFD08A5E7ED0}">
  <sheetPr>
    <tabColor rgb="FFFFFF00"/>
    <pageSetUpPr fitToPage="1"/>
  </sheetPr>
  <dimension ref="A1:N66"/>
  <sheetViews>
    <sheetView topLeftCell="A41" zoomScaleNormal="100" workbookViewId="0">
      <selection activeCell="P59" sqref="P59"/>
    </sheetView>
  </sheetViews>
  <sheetFormatPr baseColWidth="10" defaultRowHeight="15.75" x14ac:dyDescent="0.25"/>
  <cols>
    <col min="2" max="2" width="34" customWidth="1"/>
    <col min="3" max="3" width="0" hidden="1" customWidth="1"/>
    <col min="5" max="5" width="4.25" customWidth="1"/>
    <col min="7" max="7" width="5" customWidth="1"/>
    <col min="9" max="9" width="4.625" customWidth="1"/>
    <col min="11" max="11" width="5.375" customWidth="1"/>
    <col min="13" max="13" width="5.375" customWidth="1"/>
    <col min="14" max="14" width="8" customWidth="1"/>
  </cols>
  <sheetData>
    <row r="1" spans="1:14" ht="28.5" x14ac:dyDescent="0.45">
      <c r="A1" s="686" t="s">
        <v>432</v>
      </c>
      <c r="B1" s="687"/>
      <c r="C1" s="27"/>
      <c r="D1" s="751" t="s">
        <v>474</v>
      </c>
      <c r="E1" s="752"/>
      <c r="F1" s="752"/>
      <c r="G1" s="752"/>
      <c r="H1" s="753"/>
      <c r="I1" s="2"/>
      <c r="J1" s="27"/>
      <c r="K1" s="27"/>
      <c r="L1" s="27"/>
    </row>
    <row r="2" spans="1:14" ht="29.25" thickBot="1" x14ac:dyDescent="0.5">
      <c r="A2" s="688"/>
      <c r="B2" s="689"/>
      <c r="C2" s="3"/>
      <c r="D2" s="754"/>
      <c r="E2" s="755"/>
      <c r="F2" s="755"/>
      <c r="G2" s="755"/>
      <c r="H2" s="756"/>
      <c r="I2" s="2"/>
      <c r="J2" s="3"/>
      <c r="K2" s="3"/>
      <c r="L2" s="3"/>
    </row>
    <row r="3" spans="1:14" ht="29.25" thickBot="1" x14ac:dyDescent="0.3">
      <c r="A3" s="5"/>
      <c r="B3" s="340" t="s">
        <v>431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6.5" thickBot="1" x14ac:dyDescent="0.3">
      <c r="A4" s="6" t="s">
        <v>0</v>
      </c>
      <c r="B4" s="6" t="s">
        <v>105</v>
      </c>
      <c r="C4" s="7" t="s">
        <v>106</v>
      </c>
      <c r="D4" s="9" t="s">
        <v>308</v>
      </c>
      <c r="E4" s="10" t="s">
        <v>325</v>
      </c>
      <c r="F4" s="9" t="s">
        <v>310</v>
      </c>
      <c r="G4" s="10" t="s">
        <v>325</v>
      </c>
      <c r="H4" s="9" t="s">
        <v>311</v>
      </c>
      <c r="I4" s="10" t="s">
        <v>325</v>
      </c>
      <c r="J4" s="9" t="s">
        <v>312</v>
      </c>
      <c r="K4" s="10" t="s">
        <v>325</v>
      </c>
      <c r="L4" s="9" t="s">
        <v>313</v>
      </c>
      <c r="M4" s="10" t="s">
        <v>325</v>
      </c>
      <c r="N4" s="7" t="s">
        <v>98</v>
      </c>
    </row>
    <row r="5" spans="1:14" ht="16.5" thickBot="1" x14ac:dyDescent="0.3">
      <c r="A5" s="30">
        <v>10000015</v>
      </c>
      <c r="B5" s="11" t="s">
        <v>1</v>
      </c>
      <c r="C5" s="61">
        <v>20</v>
      </c>
      <c r="D5" s="28"/>
      <c r="E5" s="28"/>
      <c r="F5" s="28"/>
      <c r="G5" s="28"/>
      <c r="H5" s="28">
        <v>10</v>
      </c>
      <c r="I5" s="28"/>
      <c r="J5" s="28">
        <v>10</v>
      </c>
      <c r="K5" s="28"/>
      <c r="L5" s="28"/>
      <c r="M5" s="28"/>
      <c r="N5" s="418">
        <f t="shared" ref="N5:N66" si="0">SUM(D5:M5)</f>
        <v>20</v>
      </c>
    </row>
    <row r="6" spans="1:14" ht="16.5" thickBot="1" x14ac:dyDescent="0.3">
      <c r="A6" s="35">
        <v>10000102</v>
      </c>
      <c r="B6" s="12" t="s">
        <v>2</v>
      </c>
      <c r="C6" s="62">
        <v>2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30">
        <f t="shared" si="0"/>
        <v>0</v>
      </c>
    </row>
    <row r="7" spans="1:14" ht="16.5" thickBot="1" x14ac:dyDescent="0.3">
      <c r="A7" s="35">
        <v>10211</v>
      </c>
      <c r="B7" s="12" t="s">
        <v>3</v>
      </c>
      <c r="C7" s="62">
        <v>10000</v>
      </c>
      <c r="D7" s="28">
        <v>500</v>
      </c>
      <c r="E7" s="28"/>
      <c r="F7" s="28">
        <v>500</v>
      </c>
      <c r="G7" s="28"/>
      <c r="H7" s="28"/>
      <c r="I7" s="28"/>
      <c r="J7" s="28"/>
      <c r="K7" s="28"/>
      <c r="L7" s="28"/>
      <c r="M7" s="28"/>
      <c r="N7" s="418">
        <f t="shared" si="0"/>
        <v>1000</v>
      </c>
    </row>
    <row r="8" spans="1:14" ht="16.5" thickBot="1" x14ac:dyDescent="0.3">
      <c r="A8" s="35">
        <v>1000007</v>
      </c>
      <c r="B8" s="12" t="s">
        <v>5</v>
      </c>
      <c r="C8" s="62">
        <v>4000</v>
      </c>
      <c r="D8" s="28">
        <v>500</v>
      </c>
      <c r="E8" s="28"/>
      <c r="F8" s="28">
        <v>500</v>
      </c>
      <c r="G8" s="28"/>
      <c r="H8" s="28"/>
      <c r="I8" s="28"/>
      <c r="J8" s="28">
        <v>1000</v>
      </c>
      <c r="K8" s="28"/>
      <c r="L8" s="28"/>
      <c r="M8" s="28"/>
      <c r="N8" s="418">
        <f t="shared" si="0"/>
        <v>2000</v>
      </c>
    </row>
    <row r="9" spans="1:14" ht="16.5" thickBot="1" x14ac:dyDescent="0.3">
      <c r="A9" s="35">
        <v>10212</v>
      </c>
      <c r="B9" s="12" t="s">
        <v>6</v>
      </c>
      <c r="C9" s="62">
        <v>4000</v>
      </c>
      <c r="D9" s="28"/>
      <c r="E9" s="28"/>
      <c r="F9" s="28"/>
      <c r="G9" s="28"/>
      <c r="H9" s="28">
        <v>500</v>
      </c>
      <c r="I9" s="28"/>
      <c r="J9" s="28"/>
      <c r="K9" s="28"/>
      <c r="L9" s="28"/>
      <c r="M9" s="28"/>
      <c r="N9" s="418">
        <f t="shared" si="0"/>
        <v>500</v>
      </c>
    </row>
    <row r="10" spans="1:14" ht="16.5" thickBot="1" x14ac:dyDescent="0.3">
      <c r="A10" s="35">
        <v>1000008</v>
      </c>
      <c r="B10" s="12" t="s">
        <v>7</v>
      </c>
      <c r="C10" s="62">
        <v>100</v>
      </c>
      <c r="D10" s="28"/>
      <c r="E10" s="28"/>
      <c r="F10" s="28"/>
      <c r="G10" s="28"/>
      <c r="H10" s="28"/>
      <c r="I10" s="28"/>
      <c r="J10" s="28">
        <v>500</v>
      </c>
      <c r="K10" s="28"/>
      <c r="L10" s="28"/>
      <c r="M10" s="28"/>
      <c r="N10" s="418">
        <f t="shared" si="0"/>
        <v>500</v>
      </c>
    </row>
    <row r="11" spans="1:14" ht="16.5" thickBot="1" x14ac:dyDescent="0.3">
      <c r="A11" s="35">
        <v>1000001</v>
      </c>
      <c r="B11" s="12" t="s">
        <v>8</v>
      </c>
      <c r="C11" s="62">
        <v>65</v>
      </c>
      <c r="D11" s="28">
        <v>18</v>
      </c>
      <c r="E11" s="28"/>
      <c r="F11" s="28"/>
      <c r="G11" s="28"/>
      <c r="H11" s="28"/>
      <c r="I11" s="28"/>
      <c r="J11" s="28"/>
      <c r="K11" s="28"/>
      <c r="L11" s="28"/>
      <c r="M11" s="28"/>
      <c r="N11" s="418">
        <f t="shared" si="0"/>
        <v>18</v>
      </c>
    </row>
    <row r="12" spans="1:14" ht="16.5" thickBot="1" x14ac:dyDescent="0.3">
      <c r="A12" s="35">
        <v>1000002</v>
      </c>
      <c r="B12" s="12" t="s">
        <v>9</v>
      </c>
      <c r="C12" s="62">
        <v>5</v>
      </c>
      <c r="D12" s="28"/>
      <c r="E12" s="28"/>
      <c r="F12" s="28">
        <v>6</v>
      </c>
      <c r="G12" s="28"/>
      <c r="H12" s="28"/>
      <c r="I12" s="28"/>
      <c r="J12" s="28"/>
      <c r="K12" s="28"/>
      <c r="L12" s="28"/>
      <c r="M12" s="28"/>
      <c r="N12" s="418">
        <f t="shared" si="0"/>
        <v>6</v>
      </c>
    </row>
    <row r="13" spans="1:14" ht="16.5" thickBot="1" x14ac:dyDescent="0.3">
      <c r="A13" s="35">
        <v>1000004</v>
      </c>
      <c r="B13" s="12" t="s">
        <v>10</v>
      </c>
      <c r="C13" s="62">
        <v>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0">
        <f t="shared" si="0"/>
        <v>0</v>
      </c>
    </row>
    <row r="14" spans="1:14" ht="16.5" thickBot="1" x14ac:dyDescent="0.3">
      <c r="A14" s="35">
        <v>1000054</v>
      </c>
      <c r="B14" s="12" t="s">
        <v>12</v>
      </c>
      <c r="C14" s="62">
        <v>600</v>
      </c>
      <c r="D14" s="28"/>
      <c r="E14" s="28"/>
      <c r="F14" s="28"/>
      <c r="G14" s="28"/>
      <c r="H14" s="28">
        <v>20</v>
      </c>
      <c r="I14" s="28"/>
      <c r="J14" s="28">
        <v>20</v>
      </c>
      <c r="K14" s="28"/>
      <c r="L14" s="28"/>
      <c r="M14" s="28"/>
      <c r="N14" s="418">
        <f t="shared" si="0"/>
        <v>40</v>
      </c>
    </row>
    <row r="15" spans="1:14" ht="16.5" thickBot="1" x14ac:dyDescent="0.3">
      <c r="A15" s="35">
        <v>1000070</v>
      </c>
      <c r="B15" s="12" t="s">
        <v>13</v>
      </c>
      <c r="C15" s="62">
        <v>63</v>
      </c>
      <c r="D15" s="28">
        <v>15</v>
      </c>
      <c r="E15" s="28"/>
      <c r="F15" s="28"/>
      <c r="G15" s="28"/>
      <c r="H15" s="28"/>
      <c r="I15" s="28"/>
      <c r="J15" s="28"/>
      <c r="K15" s="28"/>
      <c r="L15" s="28"/>
      <c r="M15" s="28"/>
      <c r="N15" s="418">
        <f t="shared" si="0"/>
        <v>15</v>
      </c>
    </row>
    <row r="16" spans="1:14" ht="16.5" thickBot="1" x14ac:dyDescent="0.3">
      <c r="A16" s="35">
        <v>1000017</v>
      </c>
      <c r="B16" s="13" t="s">
        <v>14</v>
      </c>
      <c r="C16" s="62">
        <v>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0">
        <f t="shared" si="0"/>
        <v>0</v>
      </c>
    </row>
    <row r="17" spans="1:14" ht="16.5" thickBot="1" x14ac:dyDescent="0.3">
      <c r="A17" s="35">
        <v>1000010</v>
      </c>
      <c r="B17" s="12" t="s">
        <v>17</v>
      </c>
      <c r="C17" s="62">
        <v>3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0">
        <f t="shared" si="0"/>
        <v>0</v>
      </c>
    </row>
    <row r="18" spans="1:14" ht="16.5" thickBot="1" x14ac:dyDescent="0.3">
      <c r="A18" s="35">
        <v>1000009</v>
      </c>
      <c r="B18" s="14" t="s">
        <v>19</v>
      </c>
      <c r="C18" s="62">
        <v>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30">
        <f t="shared" si="0"/>
        <v>0</v>
      </c>
    </row>
    <row r="19" spans="1:14" ht="16.5" thickBot="1" x14ac:dyDescent="0.3">
      <c r="A19" s="35">
        <v>1000049</v>
      </c>
      <c r="B19" s="12" t="s">
        <v>21</v>
      </c>
      <c r="C19" s="62">
        <v>10</v>
      </c>
      <c r="D19" s="28"/>
      <c r="E19" s="28"/>
      <c r="F19" s="28"/>
      <c r="G19" s="28"/>
      <c r="H19" s="28">
        <v>9</v>
      </c>
      <c r="I19" s="28"/>
      <c r="J19" s="28"/>
      <c r="K19" s="28"/>
      <c r="L19" s="28"/>
      <c r="M19" s="28"/>
      <c r="N19" s="418">
        <f t="shared" si="0"/>
        <v>9</v>
      </c>
    </row>
    <row r="20" spans="1:14" ht="16.5" thickBot="1" x14ac:dyDescent="0.3">
      <c r="A20" s="35">
        <v>1000033</v>
      </c>
      <c r="B20" s="12" t="s">
        <v>27</v>
      </c>
      <c r="C20" s="62">
        <v>240</v>
      </c>
      <c r="D20" s="28">
        <v>10</v>
      </c>
      <c r="E20" s="28"/>
      <c r="F20" s="28">
        <v>10</v>
      </c>
      <c r="G20" s="28"/>
      <c r="H20" s="28">
        <v>10</v>
      </c>
      <c r="I20" s="28"/>
      <c r="J20" s="28">
        <v>10</v>
      </c>
      <c r="K20" s="28"/>
      <c r="L20" s="28"/>
      <c r="M20" s="28"/>
      <c r="N20" s="418">
        <f t="shared" si="0"/>
        <v>40</v>
      </c>
    </row>
    <row r="21" spans="1:14" ht="16.5" thickBot="1" x14ac:dyDescent="0.3">
      <c r="A21" s="35">
        <v>1000034</v>
      </c>
      <c r="B21" s="12" t="s">
        <v>28</v>
      </c>
      <c r="C21" s="62">
        <v>30</v>
      </c>
      <c r="D21" s="28">
        <v>10</v>
      </c>
      <c r="E21" s="28"/>
      <c r="F21" s="28">
        <v>10</v>
      </c>
      <c r="G21" s="28"/>
      <c r="H21" s="28"/>
      <c r="I21" s="28"/>
      <c r="J21" s="28">
        <v>10</v>
      </c>
      <c r="K21" s="28"/>
      <c r="L21" s="28"/>
      <c r="M21" s="28"/>
      <c r="N21" s="418">
        <f t="shared" si="0"/>
        <v>30</v>
      </c>
    </row>
    <row r="22" spans="1:14" ht="16.5" thickBot="1" x14ac:dyDescent="0.3">
      <c r="A22" s="35">
        <v>1000029</v>
      </c>
      <c r="B22" s="12" t="s">
        <v>30</v>
      </c>
      <c r="C22" s="62">
        <v>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30">
        <f t="shared" si="0"/>
        <v>0</v>
      </c>
    </row>
    <row r="23" spans="1:14" ht="16.5" thickBot="1" x14ac:dyDescent="0.3">
      <c r="A23" s="35">
        <v>1000025</v>
      </c>
      <c r="B23" s="12" t="s">
        <v>32</v>
      </c>
      <c r="C23" s="62">
        <v>150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30">
        <f t="shared" si="0"/>
        <v>0</v>
      </c>
    </row>
    <row r="24" spans="1:14" ht="16.5" thickBot="1" x14ac:dyDescent="0.3">
      <c r="A24" s="35">
        <v>1000100</v>
      </c>
      <c r="B24" s="12" t="s">
        <v>34</v>
      </c>
      <c r="C24" s="62">
        <v>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30">
        <f t="shared" si="0"/>
        <v>0</v>
      </c>
    </row>
    <row r="25" spans="1:14" ht="16.5" thickBot="1" x14ac:dyDescent="0.3">
      <c r="A25" s="35">
        <v>1000101</v>
      </c>
      <c r="B25" s="12" t="s">
        <v>35</v>
      </c>
      <c r="C25" s="62">
        <v>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30">
        <f t="shared" si="0"/>
        <v>0</v>
      </c>
    </row>
    <row r="26" spans="1:14" ht="16.5" thickBot="1" x14ac:dyDescent="0.3">
      <c r="A26" s="35">
        <v>1000073</v>
      </c>
      <c r="B26" s="12" t="s">
        <v>36</v>
      </c>
      <c r="C26" s="62">
        <v>1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30">
        <f t="shared" si="0"/>
        <v>0</v>
      </c>
    </row>
    <row r="27" spans="1:14" ht="16.5" thickBot="1" x14ac:dyDescent="0.3">
      <c r="A27" s="35">
        <v>1000082</v>
      </c>
      <c r="B27" s="12" t="s">
        <v>37</v>
      </c>
      <c r="C27" s="62">
        <v>1200</v>
      </c>
      <c r="D27" s="28"/>
      <c r="E27" s="28"/>
      <c r="F27" s="28">
        <v>64</v>
      </c>
      <c r="G27" s="28"/>
      <c r="H27" s="28">
        <v>32</v>
      </c>
      <c r="I27" s="28"/>
      <c r="J27" s="28">
        <v>64</v>
      </c>
      <c r="K27" s="28"/>
      <c r="L27" s="28"/>
      <c r="M27" s="28"/>
      <c r="N27" s="418">
        <f t="shared" si="0"/>
        <v>160</v>
      </c>
    </row>
    <row r="28" spans="1:14" ht="16.5" thickBot="1" x14ac:dyDescent="0.3">
      <c r="A28" s="35">
        <v>1000090</v>
      </c>
      <c r="B28" s="12" t="s">
        <v>40</v>
      </c>
      <c r="C28" s="62">
        <v>1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30">
        <f t="shared" si="0"/>
        <v>0</v>
      </c>
    </row>
    <row r="29" spans="1:14" ht="16.5" thickBot="1" x14ac:dyDescent="0.3">
      <c r="A29" s="35">
        <v>10249</v>
      </c>
      <c r="B29" s="12" t="s">
        <v>181</v>
      </c>
      <c r="C29" s="62">
        <v>400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30">
        <f t="shared" si="0"/>
        <v>0</v>
      </c>
    </row>
    <row r="30" spans="1:14" ht="16.5" thickBot="1" x14ac:dyDescent="0.3">
      <c r="A30" s="35">
        <v>1000052</v>
      </c>
      <c r="B30" s="12" t="s">
        <v>41</v>
      </c>
      <c r="C30" s="62">
        <v>100</v>
      </c>
      <c r="D30" s="28"/>
      <c r="E30" s="28"/>
      <c r="F30" s="28"/>
      <c r="G30" s="28"/>
      <c r="H30" s="28"/>
      <c r="I30" s="28"/>
      <c r="J30" s="28">
        <v>10</v>
      </c>
      <c r="K30" s="28"/>
      <c r="L30" s="28"/>
      <c r="M30" s="28"/>
      <c r="N30" s="418">
        <f t="shared" si="0"/>
        <v>10</v>
      </c>
    </row>
    <row r="31" spans="1:14" ht="16.5" thickBot="1" x14ac:dyDescent="0.3">
      <c r="A31" s="35">
        <v>1000089</v>
      </c>
      <c r="B31" s="12" t="s">
        <v>42</v>
      </c>
      <c r="C31" s="62">
        <v>100</v>
      </c>
      <c r="D31" s="28">
        <v>10</v>
      </c>
      <c r="E31" s="28"/>
      <c r="F31" s="28"/>
      <c r="G31" s="28"/>
      <c r="H31" s="28">
        <v>5</v>
      </c>
      <c r="I31" s="28"/>
      <c r="J31" s="28">
        <v>10</v>
      </c>
      <c r="K31" s="28"/>
      <c r="L31" s="28"/>
      <c r="M31" s="28"/>
      <c r="N31" s="418">
        <f t="shared" si="0"/>
        <v>25</v>
      </c>
    </row>
    <row r="32" spans="1:14" ht="16.5" thickBot="1" x14ac:dyDescent="0.3">
      <c r="A32" s="35">
        <v>1000051</v>
      </c>
      <c r="B32" s="12" t="s">
        <v>43</v>
      </c>
      <c r="C32" s="62">
        <v>3</v>
      </c>
      <c r="D32" s="28">
        <v>6</v>
      </c>
      <c r="E32" s="28"/>
      <c r="F32" s="28">
        <v>6</v>
      </c>
      <c r="G32" s="28"/>
      <c r="H32" s="28"/>
      <c r="I32" s="28"/>
      <c r="J32" s="28"/>
      <c r="K32" s="28"/>
      <c r="L32" s="28"/>
      <c r="M32" s="28"/>
      <c r="N32" s="418">
        <f t="shared" si="0"/>
        <v>12</v>
      </c>
    </row>
    <row r="33" spans="1:14" ht="16.5" thickBot="1" x14ac:dyDescent="0.3">
      <c r="A33" s="35">
        <v>1000048</v>
      </c>
      <c r="B33" s="12" t="s">
        <v>45</v>
      </c>
      <c r="C33" s="62">
        <v>2</v>
      </c>
      <c r="D33" s="28"/>
      <c r="E33" s="28"/>
      <c r="F33" s="28">
        <v>2</v>
      </c>
      <c r="G33" s="28"/>
      <c r="H33" s="28"/>
      <c r="I33" s="28"/>
      <c r="J33" s="28"/>
      <c r="K33" s="28"/>
      <c r="L33" s="28"/>
      <c r="M33" s="28"/>
      <c r="N33" s="418">
        <f t="shared" si="0"/>
        <v>2</v>
      </c>
    </row>
    <row r="34" spans="1:14" ht="16.5" thickBot="1" x14ac:dyDescent="0.3">
      <c r="A34" s="35">
        <v>1000075</v>
      </c>
      <c r="B34" s="12" t="s">
        <v>47</v>
      </c>
      <c r="C34" s="62">
        <v>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0">
        <f t="shared" si="0"/>
        <v>0</v>
      </c>
    </row>
    <row r="35" spans="1:14" ht="16.5" thickBot="1" x14ac:dyDescent="0.3">
      <c r="A35" s="35">
        <v>1000092</v>
      </c>
      <c r="B35" s="12" t="s">
        <v>51</v>
      </c>
      <c r="C35" s="62">
        <v>0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30">
        <f t="shared" si="0"/>
        <v>0</v>
      </c>
    </row>
    <row r="36" spans="1:14" ht="16.5" thickBot="1" x14ac:dyDescent="0.3">
      <c r="A36" s="35">
        <v>1000147</v>
      </c>
      <c r="B36" s="12" t="s">
        <v>52</v>
      </c>
      <c r="C36" s="62">
        <v>1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30">
        <f t="shared" si="0"/>
        <v>0</v>
      </c>
    </row>
    <row r="37" spans="1:14" ht="16.5" thickBot="1" x14ac:dyDescent="0.3">
      <c r="A37" s="35">
        <v>1000142</v>
      </c>
      <c r="B37" s="12" t="s">
        <v>54</v>
      </c>
      <c r="C37" s="62">
        <v>5</v>
      </c>
      <c r="D37" s="28"/>
      <c r="E37" s="28"/>
      <c r="F37" s="28">
        <v>6</v>
      </c>
      <c r="G37" s="28"/>
      <c r="H37" s="28"/>
      <c r="I37" s="28"/>
      <c r="J37" s="28"/>
      <c r="K37" s="28"/>
      <c r="L37" s="28"/>
      <c r="M37" s="28"/>
      <c r="N37" s="30">
        <f t="shared" si="0"/>
        <v>6</v>
      </c>
    </row>
    <row r="38" spans="1:14" ht="16.5" thickBot="1" x14ac:dyDescent="0.3">
      <c r="A38" s="35">
        <v>1000412</v>
      </c>
      <c r="B38" s="12" t="s">
        <v>195</v>
      </c>
      <c r="C38" s="62">
        <v>0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30">
        <f t="shared" si="0"/>
        <v>0</v>
      </c>
    </row>
    <row r="39" spans="1:14" ht="16.5" thickBot="1" x14ac:dyDescent="0.3">
      <c r="A39" s="35">
        <v>10202</v>
      </c>
      <c r="B39" s="12" t="s">
        <v>429</v>
      </c>
      <c r="C39" s="62">
        <v>30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0">
        <f t="shared" si="0"/>
        <v>0</v>
      </c>
    </row>
    <row r="40" spans="1:14" ht="16.5" thickBot="1" x14ac:dyDescent="0.3">
      <c r="A40" s="35">
        <v>1000045</v>
      </c>
      <c r="B40" s="12" t="s">
        <v>23</v>
      </c>
      <c r="C40" s="62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30">
        <f t="shared" si="0"/>
        <v>0</v>
      </c>
    </row>
    <row r="41" spans="1:14" ht="16.5" thickBot="1" x14ac:dyDescent="0.3">
      <c r="A41" s="35">
        <v>1000439</v>
      </c>
      <c r="B41" s="12" t="s">
        <v>193</v>
      </c>
      <c r="C41" s="62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30">
        <f t="shared" si="0"/>
        <v>0</v>
      </c>
    </row>
    <row r="42" spans="1:14" ht="16.5" thickBot="1" x14ac:dyDescent="0.3">
      <c r="A42" s="35">
        <v>1000084</v>
      </c>
      <c r="B42" s="12" t="s">
        <v>38</v>
      </c>
      <c r="C42" s="62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30">
        <f t="shared" si="0"/>
        <v>0</v>
      </c>
    </row>
    <row r="43" spans="1:14" ht="16.5" thickBot="1" x14ac:dyDescent="0.3">
      <c r="A43" s="35">
        <v>1000036</v>
      </c>
      <c r="B43" s="12" t="s">
        <v>75</v>
      </c>
      <c r="C43" s="62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30">
        <f t="shared" si="0"/>
        <v>0</v>
      </c>
    </row>
    <row r="44" spans="1:14" ht="16.5" thickBot="1" x14ac:dyDescent="0.3">
      <c r="A44" s="35">
        <v>1000227</v>
      </c>
      <c r="B44" s="12" t="s">
        <v>96</v>
      </c>
      <c r="C44" s="62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30">
        <f t="shared" si="0"/>
        <v>0</v>
      </c>
    </row>
    <row r="45" spans="1:14" ht="16.5" thickBot="1" x14ac:dyDescent="0.3">
      <c r="A45" s="35">
        <v>1000063</v>
      </c>
      <c r="B45" s="12" t="s">
        <v>65</v>
      </c>
      <c r="C45" s="62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30">
        <f t="shared" si="0"/>
        <v>0</v>
      </c>
    </row>
    <row r="46" spans="1:14" ht="16.5" thickBot="1" x14ac:dyDescent="0.3">
      <c r="A46" s="35">
        <v>1000214</v>
      </c>
      <c r="B46" s="12" t="s">
        <v>49</v>
      </c>
      <c r="C46" s="62"/>
      <c r="D46" s="28"/>
      <c r="E46" s="28"/>
      <c r="F46" s="28"/>
      <c r="G46" s="28"/>
      <c r="H46" s="28"/>
      <c r="I46" s="28"/>
      <c r="J46" s="28">
        <v>3</v>
      </c>
      <c r="K46" s="28"/>
      <c r="L46" s="28"/>
      <c r="M46" s="28"/>
      <c r="N46" s="418">
        <f t="shared" si="0"/>
        <v>3</v>
      </c>
    </row>
    <row r="47" spans="1:14" ht="16.5" thickBot="1" x14ac:dyDescent="0.3">
      <c r="A47" s="35">
        <v>1000487</v>
      </c>
      <c r="B47" s="12" t="s">
        <v>229</v>
      </c>
      <c r="C47" s="62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30">
        <f t="shared" si="0"/>
        <v>0</v>
      </c>
    </row>
    <row r="48" spans="1:14" ht="16.5" thickBot="1" x14ac:dyDescent="0.3">
      <c r="A48" s="35">
        <v>10248</v>
      </c>
      <c r="B48" s="12" t="s">
        <v>183</v>
      </c>
      <c r="C48" s="62"/>
      <c r="D48" s="28"/>
      <c r="E48" s="28"/>
      <c r="F48" s="28"/>
      <c r="G48" s="28"/>
      <c r="H48" s="28">
        <v>9</v>
      </c>
      <c r="I48" s="28"/>
      <c r="J48" s="28">
        <v>12</v>
      </c>
      <c r="K48" s="28"/>
      <c r="L48" s="28"/>
      <c r="M48" s="28"/>
      <c r="N48" s="418">
        <f t="shared" si="0"/>
        <v>21</v>
      </c>
    </row>
    <row r="49" spans="1:14" ht="16.5" thickBot="1" x14ac:dyDescent="0.3">
      <c r="A49" s="35">
        <v>1000064</v>
      </c>
      <c r="B49" s="12" t="s">
        <v>64</v>
      </c>
      <c r="C49" s="62"/>
      <c r="D49" s="28"/>
      <c r="E49" s="28"/>
      <c r="F49" s="28"/>
      <c r="G49" s="28"/>
      <c r="H49" s="28"/>
      <c r="I49" s="28"/>
      <c r="J49" s="28">
        <v>1</v>
      </c>
      <c r="K49" s="28"/>
      <c r="L49" s="28"/>
      <c r="M49" s="28"/>
      <c r="N49" s="418">
        <f t="shared" si="0"/>
        <v>1</v>
      </c>
    </row>
    <row r="50" spans="1:14" ht="16.5" thickBot="1" x14ac:dyDescent="0.3">
      <c r="A50" s="35">
        <v>1000050</v>
      </c>
      <c r="B50" s="12" t="s">
        <v>22</v>
      </c>
      <c r="C50" s="62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30">
        <f t="shared" si="0"/>
        <v>0</v>
      </c>
    </row>
    <row r="51" spans="1:14" ht="16.5" thickBot="1" x14ac:dyDescent="0.3">
      <c r="A51" s="35">
        <v>1000436</v>
      </c>
      <c r="B51" s="12" t="s">
        <v>276</v>
      </c>
      <c r="C51" s="62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30">
        <f t="shared" si="0"/>
        <v>0</v>
      </c>
    </row>
    <row r="52" spans="1:14" ht="16.5" thickBot="1" x14ac:dyDescent="0.3">
      <c r="A52" s="35">
        <v>1000550</v>
      </c>
      <c r="B52" s="12" t="s">
        <v>277</v>
      </c>
      <c r="C52" s="62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30">
        <f t="shared" si="0"/>
        <v>0</v>
      </c>
    </row>
    <row r="53" spans="1:14" ht="16.5" thickBot="1" x14ac:dyDescent="0.3">
      <c r="A53" s="35">
        <v>1000551</v>
      </c>
      <c r="B53" s="12" t="s">
        <v>278</v>
      </c>
      <c r="C53" s="62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30">
        <f t="shared" si="0"/>
        <v>0</v>
      </c>
    </row>
    <row r="54" spans="1:14" ht="16.5" thickBot="1" x14ac:dyDescent="0.3">
      <c r="A54" s="35">
        <v>1000552</v>
      </c>
      <c r="B54" s="12" t="s">
        <v>279</v>
      </c>
      <c r="C54" s="62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30">
        <f t="shared" si="0"/>
        <v>0</v>
      </c>
    </row>
    <row r="55" spans="1:14" ht="16.5" thickBot="1" x14ac:dyDescent="0.3">
      <c r="A55" s="38">
        <v>1000080</v>
      </c>
      <c r="B55" s="17" t="s">
        <v>275</v>
      </c>
      <c r="C55" s="4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30">
        <f t="shared" si="0"/>
        <v>0</v>
      </c>
    </row>
    <row r="56" spans="1:14" ht="16.5" thickBot="1" x14ac:dyDescent="0.3">
      <c r="A56" s="35">
        <v>1000028</v>
      </c>
      <c r="B56" s="12" t="s">
        <v>68</v>
      </c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30">
        <f t="shared" si="0"/>
        <v>0</v>
      </c>
    </row>
    <row r="57" spans="1:14" ht="16.5" thickBot="1" x14ac:dyDescent="0.3">
      <c r="A57" s="35">
        <v>1000466</v>
      </c>
      <c r="B57" s="12" t="s">
        <v>430</v>
      </c>
      <c r="D57" s="28">
        <v>10</v>
      </c>
      <c r="E57" s="28"/>
      <c r="F57" s="28"/>
      <c r="G57" s="28"/>
      <c r="H57" s="28"/>
      <c r="I57" s="28"/>
      <c r="J57" s="28"/>
      <c r="K57" s="28"/>
      <c r="L57" s="28"/>
      <c r="M57" s="28"/>
      <c r="N57" s="418">
        <f t="shared" si="0"/>
        <v>10</v>
      </c>
    </row>
    <row r="58" spans="1:14" ht="16.5" thickBot="1" x14ac:dyDescent="0.3">
      <c r="A58" s="35">
        <v>1000452</v>
      </c>
      <c r="B58" s="12" t="s">
        <v>425</v>
      </c>
      <c r="D58" s="28">
        <v>2</v>
      </c>
      <c r="E58" s="28"/>
      <c r="F58" s="28">
        <v>1</v>
      </c>
      <c r="G58" s="28"/>
      <c r="H58" s="28"/>
      <c r="I58" s="28"/>
      <c r="J58" s="28">
        <v>2</v>
      </c>
      <c r="K58" s="28"/>
      <c r="L58" s="28"/>
      <c r="M58" s="28"/>
      <c r="N58" s="418">
        <f t="shared" si="0"/>
        <v>5</v>
      </c>
    </row>
    <row r="59" spans="1:14" ht="16.5" thickBot="1" x14ac:dyDescent="0.3">
      <c r="A59" s="35">
        <v>10212</v>
      </c>
      <c r="B59" s="12" t="s">
        <v>6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30">
        <f t="shared" si="0"/>
        <v>0</v>
      </c>
    </row>
    <row r="60" spans="1:14" ht="16.5" thickBot="1" x14ac:dyDescent="0.3">
      <c r="A60" s="35">
        <v>1000067</v>
      </c>
      <c r="B60" s="12" t="s">
        <v>11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30">
        <f t="shared" si="0"/>
        <v>0</v>
      </c>
    </row>
    <row r="61" spans="1:14" ht="16.5" thickBot="1" x14ac:dyDescent="0.3">
      <c r="A61" s="35"/>
      <c r="B61" s="12" t="s">
        <v>461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30">
        <f t="shared" si="0"/>
        <v>0</v>
      </c>
    </row>
    <row r="62" spans="1:14" ht="16.5" thickBot="1" x14ac:dyDescent="0.3">
      <c r="A62" s="30">
        <v>1000006</v>
      </c>
      <c r="B62" s="11" t="s">
        <v>4</v>
      </c>
      <c r="D62" s="28"/>
      <c r="E62" s="28"/>
      <c r="F62" s="28"/>
      <c r="G62" s="28"/>
      <c r="H62" s="28"/>
      <c r="I62" s="28"/>
      <c r="J62" s="28">
        <v>500</v>
      </c>
      <c r="K62" s="28"/>
      <c r="L62" s="28"/>
      <c r="M62" s="28"/>
      <c r="N62" s="418">
        <f t="shared" si="0"/>
        <v>500</v>
      </c>
    </row>
    <row r="63" spans="1:14" ht="16.5" thickBot="1" x14ac:dyDescent="0.3">
      <c r="A63" s="35"/>
      <c r="B63" s="12" t="s">
        <v>446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30">
        <f t="shared" si="0"/>
        <v>0</v>
      </c>
    </row>
    <row r="64" spans="1:14" ht="16.5" thickBot="1" x14ac:dyDescent="0.3">
      <c r="A64" s="35"/>
      <c r="B64" s="12" t="s">
        <v>463</v>
      </c>
      <c r="D64" s="28"/>
      <c r="E64" s="28"/>
      <c r="F64" s="28"/>
      <c r="G64" s="28"/>
      <c r="H64" s="28">
        <v>3</v>
      </c>
      <c r="I64" s="28"/>
      <c r="J64" s="28"/>
      <c r="K64" s="28"/>
      <c r="L64" s="28"/>
      <c r="M64" s="28"/>
      <c r="N64" s="418">
        <f t="shared" si="0"/>
        <v>3</v>
      </c>
    </row>
    <row r="65" spans="1:14" ht="16.5" thickBot="1" x14ac:dyDescent="0.3">
      <c r="A65" s="35"/>
      <c r="B65" s="12" t="s">
        <v>486</v>
      </c>
      <c r="D65" s="28">
        <v>1</v>
      </c>
      <c r="E65" s="28"/>
      <c r="F65" s="28"/>
      <c r="G65" s="28"/>
      <c r="H65" s="28"/>
      <c r="I65" s="28"/>
      <c r="J65" s="28"/>
      <c r="K65" s="28"/>
      <c r="L65" s="28"/>
      <c r="M65" s="28"/>
      <c r="N65" s="418">
        <f t="shared" si="0"/>
        <v>1</v>
      </c>
    </row>
    <row r="66" spans="1:14" x14ac:dyDescent="0.25">
      <c r="A66" s="35"/>
      <c r="B66" s="12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30">
        <f t="shared" si="0"/>
        <v>0</v>
      </c>
    </row>
  </sheetData>
  <mergeCells count="2">
    <mergeCell ref="A1:B2"/>
    <mergeCell ref="D1:H2"/>
  </mergeCells>
  <phoneticPr fontId="108" type="noConversion"/>
  <pageMargins left="0.7" right="0.7" top="0.75" bottom="0.75" header="0.3" footer="0.3"/>
  <pageSetup paperSize="9" scale="48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260D-3EAF-46FE-8154-3AA5D685004F}">
  <sheetPr>
    <tabColor rgb="FFFFFF00"/>
    <pageSetUpPr fitToPage="1"/>
  </sheetPr>
  <dimension ref="A1:P64"/>
  <sheetViews>
    <sheetView zoomScale="70" zoomScaleNormal="70" workbookViewId="0">
      <selection activeCell="R31" sqref="R31"/>
    </sheetView>
  </sheetViews>
  <sheetFormatPr baseColWidth="10" defaultRowHeight="15.75" x14ac:dyDescent="0.25"/>
  <cols>
    <col min="1" max="1" width="9.75" style="3" bestFit="1" customWidth="1"/>
    <col min="2" max="2" width="33.5" style="3" bestFit="1" customWidth="1"/>
    <col min="3" max="3" width="1.5" style="3" customWidth="1"/>
    <col min="4" max="4" width="7.75" style="3" customWidth="1"/>
    <col min="5" max="5" width="1.125" style="3" customWidth="1"/>
    <col min="6" max="6" width="9.125" style="3" bestFit="1" customWidth="1"/>
    <col min="7" max="7" width="5.5" style="3" customWidth="1"/>
    <col min="8" max="8" width="9.125" style="3" bestFit="1" customWidth="1"/>
    <col min="9" max="9" width="5.875" style="3" customWidth="1"/>
    <col min="10" max="10" width="9.125" style="3" bestFit="1" customWidth="1"/>
    <col min="11" max="11" width="5.375" style="3" customWidth="1"/>
    <col min="12" max="12" width="9.75" style="3" bestFit="1" customWidth="1"/>
    <col min="13" max="13" width="6.25" style="3" customWidth="1"/>
    <col min="14" max="14" width="9.125" style="3" bestFit="1" customWidth="1"/>
    <col min="15" max="15" width="6.75" style="3" customWidth="1"/>
    <col min="16" max="16384" width="11" style="3"/>
  </cols>
  <sheetData>
    <row r="1" spans="1:16" ht="28.5" x14ac:dyDescent="0.45">
      <c r="A1" s="686" t="s">
        <v>205</v>
      </c>
      <c r="B1" s="687"/>
      <c r="C1" s="27"/>
      <c r="D1" s="596" t="s">
        <v>399</v>
      </c>
      <c r="E1" s="27"/>
      <c r="F1" s="751" t="s">
        <v>474</v>
      </c>
      <c r="G1" s="752"/>
      <c r="H1" s="752"/>
      <c r="I1" s="752"/>
      <c r="J1" s="753"/>
      <c r="K1" s="2"/>
      <c r="L1" s="27"/>
      <c r="M1" s="27"/>
      <c r="N1" s="27"/>
    </row>
    <row r="2" spans="1:16" ht="15.75" customHeight="1" thickBot="1" x14ac:dyDescent="0.5">
      <c r="A2" s="688"/>
      <c r="B2" s="689"/>
      <c r="C2" s="4"/>
      <c r="F2" s="754"/>
      <c r="G2" s="755"/>
      <c r="H2" s="755"/>
      <c r="I2" s="755"/>
      <c r="J2" s="756"/>
      <c r="K2" s="2"/>
    </row>
    <row r="3" spans="1:16" ht="29.25" thickBot="1" x14ac:dyDescent="0.3">
      <c r="A3" s="5"/>
      <c r="B3" s="5" t="s">
        <v>419</v>
      </c>
      <c r="C3" s="4"/>
    </row>
    <row r="4" spans="1:16" ht="16.5" thickBot="1" x14ac:dyDescent="0.3">
      <c r="A4" s="6" t="s">
        <v>0</v>
      </c>
      <c r="B4" s="52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6.5" thickBot="1" x14ac:dyDescent="0.3">
      <c r="A5" s="11">
        <v>10000015</v>
      </c>
      <c r="B5" s="11" t="s">
        <v>1</v>
      </c>
      <c r="C5" s="27"/>
      <c r="D5" s="61"/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30">
        <f t="shared" ref="P5:P64" si="0">SUM(F5:O5)</f>
        <v>0</v>
      </c>
    </row>
    <row r="6" spans="1:16" ht="16.5" thickBot="1" x14ac:dyDescent="0.3">
      <c r="A6" s="12">
        <v>10000102</v>
      </c>
      <c r="B6" s="12" t="s">
        <v>2</v>
      </c>
      <c r="C6" s="27"/>
      <c r="D6" s="62"/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 t="shared" si="0"/>
        <v>0</v>
      </c>
    </row>
    <row r="7" spans="1:16" ht="16.5" thickBot="1" x14ac:dyDescent="0.3">
      <c r="A7" s="12">
        <v>10211</v>
      </c>
      <c r="B7" s="12" t="s">
        <v>3</v>
      </c>
      <c r="C7" s="27"/>
      <c r="D7" s="62"/>
      <c r="E7" s="27"/>
      <c r="F7" s="28">
        <v>500</v>
      </c>
      <c r="G7" s="28"/>
      <c r="H7" s="28">
        <v>500</v>
      </c>
      <c r="I7" s="28"/>
      <c r="J7" s="28">
        <v>500</v>
      </c>
      <c r="K7" s="28"/>
      <c r="L7" s="28">
        <v>500</v>
      </c>
      <c r="M7" s="28"/>
      <c r="N7" s="28">
        <v>500</v>
      </c>
      <c r="O7" s="28"/>
      <c r="P7" s="418">
        <f t="shared" si="0"/>
        <v>2500</v>
      </c>
    </row>
    <row r="8" spans="1:16" ht="16.5" thickBot="1" x14ac:dyDescent="0.3">
      <c r="A8" s="12">
        <v>1000007</v>
      </c>
      <c r="B8" s="12" t="s">
        <v>5</v>
      </c>
      <c r="C8" s="27"/>
      <c r="D8" s="62"/>
      <c r="E8" s="27"/>
      <c r="F8" s="28"/>
      <c r="G8" s="28"/>
      <c r="H8" s="28"/>
      <c r="I8" s="28"/>
      <c r="J8" s="28">
        <v>500</v>
      </c>
      <c r="K8" s="28"/>
      <c r="L8" s="28">
        <v>500</v>
      </c>
      <c r="M8" s="28"/>
      <c r="N8" s="28">
        <v>500</v>
      </c>
      <c r="O8" s="28"/>
      <c r="P8" s="418">
        <f t="shared" si="0"/>
        <v>1500</v>
      </c>
    </row>
    <row r="9" spans="1:16" ht="16.5" thickBot="1" x14ac:dyDescent="0.3">
      <c r="A9" s="12">
        <v>10212</v>
      </c>
      <c r="B9" s="12" t="s">
        <v>6</v>
      </c>
      <c r="C9" s="27"/>
      <c r="D9" s="62"/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6.5" thickBot="1" x14ac:dyDescent="0.3">
      <c r="A10" s="12">
        <v>1000008</v>
      </c>
      <c r="B10" s="12" t="s">
        <v>7</v>
      </c>
      <c r="C10" s="27"/>
      <c r="D10" s="62"/>
      <c r="E10" s="27"/>
      <c r="F10" s="28">
        <v>250</v>
      </c>
      <c r="G10" s="28"/>
      <c r="H10" s="28">
        <v>200</v>
      </c>
      <c r="I10" s="28"/>
      <c r="J10" s="28">
        <v>250</v>
      </c>
      <c r="K10" s="28"/>
      <c r="L10" s="28">
        <v>250</v>
      </c>
      <c r="M10" s="28"/>
      <c r="N10" s="28"/>
      <c r="O10" s="28"/>
      <c r="P10" s="418">
        <f t="shared" si="0"/>
        <v>950</v>
      </c>
    </row>
    <row r="11" spans="1:16" ht="16.5" thickBot="1" x14ac:dyDescent="0.3">
      <c r="A11" s="12">
        <v>1000001</v>
      </c>
      <c r="B11" s="12" t="s">
        <v>8</v>
      </c>
      <c r="C11" s="27"/>
      <c r="D11" s="62"/>
      <c r="E11" s="27"/>
      <c r="F11" s="28">
        <v>6</v>
      </c>
      <c r="G11" s="28"/>
      <c r="H11" s="28">
        <v>6</v>
      </c>
      <c r="I11" s="28"/>
      <c r="J11" s="28">
        <v>6</v>
      </c>
      <c r="K11" s="28"/>
      <c r="L11" s="28">
        <v>6</v>
      </c>
      <c r="M11" s="28"/>
      <c r="N11" s="28">
        <v>6</v>
      </c>
      <c r="O11" s="28"/>
      <c r="P11" s="418">
        <f t="shared" si="0"/>
        <v>30</v>
      </c>
    </row>
    <row r="12" spans="1:16" ht="16.5" thickBot="1" x14ac:dyDescent="0.3">
      <c r="A12" s="12">
        <v>1000002</v>
      </c>
      <c r="B12" s="12" t="s">
        <v>9</v>
      </c>
      <c r="C12" s="27"/>
      <c r="D12" s="62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6.5" thickBot="1" x14ac:dyDescent="0.3">
      <c r="A13" s="12">
        <v>1000004</v>
      </c>
      <c r="B13" s="12" t="s">
        <v>10</v>
      </c>
      <c r="C13" s="27"/>
      <c r="D13" s="62"/>
      <c r="E13" s="27"/>
      <c r="F13" s="28">
        <v>2</v>
      </c>
      <c r="G13" s="28"/>
      <c r="H13" s="28">
        <v>2</v>
      </c>
      <c r="I13" s="28"/>
      <c r="J13" s="28">
        <v>2</v>
      </c>
      <c r="K13" s="28"/>
      <c r="L13" s="28">
        <v>2</v>
      </c>
      <c r="M13" s="28"/>
      <c r="N13" s="28">
        <v>3</v>
      </c>
      <c r="O13" s="28"/>
      <c r="P13" s="418">
        <f t="shared" si="0"/>
        <v>11</v>
      </c>
    </row>
    <row r="14" spans="1:16" ht="16.5" thickBot="1" x14ac:dyDescent="0.3">
      <c r="A14" s="12">
        <v>1000054</v>
      </c>
      <c r="B14" s="12" t="s">
        <v>12</v>
      </c>
      <c r="C14" s="27"/>
      <c r="D14" s="62"/>
      <c r="E14" s="27"/>
      <c r="F14" s="28">
        <v>40</v>
      </c>
      <c r="G14" s="28"/>
      <c r="H14" s="28">
        <v>40</v>
      </c>
      <c r="I14" s="28"/>
      <c r="J14" s="28">
        <v>40</v>
      </c>
      <c r="K14" s="28"/>
      <c r="L14" s="28">
        <v>60</v>
      </c>
      <c r="M14" s="28"/>
      <c r="N14" s="28">
        <v>60</v>
      </c>
      <c r="O14" s="28"/>
      <c r="P14" s="418">
        <f t="shared" si="0"/>
        <v>240</v>
      </c>
    </row>
    <row r="15" spans="1:16" ht="16.5" thickBot="1" x14ac:dyDescent="0.3">
      <c r="A15" s="12">
        <v>1000070</v>
      </c>
      <c r="B15" s="12" t="s">
        <v>13</v>
      </c>
      <c r="C15" s="27"/>
      <c r="D15" s="62"/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6.5" thickBot="1" x14ac:dyDescent="0.3">
      <c r="A16" s="12">
        <v>1000017</v>
      </c>
      <c r="B16" s="12" t="s">
        <v>14</v>
      </c>
      <c r="C16" s="27"/>
      <c r="D16" s="62"/>
      <c r="E16" s="27"/>
      <c r="F16" s="28">
        <v>40</v>
      </c>
      <c r="G16" s="28"/>
      <c r="H16" s="28">
        <v>40</v>
      </c>
      <c r="I16" s="28"/>
      <c r="J16" s="28">
        <v>40</v>
      </c>
      <c r="K16" s="28"/>
      <c r="L16" s="28">
        <v>60</v>
      </c>
      <c r="M16" s="28"/>
      <c r="N16" s="28">
        <v>60</v>
      </c>
      <c r="O16" s="28"/>
      <c r="P16" s="418">
        <f t="shared" si="0"/>
        <v>240</v>
      </c>
    </row>
    <row r="17" spans="1:16" ht="16.5" thickBot="1" x14ac:dyDescent="0.3">
      <c r="A17" s="12">
        <v>1000010</v>
      </c>
      <c r="B17" s="12" t="s">
        <v>17</v>
      </c>
      <c r="C17" s="27"/>
      <c r="D17" s="62"/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6.5" thickBot="1" x14ac:dyDescent="0.3">
      <c r="A18" s="12">
        <v>1000009</v>
      </c>
      <c r="B18" s="12" t="s">
        <v>19</v>
      </c>
      <c r="C18" s="27"/>
      <c r="D18" s="62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6.5" thickBot="1" x14ac:dyDescent="0.3">
      <c r="A19" s="12">
        <v>1000049</v>
      </c>
      <c r="B19" s="12" t="s">
        <v>21</v>
      </c>
      <c r="C19" s="27"/>
      <c r="D19" s="62"/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6.5" thickBot="1" x14ac:dyDescent="0.3">
      <c r="A20" s="12">
        <v>1000033</v>
      </c>
      <c r="B20" s="12" t="s">
        <v>27</v>
      </c>
      <c r="C20" s="27"/>
      <c r="D20" s="62"/>
      <c r="E20" s="27"/>
      <c r="F20" s="28">
        <v>5</v>
      </c>
      <c r="G20" s="28"/>
      <c r="H20" s="28">
        <v>5</v>
      </c>
      <c r="I20" s="28"/>
      <c r="J20" s="28">
        <v>5</v>
      </c>
      <c r="K20" s="28"/>
      <c r="L20" s="28"/>
      <c r="M20" s="28"/>
      <c r="N20" s="28"/>
      <c r="O20" s="28"/>
      <c r="P20" s="418">
        <f t="shared" si="0"/>
        <v>15</v>
      </c>
    </row>
    <row r="21" spans="1:16" ht="16.5" thickBot="1" x14ac:dyDescent="0.3">
      <c r="A21" s="12">
        <v>1000034</v>
      </c>
      <c r="B21" s="12" t="s">
        <v>28</v>
      </c>
      <c r="C21" s="27"/>
      <c r="D21" s="62"/>
      <c r="E21" s="27"/>
      <c r="F21" s="28">
        <v>5</v>
      </c>
      <c r="G21" s="28"/>
      <c r="H21" s="28">
        <v>5</v>
      </c>
      <c r="I21" s="28"/>
      <c r="J21" s="28">
        <v>5</v>
      </c>
      <c r="K21" s="28"/>
      <c r="L21" s="28"/>
      <c r="M21" s="28"/>
      <c r="N21" s="28"/>
      <c r="O21" s="28"/>
      <c r="P21" s="418">
        <f t="shared" si="0"/>
        <v>15</v>
      </c>
    </row>
    <row r="22" spans="1:16" ht="16.5" thickBot="1" x14ac:dyDescent="0.3">
      <c r="A22" s="12">
        <v>1000035</v>
      </c>
      <c r="B22" s="12" t="s">
        <v>29</v>
      </c>
      <c r="C22" s="27"/>
      <c r="D22" s="62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6.5" thickBot="1" x14ac:dyDescent="0.3">
      <c r="A23" s="12">
        <v>1000029</v>
      </c>
      <c r="B23" s="12" t="s">
        <v>30</v>
      </c>
      <c r="C23" s="27"/>
      <c r="D23" s="62"/>
      <c r="E23" s="27"/>
      <c r="F23" s="28">
        <v>2</v>
      </c>
      <c r="G23" s="28"/>
      <c r="H23" s="28"/>
      <c r="I23" s="28"/>
      <c r="J23" s="28"/>
      <c r="K23" s="28"/>
      <c r="L23" s="28"/>
      <c r="M23" s="28"/>
      <c r="N23" s="28"/>
      <c r="O23" s="28"/>
      <c r="P23" s="418">
        <f t="shared" si="0"/>
        <v>2</v>
      </c>
    </row>
    <row r="24" spans="1:16" ht="16.5" thickBot="1" x14ac:dyDescent="0.3">
      <c r="A24" s="12">
        <v>1000025</v>
      </c>
      <c r="B24" s="12" t="s">
        <v>32</v>
      </c>
      <c r="C24" s="27"/>
      <c r="D24" s="62"/>
      <c r="E24" s="27"/>
      <c r="F24" s="28"/>
      <c r="G24" s="28"/>
      <c r="H24" s="28"/>
      <c r="I24" s="28"/>
      <c r="J24" s="28">
        <v>10</v>
      </c>
      <c r="K24" s="28"/>
      <c r="L24" s="28">
        <v>10</v>
      </c>
      <c r="M24" s="28"/>
      <c r="N24" s="28"/>
      <c r="O24" s="28"/>
      <c r="P24" s="418">
        <f t="shared" si="0"/>
        <v>20</v>
      </c>
    </row>
    <row r="25" spans="1:16" ht="16.5" thickBot="1" x14ac:dyDescent="0.3">
      <c r="A25" s="12">
        <v>1000100</v>
      </c>
      <c r="B25" s="12" t="s">
        <v>34</v>
      </c>
      <c r="C25" s="27"/>
      <c r="D25" s="62"/>
      <c r="E25" s="27"/>
      <c r="F25" s="28"/>
      <c r="G25" s="28"/>
      <c r="H25" s="28"/>
      <c r="I25" s="28"/>
      <c r="J25" s="28"/>
      <c r="K25" s="28"/>
      <c r="L25" s="28">
        <v>2</v>
      </c>
      <c r="M25" s="28"/>
      <c r="N25" s="28"/>
      <c r="O25" s="28"/>
      <c r="P25" s="418">
        <f t="shared" si="0"/>
        <v>2</v>
      </c>
    </row>
    <row r="26" spans="1:16" ht="16.5" thickBot="1" x14ac:dyDescent="0.3">
      <c r="A26" s="12">
        <v>1000101</v>
      </c>
      <c r="B26" s="12" t="s">
        <v>35</v>
      </c>
      <c r="C26" s="27"/>
      <c r="D26" s="62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6.5" thickBot="1" x14ac:dyDescent="0.3">
      <c r="A27" s="12">
        <v>1000073</v>
      </c>
      <c r="B27" s="12" t="s">
        <v>36</v>
      </c>
      <c r="C27" s="27"/>
      <c r="D27" s="62"/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6.5" thickBot="1" x14ac:dyDescent="0.3">
      <c r="A28" s="12">
        <v>1000082</v>
      </c>
      <c r="B28" s="12" t="s">
        <v>37</v>
      </c>
      <c r="C28" s="27"/>
      <c r="D28" s="62"/>
      <c r="E28" s="27"/>
      <c r="F28" s="28">
        <v>40</v>
      </c>
      <c r="G28" s="28"/>
      <c r="H28" s="28">
        <v>40</v>
      </c>
      <c r="I28" s="28"/>
      <c r="J28" s="28">
        <v>40</v>
      </c>
      <c r="K28" s="28"/>
      <c r="L28" s="28">
        <v>80</v>
      </c>
      <c r="M28" s="28"/>
      <c r="N28" s="28">
        <v>16</v>
      </c>
      <c r="O28" s="28"/>
      <c r="P28" s="418">
        <f t="shared" si="0"/>
        <v>216</v>
      </c>
    </row>
    <row r="29" spans="1:16" ht="16.5" thickBot="1" x14ac:dyDescent="0.3">
      <c r="A29" s="12">
        <v>1000090</v>
      </c>
      <c r="B29" s="12" t="s">
        <v>40</v>
      </c>
      <c r="C29" s="27"/>
      <c r="D29" s="62"/>
      <c r="E29" s="27"/>
      <c r="F29" s="28">
        <v>4</v>
      </c>
      <c r="G29" s="28"/>
      <c r="H29" s="28">
        <v>4</v>
      </c>
      <c r="I29" s="28"/>
      <c r="J29" s="28">
        <v>4</v>
      </c>
      <c r="K29" s="28"/>
      <c r="L29" s="28"/>
      <c r="M29" s="28"/>
      <c r="N29" s="28"/>
      <c r="O29" s="28"/>
      <c r="P29" s="418">
        <f t="shared" si="0"/>
        <v>12</v>
      </c>
    </row>
    <row r="30" spans="1:16" ht="16.5" thickBot="1" x14ac:dyDescent="0.3">
      <c r="A30" s="12">
        <v>1000052</v>
      </c>
      <c r="B30" s="12" t="s">
        <v>41</v>
      </c>
      <c r="C30" s="27"/>
      <c r="D30" s="62"/>
      <c r="E30" s="27"/>
      <c r="F30" s="28">
        <v>8</v>
      </c>
      <c r="G30" s="28"/>
      <c r="H30" s="28">
        <v>8</v>
      </c>
      <c r="I30" s="28"/>
      <c r="J30" s="28">
        <v>8</v>
      </c>
      <c r="K30" s="28"/>
      <c r="L30" s="28">
        <v>8</v>
      </c>
      <c r="M30" s="28"/>
      <c r="N30" s="28">
        <v>8</v>
      </c>
      <c r="O30" s="28"/>
      <c r="P30" s="418">
        <f t="shared" si="0"/>
        <v>40</v>
      </c>
    </row>
    <row r="31" spans="1:16" ht="16.5" thickBot="1" x14ac:dyDescent="0.3">
      <c r="A31" s="12">
        <v>1000089</v>
      </c>
      <c r="B31" s="12" t="s">
        <v>42</v>
      </c>
      <c r="C31" s="27"/>
      <c r="D31" s="62"/>
      <c r="E31" s="27"/>
      <c r="F31" s="28">
        <v>8</v>
      </c>
      <c r="G31" s="28"/>
      <c r="H31" s="28">
        <v>8</v>
      </c>
      <c r="I31" s="28"/>
      <c r="J31" s="28">
        <v>8</v>
      </c>
      <c r="K31" s="28"/>
      <c r="L31" s="28">
        <v>8</v>
      </c>
      <c r="M31" s="28"/>
      <c r="N31" s="28">
        <v>8</v>
      </c>
      <c r="O31" s="28"/>
      <c r="P31" s="418">
        <f t="shared" si="0"/>
        <v>40</v>
      </c>
    </row>
    <row r="32" spans="1:16" ht="16.5" thickBot="1" x14ac:dyDescent="0.3">
      <c r="A32" s="12">
        <v>1000051</v>
      </c>
      <c r="B32" s="12" t="s">
        <v>43</v>
      </c>
      <c r="C32" s="27"/>
      <c r="D32" s="62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6.5" thickBot="1" x14ac:dyDescent="0.3">
      <c r="A33" s="12">
        <v>1000048</v>
      </c>
      <c r="B33" s="12" t="s">
        <v>45</v>
      </c>
      <c r="C33" s="27"/>
      <c r="D33" s="62"/>
      <c r="E33" s="27"/>
      <c r="F33" s="28"/>
      <c r="G33" s="28"/>
      <c r="H33" s="28"/>
      <c r="I33" s="28"/>
      <c r="J33" s="28"/>
      <c r="K33" s="28"/>
      <c r="L33" s="28">
        <v>2</v>
      </c>
      <c r="M33" s="28"/>
      <c r="N33" s="28"/>
      <c r="O33" s="28"/>
      <c r="P33" s="418">
        <f t="shared" si="0"/>
        <v>2</v>
      </c>
    </row>
    <row r="34" spans="1:16" ht="16.5" thickBot="1" x14ac:dyDescent="0.3">
      <c r="A34" s="255">
        <v>1000075</v>
      </c>
      <c r="B34" s="255" t="s">
        <v>47</v>
      </c>
      <c r="C34" s="27"/>
      <c r="D34" s="16"/>
      <c r="E34" s="15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6.5" thickBot="1" x14ac:dyDescent="0.3">
      <c r="A35" s="255">
        <v>1000092</v>
      </c>
      <c r="B35" s="255" t="s">
        <v>51</v>
      </c>
      <c r="C35" s="27"/>
      <c r="D35" s="16"/>
      <c r="E35" s="15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6.5" thickBot="1" x14ac:dyDescent="0.3">
      <c r="A36" s="255">
        <v>1000147</v>
      </c>
      <c r="B36" s="255" t="s">
        <v>52</v>
      </c>
      <c r="C36" s="27"/>
      <c r="D36" s="16"/>
      <c r="E36" s="15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6.5" thickBot="1" x14ac:dyDescent="0.3">
      <c r="A37" s="255">
        <v>1000142</v>
      </c>
      <c r="B37" s="255" t="s">
        <v>54</v>
      </c>
      <c r="C37" s="27"/>
      <c r="D37" s="16"/>
      <c r="E37" s="15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6.5" thickBot="1" x14ac:dyDescent="0.3">
      <c r="A38" s="255">
        <v>1000087</v>
      </c>
      <c r="B38" s="255" t="s">
        <v>69</v>
      </c>
      <c r="C38" s="27"/>
      <c r="D38" s="16"/>
      <c r="E38" s="15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6.5" thickBot="1" x14ac:dyDescent="0.3">
      <c r="A39" s="255">
        <v>10231</v>
      </c>
      <c r="B39" s="255" t="s">
        <v>86</v>
      </c>
      <c r="C39" s="27"/>
      <c r="D39" s="16"/>
      <c r="E39" s="15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6.5" thickBot="1" x14ac:dyDescent="0.3">
      <c r="A40" s="12">
        <v>1000371</v>
      </c>
      <c r="B40" s="12" t="s">
        <v>74</v>
      </c>
      <c r="C40" s="27"/>
      <c r="D40" s="16"/>
      <c r="E40" s="15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6.5" thickBot="1" x14ac:dyDescent="0.3">
      <c r="A41" s="248">
        <v>1000045</v>
      </c>
      <c r="B41" s="248" t="s">
        <v>23</v>
      </c>
      <c r="C41" s="110"/>
      <c r="D41" s="16"/>
      <c r="E41" s="111"/>
      <c r="F41" s="28"/>
      <c r="G41" s="28"/>
      <c r="H41" s="28"/>
      <c r="I41" s="28"/>
      <c r="J41" s="28">
        <v>2</v>
      </c>
      <c r="K41" s="28"/>
      <c r="L41" s="28"/>
      <c r="M41" s="28"/>
      <c r="N41" s="28"/>
      <c r="O41" s="28"/>
      <c r="P41" s="418">
        <f t="shared" si="0"/>
        <v>2</v>
      </c>
    </row>
    <row r="42" spans="1:16" ht="16.5" thickBot="1" x14ac:dyDescent="0.3">
      <c r="A42" s="248">
        <v>1000084</v>
      </c>
      <c r="B42" s="248" t="s">
        <v>38</v>
      </c>
      <c r="C42" s="263"/>
      <c r="D42" s="171"/>
      <c r="E42" s="260"/>
      <c r="F42" s="28">
        <v>56</v>
      </c>
      <c r="G42" s="28"/>
      <c r="H42" s="28">
        <v>56</v>
      </c>
      <c r="I42" s="28"/>
      <c r="J42" s="28">
        <v>48</v>
      </c>
      <c r="K42" s="28"/>
      <c r="L42" s="28">
        <v>16</v>
      </c>
      <c r="M42" s="28"/>
      <c r="N42" s="28">
        <v>20</v>
      </c>
      <c r="O42" s="28"/>
      <c r="P42" s="418">
        <f t="shared" si="0"/>
        <v>196</v>
      </c>
    </row>
    <row r="43" spans="1:16" ht="16.5" thickBot="1" x14ac:dyDescent="0.3">
      <c r="A43" s="255">
        <v>1000067</v>
      </c>
      <c r="B43" s="255" t="s">
        <v>11</v>
      </c>
      <c r="C43" s="264"/>
      <c r="D43" s="265"/>
      <c r="E43" s="261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418">
        <f t="shared" si="0"/>
        <v>0</v>
      </c>
    </row>
    <row r="44" spans="1:16" ht="16.5" thickBot="1" x14ac:dyDescent="0.3">
      <c r="A44" s="255">
        <v>10248</v>
      </c>
      <c r="B44" s="255" t="s">
        <v>183</v>
      </c>
      <c r="C44" s="264"/>
      <c r="D44" s="265"/>
      <c r="E44" s="261"/>
      <c r="F44" s="28">
        <v>12</v>
      </c>
      <c r="G44" s="28"/>
      <c r="H44" s="28">
        <v>12</v>
      </c>
      <c r="I44" s="28"/>
      <c r="J44" s="28"/>
      <c r="K44" s="28"/>
      <c r="L44" s="28">
        <v>6</v>
      </c>
      <c r="M44" s="28"/>
      <c r="N44" s="28"/>
      <c r="O44" s="28"/>
      <c r="P44" s="418">
        <f t="shared" si="0"/>
        <v>30</v>
      </c>
    </row>
    <row r="45" spans="1:16" ht="16.5" thickBot="1" x14ac:dyDescent="0.3">
      <c r="A45" s="248">
        <v>1000041</v>
      </c>
      <c r="B45" s="248" t="s">
        <v>16</v>
      </c>
      <c r="C45" s="263"/>
      <c r="D45" s="171"/>
      <c r="E45" s="260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6.5" thickBot="1" x14ac:dyDescent="0.3">
      <c r="A46" s="248">
        <v>1000016</v>
      </c>
      <c r="B46" s="248" t="s">
        <v>15</v>
      </c>
      <c r="C46" s="264"/>
      <c r="D46" s="265"/>
      <c r="E46" s="261"/>
      <c r="F46" s="28">
        <v>10</v>
      </c>
      <c r="G46" s="28"/>
      <c r="H46" s="28"/>
      <c r="I46" s="28"/>
      <c r="J46" s="28">
        <v>5</v>
      </c>
      <c r="K46" s="28"/>
      <c r="L46" s="28">
        <v>5</v>
      </c>
      <c r="M46" s="28"/>
      <c r="N46" s="28"/>
      <c r="O46" s="28"/>
      <c r="P46" s="418">
        <f t="shared" si="0"/>
        <v>20</v>
      </c>
    </row>
    <row r="47" spans="1:16" ht="16.5" thickBot="1" x14ac:dyDescent="0.3">
      <c r="A47" s="248">
        <v>1000063</v>
      </c>
      <c r="B47" s="248" t="s">
        <v>65</v>
      </c>
      <c r="C47" s="263"/>
      <c r="D47" s="171"/>
      <c r="E47" s="260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6.5" thickBot="1" x14ac:dyDescent="0.3">
      <c r="A48" s="248">
        <v>1000057</v>
      </c>
      <c r="B48" s="248" t="s">
        <v>70</v>
      </c>
      <c r="C48" s="263"/>
      <c r="D48" s="171"/>
      <c r="E48" s="260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6.5" thickBot="1" x14ac:dyDescent="0.3">
      <c r="A49" s="248">
        <v>1000029</v>
      </c>
      <c r="B49" s="248" t="s">
        <v>30</v>
      </c>
      <c r="C49" s="215"/>
      <c r="D49" s="35"/>
      <c r="E49" s="241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6.5" thickBot="1" x14ac:dyDescent="0.3">
      <c r="A50" s="248">
        <v>1000439</v>
      </c>
      <c r="B50" s="248" t="s">
        <v>193</v>
      </c>
      <c r="C50" s="215"/>
      <c r="D50" s="35"/>
      <c r="E50" s="241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6.5" thickBot="1" x14ac:dyDescent="0.3">
      <c r="A51" s="248">
        <v>1000045</v>
      </c>
      <c r="B51" s="248" t="s">
        <v>23</v>
      </c>
      <c r="C51" s="215"/>
      <c r="D51" s="35"/>
      <c r="E51" s="241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ht="16.5" thickBot="1" x14ac:dyDescent="0.3">
      <c r="A52" s="248">
        <v>1000050</v>
      </c>
      <c r="B52" s="248" t="s">
        <v>22</v>
      </c>
      <c r="C52" s="215"/>
      <c r="D52" s="35"/>
      <c r="E52" s="241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si="0"/>
        <v>0</v>
      </c>
    </row>
    <row r="53" spans="1:16" ht="16.5" thickBot="1" x14ac:dyDescent="0.3">
      <c r="A53" s="248">
        <v>1000076</v>
      </c>
      <c r="B53" s="248" t="s">
        <v>46</v>
      </c>
      <c r="C53" s="215"/>
      <c r="D53" s="35"/>
      <c r="E53" s="241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6.5" thickBot="1" x14ac:dyDescent="0.3">
      <c r="A54" s="248">
        <v>1000105</v>
      </c>
      <c r="B54" s="248" t="s">
        <v>58</v>
      </c>
      <c r="C54" s="215"/>
      <c r="D54" s="35"/>
      <c r="E54" s="241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30">
        <f t="shared" si="0"/>
        <v>0</v>
      </c>
    </row>
    <row r="55" spans="1:16" ht="16.5" thickBot="1" x14ac:dyDescent="0.3">
      <c r="A55" s="248">
        <v>1000064</v>
      </c>
      <c r="B55" s="248" t="s">
        <v>64</v>
      </c>
      <c r="C55" s="215"/>
      <c r="D55" s="35"/>
      <c r="E55" s="241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6.5" thickBot="1" x14ac:dyDescent="0.3">
      <c r="A56" s="248">
        <v>1000383</v>
      </c>
      <c r="B56" s="248" t="s">
        <v>264</v>
      </c>
      <c r="C56" s="215"/>
      <c r="D56" s="35"/>
      <c r="E56" s="241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6.5" thickBot="1" x14ac:dyDescent="0.3">
      <c r="A57" s="12">
        <v>1000036</v>
      </c>
      <c r="B57" s="12" t="s">
        <v>75</v>
      </c>
      <c r="C57" s="27"/>
      <c r="D57" s="62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30">
        <f t="shared" si="0"/>
        <v>0</v>
      </c>
    </row>
    <row r="58" spans="1:16" ht="16.5" thickBot="1" x14ac:dyDescent="0.3">
      <c r="A58" s="12">
        <v>1000440</v>
      </c>
      <c r="B58" s="12" t="s">
        <v>199</v>
      </c>
      <c r="C58" s="27"/>
      <c r="D58" s="62"/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6.5" thickBot="1" x14ac:dyDescent="0.3">
      <c r="A59" s="12">
        <v>1000436</v>
      </c>
      <c r="B59" s="12" t="s">
        <v>276</v>
      </c>
      <c r="C59" s="27"/>
      <c r="D59" s="62"/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  <row r="60" spans="1:16" ht="16.5" thickBot="1" x14ac:dyDescent="0.3">
      <c r="A60" s="12">
        <v>1000550</v>
      </c>
      <c r="B60" s="12" t="s">
        <v>277</v>
      </c>
      <c r="C60" s="27"/>
      <c r="D60" s="62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si="0"/>
        <v>0</v>
      </c>
    </row>
    <row r="61" spans="1:16" ht="16.5" thickBot="1" x14ac:dyDescent="0.3">
      <c r="A61" s="12">
        <v>1000551</v>
      </c>
      <c r="B61" s="12" t="s">
        <v>278</v>
      </c>
      <c r="C61" s="27"/>
      <c r="D61" s="62"/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30">
        <f t="shared" si="0"/>
        <v>0</v>
      </c>
    </row>
    <row r="62" spans="1:16" ht="16.5" thickBot="1" x14ac:dyDescent="0.3">
      <c r="A62" s="12">
        <v>1000552</v>
      </c>
      <c r="B62" s="12" t="s">
        <v>279</v>
      </c>
      <c r="C62" s="27"/>
      <c r="D62" s="62"/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>
        <f t="shared" si="0"/>
        <v>0</v>
      </c>
    </row>
    <row r="63" spans="1:16" s="200" customFormat="1" thickBot="1" x14ac:dyDescent="0.3">
      <c r="A63" s="38">
        <v>1000080</v>
      </c>
      <c r="B63" s="17" t="s">
        <v>275</v>
      </c>
      <c r="C63" s="41"/>
      <c r="D63" s="46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>
        <f t="shared" si="0"/>
        <v>0</v>
      </c>
    </row>
    <row r="64" spans="1:16" ht="16.5" thickBot="1" x14ac:dyDescent="0.3">
      <c r="A64" s="35">
        <v>1000214</v>
      </c>
      <c r="B64" s="12" t="s">
        <v>49</v>
      </c>
      <c r="D64" s="4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30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48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B680-187E-47DD-B88C-8A1F538F0D59}">
  <sheetPr>
    <tabColor rgb="FFFFFF00"/>
    <pageSetUpPr fitToPage="1"/>
  </sheetPr>
  <dimension ref="A1:P61"/>
  <sheetViews>
    <sheetView topLeftCell="A24" workbookViewId="0">
      <selection activeCell="A46" sqref="A46:B46"/>
    </sheetView>
  </sheetViews>
  <sheetFormatPr baseColWidth="10" defaultRowHeight="15.75" x14ac:dyDescent="0.25"/>
  <cols>
    <col min="1" max="1" width="7.875" style="3" bestFit="1" customWidth="1"/>
    <col min="2" max="2" width="33.5" style="3" bestFit="1" customWidth="1"/>
    <col min="3" max="3" width="1.5" style="3" customWidth="1"/>
    <col min="4" max="4" width="7.75" style="3" customWidth="1"/>
    <col min="5" max="5" width="1.125" style="3" customWidth="1"/>
    <col min="6" max="6" width="9.125" style="3" bestFit="1" customWidth="1"/>
    <col min="7" max="7" width="5" style="3" customWidth="1"/>
    <col min="8" max="8" width="9.125" style="3" bestFit="1" customWidth="1"/>
    <col min="9" max="9" width="5.375" style="3" customWidth="1"/>
    <col min="10" max="10" width="9.125" style="3" bestFit="1" customWidth="1"/>
    <col min="11" max="11" width="4.25" style="3" customWidth="1"/>
    <col min="12" max="12" width="9.75" style="3" bestFit="1" customWidth="1"/>
    <col min="13" max="13" width="5" style="3" customWidth="1"/>
    <col min="14" max="14" width="9.125" style="3" bestFit="1" customWidth="1"/>
    <col min="15" max="15" width="4.75" style="3" customWidth="1"/>
    <col min="16" max="16384" width="11" style="3"/>
  </cols>
  <sheetData>
    <row r="1" spans="1:16" ht="28.5" x14ac:dyDescent="0.45">
      <c r="A1" s="686" t="s">
        <v>227</v>
      </c>
      <c r="B1" s="687"/>
      <c r="C1" s="27"/>
      <c r="D1" s="596" t="s">
        <v>399</v>
      </c>
      <c r="E1" s="27"/>
      <c r="F1" s="751" t="s">
        <v>474</v>
      </c>
      <c r="G1" s="752"/>
      <c r="H1" s="752"/>
      <c r="I1" s="752"/>
      <c r="J1" s="753"/>
      <c r="K1" s="2"/>
      <c r="L1" s="27"/>
      <c r="M1" s="27"/>
      <c r="N1" s="27"/>
    </row>
    <row r="2" spans="1:16" ht="10.5" customHeight="1" thickBot="1" x14ac:dyDescent="0.5">
      <c r="A2" s="688"/>
      <c r="B2" s="689"/>
      <c r="C2" s="4"/>
      <c r="F2" s="754"/>
      <c r="G2" s="755"/>
      <c r="H2" s="755"/>
      <c r="I2" s="755"/>
      <c r="J2" s="756"/>
      <c r="K2" s="2"/>
    </row>
    <row r="3" spans="1:16" ht="24" customHeight="1" thickBot="1" x14ac:dyDescent="0.3">
      <c r="A3" s="5"/>
      <c r="B3" s="5" t="s">
        <v>418</v>
      </c>
      <c r="C3" s="4"/>
    </row>
    <row r="4" spans="1:16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327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6.5" thickBot="1" x14ac:dyDescent="0.3">
      <c r="A5" s="30">
        <v>10000015</v>
      </c>
      <c r="B5" s="11" t="s">
        <v>1</v>
      </c>
      <c r="C5" s="27"/>
      <c r="D5" s="61"/>
      <c r="E5" s="27"/>
      <c r="F5" s="118"/>
      <c r="G5" s="118"/>
      <c r="H5" s="118"/>
      <c r="I5" s="118"/>
      <c r="J5" s="118"/>
      <c r="K5" s="118"/>
      <c r="L5" s="118">
        <v>10</v>
      </c>
      <c r="M5" s="118"/>
      <c r="N5" s="118"/>
      <c r="O5" s="118"/>
      <c r="P5" s="418">
        <f t="shared" ref="P5:P61" si="0">SUM(F5:O5)</f>
        <v>10</v>
      </c>
    </row>
    <row r="6" spans="1:16" ht="16.5" thickBot="1" x14ac:dyDescent="0.3">
      <c r="A6" s="35">
        <v>10000102</v>
      </c>
      <c r="B6" s="12" t="s">
        <v>2</v>
      </c>
      <c r="C6" s="27"/>
      <c r="D6" s="62"/>
      <c r="E6" s="27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30">
        <f t="shared" si="0"/>
        <v>0</v>
      </c>
    </row>
    <row r="7" spans="1:16" ht="16.5" thickBot="1" x14ac:dyDescent="0.3">
      <c r="A7" s="35">
        <v>10211</v>
      </c>
      <c r="B7" s="12" t="s">
        <v>3</v>
      </c>
      <c r="C7" s="27"/>
      <c r="D7" s="62"/>
      <c r="E7" s="27"/>
      <c r="F7" s="118">
        <v>200</v>
      </c>
      <c r="G7" s="118"/>
      <c r="H7" s="118"/>
      <c r="I7" s="118"/>
      <c r="J7" s="118"/>
      <c r="K7" s="118"/>
      <c r="L7" s="118"/>
      <c r="M7" s="118"/>
      <c r="N7" s="118"/>
      <c r="O7" s="118"/>
      <c r="P7" s="418">
        <f t="shared" si="0"/>
        <v>200</v>
      </c>
    </row>
    <row r="8" spans="1:16" ht="16.5" thickBot="1" x14ac:dyDescent="0.3">
      <c r="A8" s="35">
        <v>1000007</v>
      </c>
      <c r="B8" s="12" t="s">
        <v>5</v>
      </c>
      <c r="C8" s="27"/>
      <c r="D8" s="62"/>
      <c r="E8" s="27"/>
      <c r="F8" s="118">
        <v>250</v>
      </c>
      <c r="G8" s="118"/>
      <c r="H8" s="118">
        <v>200</v>
      </c>
      <c r="I8" s="118"/>
      <c r="J8" s="118"/>
      <c r="K8" s="118"/>
      <c r="L8" s="118">
        <v>200</v>
      </c>
      <c r="M8" s="118"/>
      <c r="N8" s="118"/>
      <c r="O8" s="118"/>
      <c r="P8" s="418">
        <f t="shared" si="0"/>
        <v>650</v>
      </c>
    </row>
    <row r="9" spans="1:16" ht="16.5" thickBot="1" x14ac:dyDescent="0.3">
      <c r="A9" s="35">
        <v>10212</v>
      </c>
      <c r="B9" s="12" t="s">
        <v>6</v>
      </c>
      <c r="C9" s="27"/>
      <c r="D9" s="62"/>
      <c r="E9" s="27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30">
        <f t="shared" si="0"/>
        <v>0</v>
      </c>
    </row>
    <row r="10" spans="1:16" ht="16.5" thickBot="1" x14ac:dyDescent="0.3">
      <c r="A10" s="35">
        <v>1000008</v>
      </c>
      <c r="B10" s="12" t="s">
        <v>7</v>
      </c>
      <c r="C10" s="27"/>
      <c r="D10" s="62"/>
      <c r="E10" s="27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30">
        <f t="shared" si="0"/>
        <v>0</v>
      </c>
    </row>
    <row r="11" spans="1:16" ht="16.5" thickBot="1" x14ac:dyDescent="0.3">
      <c r="A11" s="35">
        <v>1000001</v>
      </c>
      <c r="B11" s="12" t="s">
        <v>8</v>
      </c>
      <c r="C11" s="27"/>
      <c r="D11" s="62"/>
      <c r="E11" s="27"/>
      <c r="F11" s="118">
        <v>2</v>
      </c>
      <c r="G11" s="118"/>
      <c r="H11" s="118">
        <v>2</v>
      </c>
      <c r="I11" s="118"/>
      <c r="J11" s="118">
        <v>2</v>
      </c>
      <c r="K11" s="118"/>
      <c r="L11" s="118">
        <v>4</v>
      </c>
      <c r="M11" s="118"/>
      <c r="N11" s="118"/>
      <c r="O11" s="118"/>
      <c r="P11" s="418">
        <f t="shared" si="0"/>
        <v>10</v>
      </c>
    </row>
    <row r="12" spans="1:16" ht="16.5" thickBot="1" x14ac:dyDescent="0.3">
      <c r="A12" s="35">
        <v>1000002</v>
      </c>
      <c r="B12" s="12" t="s">
        <v>9</v>
      </c>
      <c r="C12" s="27"/>
      <c r="D12" s="62"/>
      <c r="E12" s="27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418">
        <f t="shared" si="0"/>
        <v>0</v>
      </c>
    </row>
    <row r="13" spans="1:16" ht="16.5" thickBot="1" x14ac:dyDescent="0.3">
      <c r="A13" s="35">
        <v>1000004</v>
      </c>
      <c r="B13" s="12" t="s">
        <v>10</v>
      </c>
      <c r="C13" s="27"/>
      <c r="D13" s="62"/>
      <c r="E13" s="27"/>
      <c r="F13" s="118">
        <v>2</v>
      </c>
      <c r="G13" s="118"/>
      <c r="H13" s="118">
        <v>2</v>
      </c>
      <c r="I13" s="118"/>
      <c r="J13" s="118">
        <v>2</v>
      </c>
      <c r="K13" s="118"/>
      <c r="L13" s="118">
        <v>4</v>
      </c>
      <c r="M13" s="118"/>
      <c r="N13" s="118"/>
      <c r="O13" s="118"/>
      <c r="P13" s="418">
        <f t="shared" si="0"/>
        <v>10</v>
      </c>
    </row>
    <row r="14" spans="1:16" ht="16.5" thickBot="1" x14ac:dyDescent="0.3">
      <c r="A14" s="35">
        <v>1000054</v>
      </c>
      <c r="B14" s="12" t="s">
        <v>12</v>
      </c>
      <c r="C14" s="27"/>
      <c r="D14" s="62"/>
      <c r="E14" s="27"/>
      <c r="F14" s="118">
        <v>10</v>
      </c>
      <c r="G14" s="118"/>
      <c r="H14" s="118">
        <v>10</v>
      </c>
      <c r="I14" s="118"/>
      <c r="J14" s="118">
        <v>10</v>
      </c>
      <c r="K14" s="118"/>
      <c r="L14" s="118">
        <v>20</v>
      </c>
      <c r="M14" s="118"/>
      <c r="N14" s="118"/>
      <c r="O14" s="118"/>
      <c r="P14" s="418">
        <f t="shared" si="0"/>
        <v>50</v>
      </c>
    </row>
    <row r="15" spans="1:16" ht="16.5" thickBot="1" x14ac:dyDescent="0.3">
      <c r="A15" s="35">
        <v>1000070</v>
      </c>
      <c r="B15" s="12" t="s">
        <v>13</v>
      </c>
      <c r="C15" s="27"/>
      <c r="D15" s="62"/>
      <c r="E15" s="27"/>
      <c r="F15" s="118">
        <v>1</v>
      </c>
      <c r="G15" s="118"/>
      <c r="H15" s="118"/>
      <c r="I15" s="118"/>
      <c r="J15" s="118">
        <v>1</v>
      </c>
      <c r="K15" s="118"/>
      <c r="L15" s="118"/>
      <c r="M15" s="118"/>
      <c r="N15" s="118"/>
      <c r="O15" s="118"/>
      <c r="P15" s="418">
        <f t="shared" si="0"/>
        <v>2</v>
      </c>
    </row>
    <row r="16" spans="1:16" ht="16.5" thickBot="1" x14ac:dyDescent="0.3">
      <c r="A16" s="35">
        <v>1000017</v>
      </c>
      <c r="B16" s="13" t="s">
        <v>14</v>
      </c>
      <c r="C16" s="27"/>
      <c r="D16" s="62"/>
      <c r="E16" s="27"/>
      <c r="F16" s="118">
        <v>20</v>
      </c>
      <c r="G16" s="118"/>
      <c r="H16" s="118">
        <v>20</v>
      </c>
      <c r="I16" s="118"/>
      <c r="J16" s="118">
        <v>10</v>
      </c>
      <c r="K16" s="118"/>
      <c r="L16" s="118">
        <v>30</v>
      </c>
      <c r="M16" s="118"/>
      <c r="N16" s="118"/>
      <c r="O16" s="118"/>
      <c r="P16" s="418">
        <f t="shared" si="0"/>
        <v>80</v>
      </c>
    </row>
    <row r="17" spans="1:16" ht="16.5" thickBot="1" x14ac:dyDescent="0.3">
      <c r="A17" s="35">
        <v>1000010</v>
      </c>
      <c r="B17" s="12" t="s">
        <v>17</v>
      </c>
      <c r="C17" s="27"/>
      <c r="D17" s="62"/>
      <c r="E17" s="27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30">
        <f t="shared" si="0"/>
        <v>0</v>
      </c>
    </row>
    <row r="18" spans="1:16" ht="16.5" thickBot="1" x14ac:dyDescent="0.3">
      <c r="A18" s="35">
        <v>1000009</v>
      </c>
      <c r="B18" s="14" t="s">
        <v>19</v>
      </c>
      <c r="C18" s="27"/>
      <c r="D18" s="62"/>
      <c r="E18" s="27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30">
        <f t="shared" si="0"/>
        <v>0</v>
      </c>
    </row>
    <row r="19" spans="1:16" ht="16.5" thickBot="1" x14ac:dyDescent="0.3">
      <c r="A19" s="35">
        <v>1000049</v>
      </c>
      <c r="B19" s="12" t="s">
        <v>21</v>
      </c>
      <c r="C19" s="27"/>
      <c r="D19" s="62"/>
      <c r="E19" s="27"/>
      <c r="F19" s="118"/>
      <c r="G19" s="118"/>
      <c r="H19" s="118"/>
      <c r="I19" s="118"/>
      <c r="J19" s="118">
        <v>2</v>
      </c>
      <c r="K19" s="118"/>
      <c r="L19" s="118"/>
      <c r="M19" s="118"/>
      <c r="N19" s="118"/>
      <c r="O19" s="118"/>
      <c r="P19" s="418">
        <f t="shared" si="0"/>
        <v>2</v>
      </c>
    </row>
    <row r="20" spans="1:16" ht="16.5" thickBot="1" x14ac:dyDescent="0.3">
      <c r="A20" s="35">
        <v>1000033</v>
      </c>
      <c r="B20" s="12" t="s">
        <v>27</v>
      </c>
      <c r="C20" s="27"/>
      <c r="D20" s="62"/>
      <c r="E20" s="27"/>
      <c r="F20" s="118">
        <v>2</v>
      </c>
      <c r="G20" s="118"/>
      <c r="H20" s="118"/>
      <c r="I20" s="118"/>
      <c r="J20" s="118"/>
      <c r="K20" s="118"/>
      <c r="L20" s="118"/>
      <c r="M20" s="118"/>
      <c r="N20" s="118"/>
      <c r="O20" s="118"/>
      <c r="P20" s="418">
        <f t="shared" si="0"/>
        <v>2</v>
      </c>
    </row>
    <row r="21" spans="1:16" ht="16.5" thickBot="1" x14ac:dyDescent="0.3">
      <c r="A21" s="35">
        <v>1000034</v>
      </c>
      <c r="B21" s="12" t="s">
        <v>28</v>
      </c>
      <c r="C21" s="27"/>
      <c r="D21" s="62"/>
      <c r="E21" s="27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30">
        <f t="shared" si="0"/>
        <v>0</v>
      </c>
    </row>
    <row r="22" spans="1:16" ht="16.5" thickBot="1" x14ac:dyDescent="0.3">
      <c r="A22" s="35">
        <v>1000035</v>
      </c>
      <c r="B22" s="12" t="s">
        <v>29</v>
      </c>
      <c r="C22" s="27"/>
      <c r="D22" s="62"/>
      <c r="E22" s="27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30">
        <f t="shared" si="0"/>
        <v>0</v>
      </c>
    </row>
    <row r="23" spans="1:16" ht="16.5" thickBot="1" x14ac:dyDescent="0.3">
      <c r="A23" s="35">
        <v>1000029</v>
      </c>
      <c r="B23" s="12" t="s">
        <v>30</v>
      </c>
      <c r="C23" s="27"/>
      <c r="D23" s="62"/>
      <c r="E23" s="27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30">
        <f t="shared" si="0"/>
        <v>0</v>
      </c>
    </row>
    <row r="24" spans="1:16" ht="16.5" thickBot="1" x14ac:dyDescent="0.3">
      <c r="A24" s="35">
        <v>1000025</v>
      </c>
      <c r="B24" s="12" t="s">
        <v>32</v>
      </c>
      <c r="C24" s="27"/>
      <c r="D24" s="62"/>
      <c r="E24" s="27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30">
        <f t="shared" si="0"/>
        <v>0</v>
      </c>
    </row>
    <row r="25" spans="1:16" ht="16.5" thickBot="1" x14ac:dyDescent="0.3">
      <c r="A25" s="35">
        <v>1000100</v>
      </c>
      <c r="B25" s="12" t="s">
        <v>34</v>
      </c>
      <c r="C25" s="27"/>
      <c r="D25" s="62"/>
      <c r="E25" s="27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30">
        <f t="shared" si="0"/>
        <v>0</v>
      </c>
    </row>
    <row r="26" spans="1:16" ht="16.5" thickBot="1" x14ac:dyDescent="0.3">
      <c r="A26" s="35">
        <v>1000101</v>
      </c>
      <c r="B26" s="12" t="s">
        <v>35</v>
      </c>
      <c r="C26" s="27"/>
      <c r="D26" s="62"/>
      <c r="E26" s="27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30">
        <f t="shared" si="0"/>
        <v>0</v>
      </c>
    </row>
    <row r="27" spans="1:16" ht="16.5" thickBot="1" x14ac:dyDescent="0.3">
      <c r="A27" s="35">
        <v>1000073</v>
      </c>
      <c r="B27" s="12" t="s">
        <v>36</v>
      </c>
      <c r="C27" s="27"/>
      <c r="D27" s="62"/>
      <c r="E27" s="27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30">
        <f t="shared" si="0"/>
        <v>0</v>
      </c>
    </row>
    <row r="28" spans="1:16" ht="16.5" thickBot="1" x14ac:dyDescent="0.3">
      <c r="A28" s="35">
        <v>1000082</v>
      </c>
      <c r="B28" s="12" t="s">
        <v>37</v>
      </c>
      <c r="C28" s="27"/>
      <c r="D28" s="62"/>
      <c r="E28" s="27"/>
      <c r="F28" s="118"/>
      <c r="G28" s="118"/>
      <c r="H28" s="118"/>
      <c r="I28" s="118"/>
      <c r="J28" s="118"/>
      <c r="K28" s="118"/>
      <c r="L28" s="118">
        <v>32</v>
      </c>
      <c r="M28" s="118"/>
      <c r="N28" s="118"/>
      <c r="O28" s="118"/>
      <c r="P28" s="418">
        <f t="shared" si="0"/>
        <v>32</v>
      </c>
    </row>
    <row r="29" spans="1:16" ht="16.5" thickBot="1" x14ac:dyDescent="0.3">
      <c r="A29" s="35">
        <v>1000090</v>
      </c>
      <c r="B29" s="12" t="s">
        <v>40</v>
      </c>
      <c r="C29" s="27"/>
      <c r="D29" s="62"/>
      <c r="E29" s="27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30">
        <f t="shared" si="0"/>
        <v>0</v>
      </c>
    </row>
    <row r="30" spans="1:16" ht="16.5" thickBot="1" x14ac:dyDescent="0.3">
      <c r="A30" s="35">
        <v>1000052</v>
      </c>
      <c r="B30" s="12" t="s">
        <v>41</v>
      </c>
      <c r="C30" s="27"/>
      <c r="D30" s="62"/>
      <c r="E30" s="27"/>
      <c r="F30" s="118"/>
      <c r="G30" s="118"/>
      <c r="H30" s="118"/>
      <c r="I30" s="118"/>
      <c r="J30" s="118">
        <v>2</v>
      </c>
      <c r="K30" s="118"/>
      <c r="L30" s="118">
        <v>4</v>
      </c>
      <c r="M30" s="118"/>
      <c r="N30" s="118"/>
      <c r="O30" s="118"/>
      <c r="P30" s="418">
        <f t="shared" si="0"/>
        <v>6</v>
      </c>
    </row>
    <row r="31" spans="1:16" ht="16.5" thickBot="1" x14ac:dyDescent="0.3">
      <c r="A31" s="35">
        <v>1000089</v>
      </c>
      <c r="B31" s="12" t="s">
        <v>42</v>
      </c>
      <c r="C31" s="27"/>
      <c r="D31" s="62"/>
      <c r="E31" s="27"/>
      <c r="F31" s="118">
        <v>2</v>
      </c>
      <c r="G31" s="118"/>
      <c r="H31" s="118">
        <v>2</v>
      </c>
      <c r="I31" s="118"/>
      <c r="J31" s="118">
        <v>2</v>
      </c>
      <c r="K31" s="118"/>
      <c r="L31" s="118">
        <v>4</v>
      </c>
      <c r="M31" s="118"/>
      <c r="N31" s="118"/>
      <c r="O31" s="118"/>
      <c r="P31" s="418">
        <f t="shared" si="0"/>
        <v>10</v>
      </c>
    </row>
    <row r="32" spans="1:16" ht="16.5" thickBot="1" x14ac:dyDescent="0.3">
      <c r="A32" s="35">
        <v>1000051</v>
      </c>
      <c r="B32" s="12" t="s">
        <v>43</v>
      </c>
      <c r="C32" s="27"/>
      <c r="D32" s="62"/>
      <c r="E32" s="27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30">
        <f t="shared" si="0"/>
        <v>0</v>
      </c>
    </row>
    <row r="33" spans="1:16" ht="16.5" thickBot="1" x14ac:dyDescent="0.3">
      <c r="A33" s="35">
        <v>1000048</v>
      </c>
      <c r="B33" s="12" t="s">
        <v>45</v>
      </c>
      <c r="C33" s="27"/>
      <c r="D33" s="62"/>
      <c r="E33" s="27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30">
        <f t="shared" si="0"/>
        <v>0</v>
      </c>
    </row>
    <row r="34" spans="1:16" ht="16.5" thickBot="1" x14ac:dyDescent="0.3">
      <c r="A34" s="35">
        <v>1000075</v>
      </c>
      <c r="B34" s="12" t="s">
        <v>47</v>
      </c>
      <c r="C34" s="27"/>
      <c r="D34" s="62"/>
      <c r="E34" s="27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30">
        <f t="shared" si="0"/>
        <v>0</v>
      </c>
    </row>
    <row r="35" spans="1:16" ht="16.5" thickBot="1" x14ac:dyDescent="0.3">
      <c r="A35" s="35">
        <v>1000092</v>
      </c>
      <c r="B35" s="12" t="s">
        <v>51</v>
      </c>
      <c r="C35" s="27"/>
      <c r="D35" s="62"/>
      <c r="E35" s="27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30">
        <f t="shared" si="0"/>
        <v>0</v>
      </c>
    </row>
    <row r="36" spans="1:16" ht="16.5" thickBot="1" x14ac:dyDescent="0.3">
      <c r="A36" s="35">
        <v>1000147</v>
      </c>
      <c r="B36" s="12" t="s">
        <v>52</v>
      </c>
      <c r="C36" s="27"/>
      <c r="D36" s="62"/>
      <c r="E36" s="27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30">
        <f t="shared" si="0"/>
        <v>0</v>
      </c>
    </row>
    <row r="37" spans="1:16" ht="16.5" thickBot="1" x14ac:dyDescent="0.3">
      <c r="A37" s="35">
        <v>1000142</v>
      </c>
      <c r="B37" s="12" t="s">
        <v>54</v>
      </c>
      <c r="C37" s="27"/>
      <c r="D37" s="62"/>
      <c r="E37" s="27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30">
        <f t="shared" si="0"/>
        <v>0</v>
      </c>
    </row>
    <row r="38" spans="1:16" ht="16.5" thickBot="1" x14ac:dyDescent="0.3">
      <c r="A38" s="35">
        <v>10231</v>
      </c>
      <c r="B38" s="12" t="s">
        <v>86</v>
      </c>
      <c r="C38" s="27"/>
      <c r="D38" s="16"/>
      <c r="E38" s="15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30">
        <f t="shared" si="0"/>
        <v>0</v>
      </c>
    </row>
    <row r="39" spans="1:16" ht="16.5" thickBot="1" x14ac:dyDescent="0.3">
      <c r="A39" s="72">
        <v>1000045</v>
      </c>
      <c r="B39" s="68" t="s">
        <v>23</v>
      </c>
      <c r="C39" s="27"/>
      <c r="D39" s="16"/>
      <c r="E39" s="15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30">
        <f t="shared" si="0"/>
        <v>0</v>
      </c>
    </row>
    <row r="40" spans="1:16" ht="16.5" thickBot="1" x14ac:dyDescent="0.3">
      <c r="A40" s="72">
        <v>1000084</v>
      </c>
      <c r="B40" s="68" t="s">
        <v>38</v>
      </c>
      <c r="C40" s="27"/>
      <c r="D40" s="16"/>
      <c r="E40" s="15"/>
      <c r="F40" s="118">
        <v>16</v>
      </c>
      <c r="G40" s="118"/>
      <c r="H40" s="118">
        <v>16</v>
      </c>
      <c r="I40" s="118"/>
      <c r="J40" s="118">
        <v>16</v>
      </c>
      <c r="K40" s="118"/>
      <c r="L40" s="118">
        <v>16</v>
      </c>
      <c r="M40" s="118"/>
      <c r="N40" s="118"/>
      <c r="O40" s="118"/>
      <c r="P40" s="418">
        <f t="shared" si="0"/>
        <v>64</v>
      </c>
    </row>
    <row r="41" spans="1:16" ht="16.5" thickBot="1" x14ac:dyDescent="0.3">
      <c r="A41" s="72">
        <v>1000067</v>
      </c>
      <c r="B41" s="68" t="s">
        <v>11</v>
      </c>
      <c r="C41" s="27"/>
      <c r="D41" s="16"/>
      <c r="E41" s="15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30">
        <f t="shared" si="0"/>
        <v>0</v>
      </c>
    </row>
    <row r="42" spans="1:16" ht="16.5" thickBot="1" x14ac:dyDescent="0.3">
      <c r="A42" s="72">
        <v>10248</v>
      </c>
      <c r="B42" s="68" t="s">
        <v>183</v>
      </c>
      <c r="C42" s="27"/>
      <c r="D42" s="16"/>
      <c r="E42" s="15"/>
      <c r="F42" s="118">
        <v>12</v>
      </c>
      <c r="G42" s="118"/>
      <c r="H42" s="118">
        <v>12</v>
      </c>
      <c r="I42" s="118"/>
      <c r="J42" s="118">
        <v>12</v>
      </c>
      <c r="K42" s="118"/>
      <c r="L42" s="118">
        <v>12</v>
      </c>
      <c r="M42" s="118"/>
      <c r="N42" s="118"/>
      <c r="O42" s="118"/>
      <c r="P42" s="418">
        <f t="shared" si="0"/>
        <v>48</v>
      </c>
    </row>
    <row r="43" spans="1:16" ht="16.5" thickBot="1" x14ac:dyDescent="0.3">
      <c r="A43" s="72">
        <v>1000041</v>
      </c>
      <c r="B43" s="68" t="s">
        <v>16</v>
      </c>
      <c r="C43" s="27"/>
      <c r="D43" s="16"/>
      <c r="E43" s="15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30">
        <f t="shared" si="0"/>
        <v>0</v>
      </c>
    </row>
    <row r="44" spans="1:16" ht="16.5" thickBot="1" x14ac:dyDescent="0.3">
      <c r="A44" s="72">
        <v>1000016</v>
      </c>
      <c r="B44" s="68" t="s">
        <v>15</v>
      </c>
      <c r="C44" s="27"/>
      <c r="D44" s="16"/>
      <c r="E44" s="15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30">
        <f t="shared" si="0"/>
        <v>0</v>
      </c>
    </row>
    <row r="45" spans="1:16" ht="16.5" thickBot="1" x14ac:dyDescent="0.3">
      <c r="A45" s="72">
        <v>1000063</v>
      </c>
      <c r="B45" s="68" t="s">
        <v>65</v>
      </c>
      <c r="C45" s="27"/>
      <c r="D45" s="16"/>
      <c r="E45" s="15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30">
        <f t="shared" si="0"/>
        <v>0</v>
      </c>
    </row>
    <row r="46" spans="1:16" ht="16.5" thickBot="1" x14ac:dyDescent="0.3">
      <c r="A46" s="72">
        <v>1000057</v>
      </c>
      <c r="B46" s="68" t="s">
        <v>70</v>
      </c>
      <c r="C46" s="27"/>
      <c r="D46" s="16"/>
      <c r="E46" s="15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30">
        <f t="shared" si="0"/>
        <v>0</v>
      </c>
    </row>
    <row r="47" spans="1:16" ht="16.5" thickBot="1" x14ac:dyDescent="0.3">
      <c r="A47" s="72">
        <v>1000029</v>
      </c>
      <c r="B47" s="68" t="s">
        <v>30</v>
      </c>
      <c r="C47" s="27"/>
      <c r="D47" s="16"/>
      <c r="E47" s="15"/>
      <c r="F47" s="118"/>
      <c r="G47" s="118"/>
      <c r="H47" s="118"/>
      <c r="I47" s="118"/>
      <c r="J47" s="118">
        <v>1</v>
      </c>
      <c r="K47" s="118"/>
      <c r="L47" s="118"/>
      <c r="M47" s="118"/>
      <c r="N47" s="118"/>
      <c r="O47" s="118"/>
      <c r="P47" s="418">
        <f t="shared" si="0"/>
        <v>1</v>
      </c>
    </row>
    <row r="48" spans="1:16" ht="16.5" thickBot="1" x14ac:dyDescent="0.3">
      <c r="A48" s="72">
        <v>1000439</v>
      </c>
      <c r="B48" s="68" t="s">
        <v>193</v>
      </c>
      <c r="C48" s="27"/>
      <c r="D48" s="16"/>
      <c r="E48" s="15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30">
        <f t="shared" si="0"/>
        <v>0</v>
      </c>
    </row>
    <row r="49" spans="1:16" ht="16.5" thickBot="1" x14ac:dyDescent="0.3">
      <c r="A49" s="72">
        <v>1000045</v>
      </c>
      <c r="B49" s="68" t="s">
        <v>23</v>
      </c>
      <c r="C49" s="27"/>
      <c r="D49" s="16"/>
      <c r="E49" s="15"/>
      <c r="F49" s="118">
        <v>2</v>
      </c>
      <c r="G49" s="118"/>
      <c r="H49" s="118"/>
      <c r="I49" s="118"/>
      <c r="J49" s="118"/>
      <c r="K49" s="118"/>
      <c r="L49" s="118"/>
      <c r="M49" s="118"/>
      <c r="N49" s="118"/>
      <c r="O49" s="118"/>
      <c r="P49" s="418">
        <f t="shared" si="0"/>
        <v>2</v>
      </c>
    </row>
    <row r="50" spans="1:16" ht="16.5" thickBot="1" x14ac:dyDescent="0.3">
      <c r="A50" s="72">
        <v>1000050</v>
      </c>
      <c r="B50" s="68" t="s">
        <v>22</v>
      </c>
      <c r="C50" s="27"/>
      <c r="D50" s="16"/>
      <c r="E50" s="15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30">
        <f t="shared" si="0"/>
        <v>0</v>
      </c>
    </row>
    <row r="51" spans="1:16" ht="16.5" thickBot="1" x14ac:dyDescent="0.3">
      <c r="A51" s="72">
        <v>1000076</v>
      </c>
      <c r="B51" s="68" t="s">
        <v>46</v>
      </c>
      <c r="C51" s="27"/>
      <c r="D51" s="16"/>
      <c r="E51" s="15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30">
        <f t="shared" si="0"/>
        <v>0</v>
      </c>
    </row>
    <row r="52" spans="1:16" ht="16.5" thickBot="1" x14ac:dyDescent="0.3">
      <c r="A52" s="72">
        <v>1000449</v>
      </c>
      <c r="B52" s="68" t="s">
        <v>202</v>
      </c>
      <c r="C52" s="27"/>
      <c r="D52" s="16"/>
      <c r="E52" s="15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30">
        <f t="shared" si="0"/>
        <v>0</v>
      </c>
    </row>
    <row r="53" spans="1:16" ht="16.5" thickBot="1" x14ac:dyDescent="0.3">
      <c r="A53" s="72">
        <v>1000383</v>
      </c>
      <c r="B53" s="68" t="s">
        <v>264</v>
      </c>
      <c r="C53" s="27"/>
      <c r="D53" s="16"/>
      <c r="E53" s="15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30">
        <f t="shared" si="0"/>
        <v>0</v>
      </c>
    </row>
    <row r="54" spans="1:16" ht="16.5" thickBot="1" x14ac:dyDescent="0.3">
      <c r="A54" s="72">
        <v>1000214</v>
      </c>
      <c r="B54" s="68" t="s">
        <v>49</v>
      </c>
      <c r="C54" s="27"/>
      <c r="D54" s="16"/>
      <c r="E54" s="15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30">
        <f t="shared" si="0"/>
        <v>0</v>
      </c>
    </row>
    <row r="55" spans="1:16" ht="16.5" thickBot="1" x14ac:dyDescent="0.3">
      <c r="A55" s="72">
        <v>1000533</v>
      </c>
      <c r="B55" s="68" t="s">
        <v>259</v>
      </c>
      <c r="C55" s="27"/>
      <c r="D55" s="16"/>
      <c r="E55" s="15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30">
        <f t="shared" si="0"/>
        <v>0</v>
      </c>
    </row>
    <row r="56" spans="1:16" ht="16.5" thickBot="1" x14ac:dyDescent="0.3">
      <c r="A56" s="72">
        <v>1000436</v>
      </c>
      <c r="B56" s="68" t="s">
        <v>276</v>
      </c>
      <c r="C56" s="27"/>
      <c r="D56" s="16"/>
      <c r="E56" s="15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30">
        <f t="shared" si="0"/>
        <v>0</v>
      </c>
    </row>
    <row r="57" spans="1:16" ht="16.5" thickBot="1" x14ac:dyDescent="0.3">
      <c r="A57" s="72">
        <v>1000550</v>
      </c>
      <c r="B57" s="68" t="s">
        <v>277</v>
      </c>
      <c r="C57" s="27"/>
      <c r="D57" s="16"/>
      <c r="E57" s="15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30">
        <f t="shared" si="0"/>
        <v>0</v>
      </c>
    </row>
    <row r="58" spans="1:16" ht="16.5" thickBot="1" x14ac:dyDescent="0.3">
      <c r="A58" s="72">
        <v>1000551</v>
      </c>
      <c r="B58" s="68" t="s">
        <v>278</v>
      </c>
      <c r="C58" s="27"/>
      <c r="D58" s="16"/>
      <c r="E58" s="15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30">
        <f t="shared" si="0"/>
        <v>0</v>
      </c>
    </row>
    <row r="59" spans="1:16" ht="16.5" thickBot="1" x14ac:dyDescent="0.3">
      <c r="A59" s="72">
        <v>1000552</v>
      </c>
      <c r="B59" s="68" t="s">
        <v>279</v>
      </c>
      <c r="C59" s="27"/>
      <c r="D59" s="16"/>
      <c r="E59" s="15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30">
        <f t="shared" si="0"/>
        <v>0</v>
      </c>
    </row>
    <row r="60" spans="1:16" s="200" customFormat="1" thickBot="1" x14ac:dyDescent="0.3">
      <c r="A60" s="38">
        <v>1000080</v>
      </c>
      <c r="B60" s="17" t="s">
        <v>275</v>
      </c>
      <c r="C60" s="41"/>
      <c r="D60" s="46"/>
      <c r="E60" s="27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30">
        <f t="shared" si="0"/>
        <v>0</v>
      </c>
    </row>
    <row r="61" spans="1:16" ht="16.5" thickBot="1" x14ac:dyDescent="0.3">
      <c r="A61" s="35">
        <v>1000205</v>
      </c>
      <c r="B61" s="12" t="s">
        <v>82</v>
      </c>
      <c r="D61" s="46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50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D1BA-3609-4FFB-A2DF-FFFA72270A86}">
  <sheetPr>
    <tabColor rgb="FFFFFF00"/>
    <pageSetUpPr fitToPage="1"/>
  </sheetPr>
  <dimension ref="A1:P56"/>
  <sheetViews>
    <sheetView zoomScale="70" zoomScaleNormal="70" workbookViewId="0">
      <selection activeCell="Q33" sqref="Q33"/>
    </sheetView>
  </sheetViews>
  <sheetFormatPr baseColWidth="10" defaultColWidth="10.875" defaultRowHeight="15" x14ac:dyDescent="0.25"/>
  <cols>
    <col min="1" max="1" width="10" style="146" customWidth="1"/>
    <col min="2" max="2" width="29.875" style="146" customWidth="1"/>
    <col min="3" max="3" width="1.375" style="146" customWidth="1"/>
    <col min="4" max="4" width="8.125" style="146" bestFit="1" customWidth="1"/>
    <col min="5" max="5" width="2.125" style="146" customWidth="1"/>
    <col min="6" max="6" width="9.125" style="146" bestFit="1" customWidth="1"/>
    <col min="7" max="7" width="8.625" style="146" bestFit="1" customWidth="1"/>
    <col min="8" max="8" width="9.125" style="146" bestFit="1" customWidth="1"/>
    <col min="9" max="9" width="8.625" style="146" bestFit="1" customWidth="1"/>
    <col min="10" max="10" width="9.125" style="146" bestFit="1" customWidth="1"/>
    <col min="11" max="11" width="8.625" style="146" bestFit="1" customWidth="1"/>
    <col min="12" max="12" width="9.125" style="146" bestFit="1" customWidth="1"/>
    <col min="13" max="13" width="8.625" style="146" bestFit="1" customWidth="1"/>
    <col min="14" max="14" width="9.125" style="146" bestFit="1" customWidth="1"/>
    <col min="15" max="15" width="8.625" style="146" bestFit="1" customWidth="1"/>
    <col min="16" max="16384" width="10.875" style="146"/>
  </cols>
  <sheetData>
    <row r="1" spans="1:16" ht="15" customHeight="1" x14ac:dyDescent="0.45">
      <c r="A1" s="686" t="s">
        <v>258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6.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/>
      <c r="M2"/>
      <c r="N2"/>
    </row>
    <row r="3" spans="1:16" s="3" customFormat="1" ht="23.25" customHeight="1" thickBot="1" x14ac:dyDescent="0.3">
      <c r="A3" s="5"/>
      <c r="B3" s="5" t="s">
        <v>423</v>
      </c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F4" s="19" t="s">
        <v>308</v>
      </c>
      <c r="G4" s="20" t="s">
        <v>424</v>
      </c>
      <c r="H4" s="19" t="s">
        <v>310</v>
      </c>
      <c r="I4" s="20" t="s">
        <v>424</v>
      </c>
      <c r="J4" s="19" t="s">
        <v>311</v>
      </c>
      <c r="K4" s="20" t="s">
        <v>424</v>
      </c>
      <c r="L4" s="19" t="s">
        <v>312</v>
      </c>
      <c r="M4" s="20" t="s">
        <v>424</v>
      </c>
      <c r="N4" s="19" t="s">
        <v>313</v>
      </c>
      <c r="O4" s="20" t="s">
        <v>325</v>
      </c>
      <c r="P4" s="21" t="s">
        <v>98</v>
      </c>
    </row>
    <row r="5" spans="1:16" ht="16.5" thickBot="1" x14ac:dyDescent="0.3">
      <c r="A5" s="406">
        <v>10000015</v>
      </c>
      <c r="B5" s="105" t="s">
        <v>1</v>
      </c>
      <c r="C5" s="58"/>
      <c r="D5" s="481"/>
      <c r="E5" s="3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06">
        <f t="shared" ref="P5:P56" si="0">SUM(F5:O5)</f>
        <v>0</v>
      </c>
    </row>
    <row r="6" spans="1:16" ht="16.5" thickBot="1" x14ac:dyDescent="0.3">
      <c r="A6" s="171">
        <v>10000102</v>
      </c>
      <c r="B6" s="106" t="s">
        <v>2</v>
      </c>
      <c r="C6" s="58"/>
      <c r="D6" s="483"/>
      <c r="E6" s="3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06">
        <f t="shared" si="0"/>
        <v>0</v>
      </c>
    </row>
    <row r="7" spans="1:16" ht="16.5" thickBot="1" x14ac:dyDescent="0.3">
      <c r="A7" s="171">
        <v>1000006</v>
      </c>
      <c r="B7" s="106" t="s">
        <v>4</v>
      </c>
      <c r="C7" s="58"/>
      <c r="D7" s="483"/>
      <c r="E7" s="3"/>
      <c r="F7" s="482">
        <v>100</v>
      </c>
      <c r="G7" s="482"/>
      <c r="H7" s="482">
        <v>100</v>
      </c>
      <c r="I7" s="482"/>
      <c r="J7" s="482">
        <v>50</v>
      </c>
      <c r="K7" s="482"/>
      <c r="L7" s="482"/>
      <c r="M7" s="482"/>
      <c r="N7" s="482"/>
      <c r="O7" s="482"/>
      <c r="P7" s="590">
        <f t="shared" si="0"/>
        <v>250</v>
      </c>
    </row>
    <row r="8" spans="1:16" ht="16.5" thickBot="1" x14ac:dyDescent="0.3">
      <c r="A8" s="171">
        <v>1000007</v>
      </c>
      <c r="B8" s="106" t="s">
        <v>5</v>
      </c>
      <c r="C8" s="58"/>
      <c r="D8" s="483"/>
      <c r="E8" s="3"/>
      <c r="F8" s="482">
        <v>50</v>
      </c>
      <c r="G8" s="482"/>
      <c r="H8" s="482">
        <v>50</v>
      </c>
      <c r="I8" s="482"/>
      <c r="J8" s="482">
        <v>50</v>
      </c>
      <c r="K8" s="482"/>
      <c r="L8" s="482"/>
      <c r="M8" s="482"/>
      <c r="N8" s="482"/>
      <c r="O8" s="482"/>
      <c r="P8" s="590">
        <f t="shared" si="0"/>
        <v>150</v>
      </c>
    </row>
    <row r="9" spans="1:16" ht="16.5" thickBot="1" x14ac:dyDescent="0.3">
      <c r="A9" s="171">
        <v>1000001</v>
      </c>
      <c r="B9" s="106" t="s">
        <v>8</v>
      </c>
      <c r="C9" s="58"/>
      <c r="D9" s="483"/>
      <c r="E9" s="3"/>
      <c r="F9" s="482">
        <v>3</v>
      </c>
      <c r="G9" s="482"/>
      <c r="H9" s="482">
        <v>3</v>
      </c>
      <c r="I9" s="482"/>
      <c r="J9" s="482">
        <v>3</v>
      </c>
      <c r="K9" s="482"/>
      <c r="L9" s="482"/>
      <c r="M9" s="482"/>
      <c r="N9" s="482"/>
      <c r="O9" s="482"/>
      <c r="P9" s="590">
        <f t="shared" si="0"/>
        <v>9</v>
      </c>
    </row>
    <row r="10" spans="1:16" ht="16.5" thickBot="1" x14ac:dyDescent="0.3">
      <c r="A10" s="171">
        <v>1000002</v>
      </c>
      <c r="B10" s="106" t="s">
        <v>9</v>
      </c>
      <c r="C10" s="58"/>
      <c r="D10" s="483"/>
      <c r="E10" s="3"/>
      <c r="F10" s="482"/>
      <c r="G10" s="482"/>
      <c r="H10" s="482"/>
      <c r="I10" s="482"/>
      <c r="J10" s="482">
        <v>1</v>
      </c>
      <c r="K10" s="482"/>
      <c r="L10" s="482"/>
      <c r="M10" s="482"/>
      <c r="N10" s="482"/>
      <c r="O10" s="482"/>
      <c r="P10" s="590">
        <f t="shared" si="0"/>
        <v>1</v>
      </c>
    </row>
    <row r="11" spans="1:16" ht="16.5" thickBot="1" x14ac:dyDescent="0.3">
      <c r="A11" s="171">
        <v>1000054</v>
      </c>
      <c r="B11" s="106" t="s">
        <v>12</v>
      </c>
      <c r="C11" s="58"/>
      <c r="D11" s="483"/>
      <c r="E11" s="3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06">
        <f t="shared" si="0"/>
        <v>0</v>
      </c>
    </row>
    <row r="12" spans="1:16" ht="16.5" thickBot="1" x14ac:dyDescent="0.3">
      <c r="A12" s="171">
        <v>1000472</v>
      </c>
      <c r="B12" s="106" t="s">
        <v>222</v>
      </c>
      <c r="C12" s="58"/>
      <c r="D12" s="483"/>
      <c r="E12" s="3"/>
      <c r="F12" s="482"/>
      <c r="G12" s="482"/>
      <c r="H12" s="482">
        <v>1</v>
      </c>
      <c r="I12" s="482"/>
      <c r="J12" s="482">
        <v>1</v>
      </c>
      <c r="K12" s="482" t="s">
        <v>483</v>
      </c>
      <c r="L12" s="482"/>
      <c r="M12" s="482"/>
      <c r="N12" s="482"/>
      <c r="O12" s="482"/>
      <c r="P12" s="406">
        <f t="shared" si="0"/>
        <v>2</v>
      </c>
    </row>
    <row r="13" spans="1:16" ht="16.5" thickBot="1" x14ac:dyDescent="0.3">
      <c r="A13" s="171">
        <v>1000017</v>
      </c>
      <c r="B13" s="106" t="s">
        <v>14</v>
      </c>
      <c r="C13" s="58"/>
      <c r="D13" s="483"/>
      <c r="E13" s="3"/>
      <c r="F13" s="482">
        <v>10</v>
      </c>
      <c r="G13" s="482"/>
      <c r="H13" s="482">
        <v>5</v>
      </c>
      <c r="I13" s="482"/>
      <c r="J13" s="482"/>
      <c r="K13" s="482"/>
      <c r="L13" s="482"/>
      <c r="M13" s="482"/>
      <c r="N13" s="482"/>
      <c r="O13" s="482"/>
      <c r="P13" s="590">
        <f t="shared" si="0"/>
        <v>15</v>
      </c>
    </row>
    <row r="14" spans="1:16" ht="16.5" thickBot="1" x14ac:dyDescent="0.3">
      <c r="A14" s="171">
        <v>1000016</v>
      </c>
      <c r="B14" s="106" t="s">
        <v>15</v>
      </c>
      <c r="C14" s="58"/>
      <c r="D14" s="483"/>
      <c r="E14" s="3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06">
        <f t="shared" si="0"/>
        <v>0</v>
      </c>
    </row>
    <row r="15" spans="1:16" ht="16.5" thickBot="1" x14ac:dyDescent="0.3">
      <c r="A15" s="171">
        <v>1000041</v>
      </c>
      <c r="B15" s="106" t="s">
        <v>16</v>
      </c>
      <c r="C15" s="58"/>
      <c r="D15" s="483"/>
      <c r="E15" s="3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06">
        <f t="shared" si="0"/>
        <v>0</v>
      </c>
    </row>
    <row r="16" spans="1:16" ht="16.5" thickBot="1" x14ac:dyDescent="0.3">
      <c r="A16" s="171">
        <v>1000049</v>
      </c>
      <c r="B16" s="106" t="s">
        <v>21</v>
      </c>
      <c r="C16" s="58"/>
      <c r="D16" s="483"/>
      <c r="E16" s="3"/>
      <c r="F16" s="482">
        <v>2</v>
      </c>
      <c r="G16" s="482"/>
      <c r="H16" s="482">
        <v>2</v>
      </c>
      <c r="I16" s="482"/>
      <c r="J16" s="482"/>
      <c r="K16" s="482"/>
      <c r="L16" s="482"/>
      <c r="M16" s="482"/>
      <c r="N16" s="482"/>
      <c r="O16" s="482"/>
      <c r="P16" s="590">
        <f t="shared" si="0"/>
        <v>4</v>
      </c>
    </row>
    <row r="17" spans="1:16" ht="16.5" thickBot="1" x14ac:dyDescent="0.3">
      <c r="A17" s="171">
        <v>1000050</v>
      </c>
      <c r="B17" s="106" t="s">
        <v>22</v>
      </c>
      <c r="C17" s="58"/>
      <c r="D17" s="483"/>
      <c r="E17" s="3"/>
      <c r="F17" s="482">
        <v>2</v>
      </c>
      <c r="G17" s="482"/>
      <c r="H17" s="482">
        <v>2</v>
      </c>
      <c r="I17" s="482"/>
      <c r="J17" s="482">
        <v>2</v>
      </c>
      <c r="K17" s="482"/>
      <c r="L17" s="482"/>
      <c r="M17" s="482"/>
      <c r="N17" s="482"/>
      <c r="O17" s="482"/>
      <c r="P17" s="590">
        <f t="shared" si="0"/>
        <v>6</v>
      </c>
    </row>
    <row r="18" spans="1:16" ht="16.5" thickBot="1" x14ac:dyDescent="0.3">
      <c r="A18" s="171">
        <v>1000030</v>
      </c>
      <c r="B18" s="106" t="s">
        <v>24</v>
      </c>
      <c r="C18" s="58"/>
      <c r="D18" s="483"/>
      <c r="E18" s="3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06">
        <f t="shared" si="0"/>
        <v>0</v>
      </c>
    </row>
    <row r="19" spans="1:16" ht="16.5" thickBot="1" x14ac:dyDescent="0.3">
      <c r="A19" s="171">
        <v>1000026</v>
      </c>
      <c r="B19" s="106" t="s">
        <v>31</v>
      </c>
      <c r="C19" s="58"/>
      <c r="D19" s="483"/>
      <c r="E19" s="3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06">
        <f t="shared" si="0"/>
        <v>0</v>
      </c>
    </row>
    <row r="20" spans="1:16" ht="16.5" thickBot="1" x14ac:dyDescent="0.3">
      <c r="A20" s="171">
        <v>1000025</v>
      </c>
      <c r="B20" s="106" t="s">
        <v>32</v>
      </c>
      <c r="C20" s="58"/>
      <c r="D20" s="483"/>
      <c r="E20" s="3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06">
        <f t="shared" si="0"/>
        <v>0</v>
      </c>
    </row>
    <row r="21" spans="1:16" ht="16.5" thickBot="1" x14ac:dyDescent="0.3">
      <c r="A21" s="171">
        <v>1000100</v>
      </c>
      <c r="B21" s="106" t="s">
        <v>34</v>
      </c>
      <c r="C21" s="58"/>
      <c r="D21" s="483"/>
      <c r="E21" s="3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06">
        <f t="shared" si="0"/>
        <v>0</v>
      </c>
    </row>
    <row r="22" spans="1:16" ht="16.5" thickBot="1" x14ac:dyDescent="0.3">
      <c r="A22" s="171">
        <v>1000073</v>
      </c>
      <c r="B22" s="106" t="s">
        <v>36</v>
      </c>
      <c r="C22" s="58"/>
      <c r="D22" s="483"/>
      <c r="E22" s="3"/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06">
        <f t="shared" si="0"/>
        <v>0</v>
      </c>
    </row>
    <row r="23" spans="1:16" ht="16.5" thickBot="1" x14ac:dyDescent="0.3">
      <c r="A23" s="171">
        <v>1000383</v>
      </c>
      <c r="B23" s="106" t="s">
        <v>264</v>
      </c>
      <c r="C23" s="58"/>
      <c r="D23" s="483"/>
      <c r="E23" s="3"/>
      <c r="F23" s="482"/>
      <c r="G23" s="482"/>
      <c r="H23" s="482"/>
      <c r="I23" s="482"/>
      <c r="J23" s="482"/>
      <c r="K23" s="482"/>
      <c r="L23" s="482"/>
      <c r="M23" s="482"/>
      <c r="N23" s="482"/>
      <c r="O23" s="482"/>
      <c r="P23" s="406">
        <f t="shared" si="0"/>
        <v>0</v>
      </c>
    </row>
    <row r="24" spans="1:16" ht="16.5" thickBot="1" x14ac:dyDescent="0.3">
      <c r="A24" s="171">
        <v>1000146</v>
      </c>
      <c r="B24" s="106" t="s">
        <v>39</v>
      </c>
      <c r="C24" s="58"/>
      <c r="D24" s="483"/>
      <c r="E24" s="3"/>
      <c r="F24" s="482"/>
      <c r="G24" s="482"/>
      <c r="H24" s="482"/>
      <c r="I24" s="482"/>
      <c r="J24" s="482"/>
      <c r="K24" s="482"/>
      <c r="L24" s="482"/>
      <c r="M24" s="482"/>
      <c r="N24" s="482"/>
      <c r="O24" s="482"/>
      <c r="P24" s="406">
        <f t="shared" si="0"/>
        <v>0</v>
      </c>
    </row>
    <row r="25" spans="1:16" ht="16.5" thickBot="1" x14ac:dyDescent="0.3">
      <c r="A25" s="171">
        <v>10248</v>
      </c>
      <c r="B25" s="106" t="s">
        <v>183</v>
      </c>
      <c r="C25" s="58"/>
      <c r="D25" s="483"/>
      <c r="E25" s="3"/>
      <c r="F25" s="482">
        <v>9</v>
      </c>
      <c r="G25" s="482"/>
      <c r="H25" s="482">
        <v>9</v>
      </c>
      <c r="I25" s="482"/>
      <c r="J25" s="482">
        <v>9</v>
      </c>
      <c r="K25" s="482"/>
      <c r="L25" s="482"/>
      <c r="M25" s="482"/>
      <c r="N25" s="482"/>
      <c r="O25" s="482"/>
      <c r="P25" s="590">
        <f t="shared" si="0"/>
        <v>27</v>
      </c>
    </row>
    <row r="26" spans="1:16" ht="16.5" thickBot="1" x14ac:dyDescent="0.3">
      <c r="A26" s="171">
        <v>1000052</v>
      </c>
      <c r="B26" s="106" t="s">
        <v>41</v>
      </c>
      <c r="C26" s="58"/>
      <c r="D26" s="483"/>
      <c r="E26" s="3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06">
        <f t="shared" si="0"/>
        <v>0</v>
      </c>
    </row>
    <row r="27" spans="1:16" ht="16.5" thickBot="1" x14ac:dyDescent="0.3">
      <c r="A27" s="171">
        <v>1000089</v>
      </c>
      <c r="B27" s="106" t="s">
        <v>42</v>
      </c>
      <c r="C27" s="58"/>
      <c r="D27" s="483"/>
      <c r="E27" s="3"/>
      <c r="F27" s="482"/>
      <c r="G27" s="482"/>
      <c r="H27" s="482">
        <v>2</v>
      </c>
      <c r="I27" s="482"/>
      <c r="J27" s="482">
        <v>2</v>
      </c>
      <c r="K27" s="482"/>
      <c r="L27" s="482"/>
      <c r="M27" s="482"/>
      <c r="N27" s="482"/>
      <c r="O27" s="482"/>
      <c r="P27" s="590">
        <f t="shared" si="0"/>
        <v>4</v>
      </c>
    </row>
    <row r="28" spans="1:16" ht="16.5" thickBot="1" x14ac:dyDescent="0.3">
      <c r="A28" s="171">
        <v>1000051</v>
      </c>
      <c r="B28" s="106" t="s">
        <v>43</v>
      </c>
      <c r="C28" s="58"/>
      <c r="D28" s="483"/>
      <c r="E28" s="3"/>
      <c r="F28" s="482"/>
      <c r="G28" s="482"/>
      <c r="H28" s="482">
        <v>2</v>
      </c>
      <c r="I28" s="482"/>
      <c r="J28" s="482"/>
      <c r="K28" s="482"/>
      <c r="L28" s="482"/>
      <c r="M28" s="482"/>
      <c r="N28" s="482"/>
      <c r="O28" s="482"/>
      <c r="P28" s="590">
        <f t="shared" si="0"/>
        <v>2</v>
      </c>
    </row>
    <row r="29" spans="1:16" ht="16.5" thickBot="1" x14ac:dyDescent="0.3">
      <c r="A29" s="171">
        <v>1000048</v>
      </c>
      <c r="B29" s="106" t="s">
        <v>45</v>
      </c>
      <c r="C29" s="58"/>
      <c r="D29" s="483"/>
      <c r="E29" s="3"/>
      <c r="F29" s="482"/>
      <c r="G29" s="482"/>
      <c r="H29" s="482">
        <v>1</v>
      </c>
      <c r="I29" s="482"/>
      <c r="J29" s="482">
        <v>1</v>
      </c>
      <c r="K29" s="482"/>
      <c r="L29" s="482"/>
      <c r="M29" s="482"/>
      <c r="N29" s="482"/>
      <c r="O29" s="482"/>
      <c r="P29" s="590">
        <f t="shared" si="0"/>
        <v>2</v>
      </c>
    </row>
    <row r="30" spans="1:16" ht="16.5" thickBot="1" x14ac:dyDescent="0.3">
      <c r="A30" s="171">
        <v>1000076</v>
      </c>
      <c r="B30" s="106" t="s">
        <v>46</v>
      </c>
      <c r="C30" s="58"/>
      <c r="D30" s="483"/>
      <c r="E30" s="3"/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06">
        <f t="shared" si="0"/>
        <v>0</v>
      </c>
    </row>
    <row r="31" spans="1:16" ht="16.5" thickBot="1" x14ac:dyDescent="0.3">
      <c r="A31" s="171">
        <v>1000142</v>
      </c>
      <c r="B31" s="106" t="s">
        <v>54</v>
      </c>
      <c r="C31" s="58"/>
      <c r="D31" s="483"/>
      <c r="E31" s="3"/>
      <c r="F31" s="482"/>
      <c r="G31" s="482"/>
      <c r="H31" s="482"/>
      <c r="I31" s="482"/>
      <c r="J31" s="482"/>
      <c r="K31" s="482"/>
      <c r="L31" s="482"/>
      <c r="M31" s="482"/>
      <c r="N31" s="482"/>
      <c r="O31" s="482"/>
      <c r="P31" s="406">
        <f t="shared" si="0"/>
        <v>0</v>
      </c>
    </row>
    <row r="32" spans="1:16" ht="16.5" thickBot="1" x14ac:dyDescent="0.3">
      <c r="A32" s="171">
        <v>1000008</v>
      </c>
      <c r="B32" s="106" t="s">
        <v>7</v>
      </c>
      <c r="C32" s="58"/>
      <c r="D32" s="483"/>
      <c r="E32" s="3"/>
      <c r="F32" s="482"/>
      <c r="G32" s="482"/>
      <c r="H32" s="482"/>
      <c r="I32" s="482"/>
      <c r="J32" s="482"/>
      <c r="K32" s="482"/>
      <c r="L32" s="482"/>
      <c r="M32" s="482"/>
      <c r="N32" s="482"/>
      <c r="O32" s="482"/>
      <c r="P32" s="406">
        <f t="shared" si="0"/>
        <v>0</v>
      </c>
    </row>
    <row r="33" spans="1:16" s="15" customFormat="1" ht="15.95" customHeight="1" thickBot="1" x14ac:dyDescent="0.3">
      <c r="A33" s="171">
        <v>1000082</v>
      </c>
      <c r="B33" s="106" t="s">
        <v>37</v>
      </c>
      <c r="C33" s="58"/>
      <c r="D33" s="483"/>
      <c r="E33" s="3"/>
      <c r="F33" s="482"/>
      <c r="G33" s="482"/>
      <c r="H33" s="482"/>
      <c r="I33" s="482"/>
      <c r="J33" s="482"/>
      <c r="K33" s="482"/>
      <c r="L33" s="482"/>
      <c r="M33" s="482"/>
      <c r="N33" s="482"/>
      <c r="O33" s="482"/>
      <c r="P33" s="406">
        <f t="shared" si="0"/>
        <v>0</v>
      </c>
    </row>
    <row r="34" spans="1:16" ht="16.5" thickBot="1" x14ac:dyDescent="0.3">
      <c r="A34" s="171">
        <v>1000084</v>
      </c>
      <c r="B34" s="106" t="s">
        <v>38</v>
      </c>
      <c r="C34" s="58"/>
      <c r="D34" s="483"/>
      <c r="E34" s="3"/>
      <c r="F34" s="482">
        <v>8</v>
      </c>
      <c r="G34" s="482"/>
      <c r="H34" s="482"/>
      <c r="I34" s="482"/>
      <c r="J34" s="482">
        <v>4</v>
      </c>
      <c r="K34" s="482"/>
      <c r="L34" s="482"/>
      <c r="M34" s="482"/>
      <c r="N34" s="482"/>
      <c r="O34" s="482"/>
      <c r="P34" s="590">
        <f t="shared" si="0"/>
        <v>12</v>
      </c>
    </row>
    <row r="35" spans="1:16" ht="16.5" thickBot="1" x14ac:dyDescent="0.3">
      <c r="A35" s="171">
        <v>1000036</v>
      </c>
      <c r="B35" s="106" t="s">
        <v>75</v>
      </c>
      <c r="C35" s="58"/>
      <c r="D35" s="483"/>
      <c r="E35" s="3"/>
      <c r="F35" s="482"/>
      <c r="G35" s="482"/>
      <c r="H35" s="482"/>
      <c r="I35" s="482"/>
      <c r="J35" s="482"/>
      <c r="K35" s="482"/>
      <c r="L35" s="482"/>
      <c r="M35" s="482"/>
      <c r="N35" s="482"/>
      <c r="O35" s="482"/>
      <c r="P35" s="406">
        <f t="shared" si="0"/>
        <v>0</v>
      </c>
    </row>
    <row r="36" spans="1:16" ht="16.5" thickBot="1" x14ac:dyDescent="0.3">
      <c r="A36" s="171">
        <v>1000033</v>
      </c>
      <c r="B36" s="106" t="s">
        <v>27</v>
      </c>
      <c r="C36" s="58"/>
      <c r="D36" s="483"/>
      <c r="E36" s="3"/>
      <c r="F36" s="482">
        <v>1</v>
      </c>
      <c r="G36" s="482"/>
      <c r="H36" s="482"/>
      <c r="I36" s="482"/>
      <c r="J36" s="482"/>
      <c r="K36" s="482"/>
      <c r="L36" s="482"/>
      <c r="M36" s="482"/>
      <c r="N36" s="482"/>
      <c r="O36" s="482"/>
      <c r="P36" s="590">
        <f t="shared" si="0"/>
        <v>1</v>
      </c>
    </row>
    <row r="37" spans="1:16" ht="16.5" thickBot="1" x14ac:dyDescent="0.3">
      <c r="A37" s="171">
        <v>1000446</v>
      </c>
      <c r="B37" s="106" t="s">
        <v>201</v>
      </c>
      <c r="C37" s="58"/>
      <c r="D37" s="483"/>
      <c r="E37" s="3"/>
      <c r="F37" s="482"/>
      <c r="G37" s="482"/>
      <c r="H37" s="482"/>
      <c r="I37" s="482"/>
      <c r="J37" s="482"/>
      <c r="K37" s="482"/>
      <c r="L37" s="482"/>
      <c r="M37" s="482"/>
      <c r="N37" s="482"/>
      <c r="O37" s="482"/>
      <c r="P37" s="406">
        <f t="shared" si="0"/>
        <v>0</v>
      </c>
    </row>
    <row r="38" spans="1:16" ht="16.5" thickBot="1" x14ac:dyDescent="0.3">
      <c r="A38" s="171">
        <v>1000067</v>
      </c>
      <c r="B38" s="106" t="s">
        <v>11</v>
      </c>
      <c r="C38" s="58"/>
      <c r="D38" s="483"/>
      <c r="E38" s="3"/>
      <c r="F38" s="482"/>
      <c r="G38" s="482"/>
      <c r="H38" s="482">
        <v>2</v>
      </c>
      <c r="I38" s="482"/>
      <c r="J38" s="482"/>
      <c r="K38" s="482"/>
      <c r="L38" s="482"/>
      <c r="M38" s="482"/>
      <c r="N38" s="482"/>
      <c r="O38" s="482"/>
      <c r="P38" s="590">
        <f t="shared" si="0"/>
        <v>2</v>
      </c>
    </row>
    <row r="39" spans="1:16" ht="16.5" thickBot="1" x14ac:dyDescent="0.3">
      <c r="A39" s="171">
        <v>1000147</v>
      </c>
      <c r="B39" s="106" t="s">
        <v>52</v>
      </c>
      <c r="C39" s="58"/>
      <c r="D39" s="483"/>
      <c r="E39" s="3"/>
      <c r="F39" s="482"/>
      <c r="G39" s="482"/>
      <c r="H39" s="482"/>
      <c r="I39" s="482"/>
      <c r="J39" s="482"/>
      <c r="K39" s="482"/>
      <c r="L39" s="482"/>
      <c r="M39" s="482"/>
      <c r="N39" s="482"/>
      <c r="O39" s="482"/>
      <c r="P39" s="406">
        <f t="shared" si="0"/>
        <v>0</v>
      </c>
    </row>
    <row r="40" spans="1:16" ht="16.5" thickBot="1" x14ac:dyDescent="0.3">
      <c r="A40" s="171">
        <v>1000004</v>
      </c>
      <c r="B40" s="106" t="s">
        <v>10</v>
      </c>
      <c r="C40" s="58"/>
      <c r="D40" s="483"/>
      <c r="E40" s="3"/>
      <c r="F40" s="482">
        <v>2</v>
      </c>
      <c r="G40" s="482"/>
      <c r="H40" s="482">
        <v>2</v>
      </c>
      <c r="I40" s="482"/>
      <c r="J40" s="482">
        <v>2</v>
      </c>
      <c r="K40" s="482"/>
      <c r="L40" s="482"/>
      <c r="M40" s="482"/>
      <c r="N40" s="482"/>
      <c r="O40" s="482"/>
      <c r="P40" s="590">
        <f t="shared" si="0"/>
        <v>6</v>
      </c>
    </row>
    <row r="41" spans="1:16" ht="16.5" thickBot="1" x14ac:dyDescent="0.3">
      <c r="A41" s="171">
        <v>1000027</v>
      </c>
      <c r="B41" s="106" t="s">
        <v>33</v>
      </c>
      <c r="C41" s="58"/>
      <c r="D41" s="483"/>
      <c r="E41" s="3"/>
      <c r="F41" s="482"/>
      <c r="G41" s="482"/>
      <c r="H41" s="482"/>
      <c r="I41" s="482"/>
      <c r="J41" s="482"/>
      <c r="K41" s="482"/>
      <c r="L41" s="482"/>
      <c r="M41" s="482"/>
      <c r="N41" s="482"/>
      <c r="O41" s="482"/>
      <c r="P41" s="406">
        <f t="shared" si="0"/>
        <v>0</v>
      </c>
    </row>
    <row r="42" spans="1:16" ht="16.5" thickBot="1" x14ac:dyDescent="0.3">
      <c r="A42" s="171">
        <v>1000034</v>
      </c>
      <c r="B42" s="106" t="s">
        <v>28</v>
      </c>
      <c r="C42" s="58"/>
      <c r="D42" s="483"/>
      <c r="E42" s="3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06">
        <f t="shared" si="0"/>
        <v>0</v>
      </c>
    </row>
    <row r="43" spans="1:16" ht="16.5" thickBot="1" x14ac:dyDescent="0.3">
      <c r="A43" s="171">
        <v>1000045</v>
      </c>
      <c r="B43" s="106" t="s">
        <v>23</v>
      </c>
      <c r="C43" s="58"/>
      <c r="D43" s="483"/>
      <c r="E43" s="3"/>
      <c r="F43" s="482">
        <v>1</v>
      </c>
      <c r="G43" s="482"/>
      <c r="H43" s="482"/>
      <c r="I43" s="482"/>
      <c r="J43" s="482"/>
      <c r="K43" s="482"/>
      <c r="L43" s="482"/>
      <c r="M43" s="482"/>
      <c r="N43" s="482"/>
      <c r="O43" s="482"/>
      <c r="P43" s="590">
        <f t="shared" si="0"/>
        <v>1</v>
      </c>
    </row>
    <row r="44" spans="1:16" ht="16.5" thickBot="1" x14ac:dyDescent="0.3">
      <c r="A44" s="171">
        <v>1000029</v>
      </c>
      <c r="B44" s="106" t="s">
        <v>30</v>
      </c>
      <c r="C44" s="58"/>
      <c r="D44" s="483"/>
      <c r="E44" s="3"/>
      <c r="F44" s="482">
        <v>3</v>
      </c>
      <c r="G44" s="482"/>
      <c r="H44" s="482">
        <v>1</v>
      </c>
      <c r="I44" s="482"/>
      <c r="J44" s="482">
        <v>2</v>
      </c>
      <c r="K44" s="482"/>
      <c r="L44" s="482"/>
      <c r="M44" s="482"/>
      <c r="N44" s="482"/>
      <c r="O44" s="482"/>
      <c r="P44" s="590">
        <f t="shared" si="0"/>
        <v>6</v>
      </c>
    </row>
    <row r="45" spans="1:16" ht="16.5" thickBot="1" x14ac:dyDescent="0.3">
      <c r="A45" s="171">
        <v>1000057</v>
      </c>
      <c r="B45" s="106" t="s">
        <v>70</v>
      </c>
      <c r="C45" s="58"/>
      <c r="D45" s="483"/>
      <c r="E45" s="3"/>
      <c r="F45" s="482"/>
      <c r="G45" s="482"/>
      <c r="H45" s="482"/>
      <c r="I45" s="482"/>
      <c r="J45" s="482"/>
      <c r="K45" s="482"/>
      <c r="L45" s="482"/>
      <c r="M45" s="482"/>
      <c r="N45" s="482"/>
      <c r="O45" s="482"/>
      <c r="P45" s="406">
        <f t="shared" si="0"/>
        <v>0</v>
      </c>
    </row>
    <row r="46" spans="1:16" ht="16.5" thickBot="1" x14ac:dyDescent="0.3">
      <c r="A46" s="171">
        <v>1000036</v>
      </c>
      <c r="B46" s="106" t="s">
        <v>75</v>
      </c>
      <c r="C46" s="58"/>
      <c r="D46" s="483"/>
      <c r="E46" s="3"/>
      <c r="F46" s="482"/>
      <c r="G46" s="482"/>
      <c r="H46" s="482"/>
      <c r="I46" s="482"/>
      <c r="J46" s="482"/>
      <c r="K46" s="482"/>
      <c r="L46" s="482"/>
      <c r="M46" s="482"/>
      <c r="N46" s="482"/>
      <c r="O46" s="482"/>
      <c r="P46" s="406">
        <f t="shared" si="0"/>
        <v>0</v>
      </c>
    </row>
    <row r="47" spans="1:16" ht="16.5" thickBot="1" x14ac:dyDescent="0.3">
      <c r="A47" s="171">
        <v>1000486</v>
      </c>
      <c r="B47" s="106" t="s">
        <v>263</v>
      </c>
      <c r="C47" s="58"/>
      <c r="D47" s="483"/>
      <c r="E47" s="3"/>
      <c r="F47" s="482"/>
      <c r="G47" s="482"/>
      <c r="H47" s="482"/>
      <c r="I47" s="482"/>
      <c r="J47" s="482"/>
      <c r="K47" s="482"/>
      <c r="L47" s="482"/>
      <c r="M47" s="482"/>
      <c r="N47" s="482"/>
      <c r="O47" s="482"/>
      <c r="P47" s="406">
        <f t="shared" si="0"/>
        <v>0</v>
      </c>
    </row>
    <row r="48" spans="1:16" ht="16.5" thickBot="1" x14ac:dyDescent="0.3">
      <c r="A48" s="171">
        <v>1000070</v>
      </c>
      <c r="B48" s="106" t="s">
        <v>13</v>
      </c>
      <c r="C48" s="58"/>
      <c r="D48" s="483"/>
      <c r="E48" s="3"/>
      <c r="F48" s="482"/>
      <c r="G48" s="482"/>
      <c r="H48" s="482"/>
      <c r="I48" s="482"/>
      <c r="J48" s="482"/>
      <c r="K48" s="482"/>
      <c r="L48" s="482"/>
      <c r="M48" s="482"/>
      <c r="N48" s="482"/>
      <c r="O48" s="482"/>
      <c r="P48" s="406">
        <f t="shared" si="0"/>
        <v>0</v>
      </c>
    </row>
    <row r="49" spans="1:16" ht="16.5" thickBot="1" x14ac:dyDescent="0.3">
      <c r="A49" s="171">
        <v>1000075</v>
      </c>
      <c r="B49" s="106" t="s">
        <v>47</v>
      </c>
      <c r="C49" s="58"/>
      <c r="D49" s="483"/>
      <c r="E49" s="3"/>
      <c r="F49" s="482"/>
      <c r="G49" s="482"/>
      <c r="H49" s="482"/>
      <c r="I49" s="482"/>
      <c r="J49" s="482"/>
      <c r="K49" s="482"/>
      <c r="L49" s="482"/>
      <c r="M49" s="482"/>
      <c r="N49" s="482"/>
      <c r="O49" s="482"/>
      <c r="P49" s="406">
        <f t="shared" si="0"/>
        <v>0</v>
      </c>
    </row>
    <row r="50" spans="1:16" ht="16.5" thickBot="1" x14ac:dyDescent="0.3">
      <c r="A50" s="171">
        <v>1000080</v>
      </c>
      <c r="B50" s="106" t="s">
        <v>275</v>
      </c>
      <c r="C50" s="58"/>
      <c r="D50" s="483"/>
      <c r="E50" s="3"/>
      <c r="F50" s="482">
        <v>48</v>
      </c>
      <c r="G50" s="482"/>
      <c r="H50" s="482">
        <v>48</v>
      </c>
      <c r="I50" s="482"/>
      <c r="J50" s="482">
        <v>24</v>
      </c>
      <c r="K50" s="482"/>
      <c r="L50" s="482"/>
      <c r="M50" s="482"/>
      <c r="N50" s="482"/>
      <c r="O50" s="482"/>
      <c r="P50" s="590">
        <f t="shared" si="0"/>
        <v>120</v>
      </c>
    </row>
    <row r="51" spans="1:16" ht="16.5" thickBot="1" x14ac:dyDescent="0.3">
      <c r="A51" s="171">
        <v>1000436</v>
      </c>
      <c r="B51" s="106" t="s">
        <v>276</v>
      </c>
      <c r="C51" s="58"/>
      <c r="D51" s="483"/>
      <c r="E51" s="3"/>
      <c r="F51" s="482">
        <v>20</v>
      </c>
      <c r="G51" s="482"/>
      <c r="H51" s="482"/>
      <c r="I51" s="482"/>
      <c r="J51" s="482"/>
      <c r="K51" s="482"/>
      <c r="L51" s="482"/>
      <c r="M51" s="482"/>
      <c r="N51" s="482"/>
      <c r="O51" s="482"/>
      <c r="P51" s="590">
        <f t="shared" si="0"/>
        <v>20</v>
      </c>
    </row>
    <row r="52" spans="1:16" ht="16.5" thickBot="1" x14ac:dyDescent="0.3">
      <c r="A52" s="171">
        <v>1000550</v>
      </c>
      <c r="B52" s="106" t="s">
        <v>277</v>
      </c>
      <c r="C52" s="58"/>
      <c r="D52" s="483"/>
      <c r="E52" s="3"/>
      <c r="F52" s="482"/>
      <c r="G52" s="482"/>
      <c r="H52" s="482"/>
      <c r="I52" s="482"/>
      <c r="J52" s="482"/>
      <c r="K52" s="482"/>
      <c r="L52" s="482"/>
      <c r="M52" s="482"/>
      <c r="N52" s="482"/>
      <c r="O52" s="482"/>
      <c r="P52" s="406">
        <f t="shared" si="0"/>
        <v>0</v>
      </c>
    </row>
    <row r="53" spans="1:16" ht="16.5" thickBot="1" x14ac:dyDescent="0.3">
      <c r="A53" s="171">
        <v>1000551</v>
      </c>
      <c r="B53" s="106" t="s">
        <v>278</v>
      </c>
      <c r="C53" s="58"/>
      <c r="D53" s="483"/>
      <c r="E53" s="3"/>
      <c r="F53" s="482"/>
      <c r="G53" s="482"/>
      <c r="H53" s="482"/>
      <c r="I53" s="482"/>
      <c r="J53" s="482"/>
      <c r="K53" s="482"/>
      <c r="L53" s="482"/>
      <c r="M53" s="482"/>
      <c r="N53" s="482"/>
      <c r="O53" s="482"/>
      <c r="P53" s="406">
        <f t="shared" si="0"/>
        <v>0</v>
      </c>
    </row>
    <row r="54" spans="1:16" ht="16.5" thickBot="1" x14ac:dyDescent="0.3">
      <c r="A54" s="412">
        <v>1000552</v>
      </c>
      <c r="B54" s="413" t="s">
        <v>279</v>
      </c>
      <c r="C54" s="331"/>
      <c r="D54" s="484"/>
      <c r="E54" s="263"/>
      <c r="F54" s="482"/>
      <c r="G54" s="482"/>
      <c r="H54" s="482"/>
      <c r="I54" s="482"/>
      <c r="J54" s="482"/>
      <c r="K54" s="482"/>
      <c r="L54" s="482"/>
      <c r="M54" s="482"/>
      <c r="N54" s="482"/>
      <c r="O54" s="482"/>
      <c r="P54" s="406">
        <f t="shared" si="0"/>
        <v>0</v>
      </c>
    </row>
    <row r="55" spans="1:16" ht="16.5" thickBot="1" x14ac:dyDescent="0.3">
      <c r="A55" s="35">
        <v>1000092</v>
      </c>
      <c r="B55" s="12" t="s">
        <v>51</v>
      </c>
      <c r="C55" s="331"/>
      <c r="D55" s="484"/>
      <c r="E55" s="3"/>
      <c r="F55" s="482"/>
      <c r="G55" s="482"/>
      <c r="H55" s="482"/>
      <c r="I55" s="482"/>
      <c r="J55" s="482"/>
      <c r="K55" s="482"/>
      <c r="L55" s="482"/>
      <c r="M55" s="482"/>
      <c r="N55" s="482"/>
      <c r="O55" s="482"/>
      <c r="P55" s="406">
        <f t="shared" si="0"/>
        <v>0</v>
      </c>
    </row>
    <row r="56" spans="1:16" ht="16.5" thickBot="1" x14ac:dyDescent="0.3">
      <c r="A56" s="72">
        <v>1000057</v>
      </c>
      <c r="B56" s="68" t="s">
        <v>70</v>
      </c>
      <c r="C56" s="331"/>
      <c r="D56" s="484"/>
      <c r="E56" s="3"/>
      <c r="F56" s="482"/>
      <c r="G56" s="482"/>
      <c r="H56" s="482"/>
      <c r="I56" s="482"/>
      <c r="J56" s="482">
        <v>1</v>
      </c>
      <c r="K56" s="482"/>
      <c r="L56" s="482"/>
      <c r="M56" s="482"/>
      <c r="N56" s="482"/>
      <c r="O56" s="482"/>
      <c r="P56" s="590">
        <f t="shared" si="0"/>
        <v>1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1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11EE-5919-48F2-A572-5CC40CFADC7B}">
  <sheetPr>
    <tabColor theme="9" tint="-0.249977111117893"/>
    <pageSetUpPr fitToPage="1"/>
  </sheetPr>
  <dimension ref="A1:P53"/>
  <sheetViews>
    <sheetView topLeftCell="A16" zoomScale="96" zoomScaleNormal="96" workbookViewId="0">
      <selection activeCell="F42" sqref="F42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125" style="27" customWidth="1"/>
    <col min="4" max="4" width="8.375" style="27" bestFit="1" customWidth="1"/>
    <col min="5" max="5" width="1.375" style="27" customWidth="1"/>
    <col min="6" max="6" width="9.125" style="27" bestFit="1" customWidth="1"/>
    <col min="7" max="7" width="5.375" style="27" customWidth="1"/>
    <col min="8" max="8" width="9.125" style="27" bestFit="1" customWidth="1"/>
    <col min="9" max="9" width="5.375" style="27" customWidth="1"/>
    <col min="10" max="10" width="9.125" style="27" bestFit="1" customWidth="1"/>
    <col min="11" max="11" width="5.375" style="27" customWidth="1"/>
    <col min="12" max="12" width="9.125" style="27" bestFit="1" customWidth="1"/>
    <col min="13" max="13" width="4.625" style="27" customWidth="1"/>
    <col min="14" max="14" width="9.125" style="27" bestFit="1" customWidth="1"/>
    <col min="15" max="15" width="5" style="27" customWidth="1"/>
    <col min="16" max="16384" width="10.875" style="27"/>
  </cols>
  <sheetData>
    <row r="1" spans="1:16" ht="15" customHeight="1" x14ac:dyDescent="0.45">
      <c r="A1" s="686" t="s">
        <v>180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9.7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/>
      <c r="M2"/>
    </row>
    <row r="3" spans="1:16" s="3" customFormat="1" ht="18.75" customHeight="1" thickBot="1" x14ac:dyDescent="0.3">
      <c r="A3" s="5"/>
      <c r="B3" s="5" t="s">
        <v>416</v>
      </c>
      <c r="C3" s="18"/>
      <c r="D3" s="4"/>
      <c r="P3" s="449" t="s">
        <v>417</v>
      </c>
    </row>
    <row r="4" spans="1:16" s="3" customFormat="1" ht="12.75" customHeight="1" thickBot="1" x14ac:dyDescent="0.3">
      <c r="A4" s="6" t="s">
        <v>0</v>
      </c>
      <c r="B4" s="6" t="s">
        <v>105</v>
      </c>
      <c r="C4" s="4"/>
      <c r="D4" s="7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1000006</v>
      </c>
      <c r="B5" s="11" t="s">
        <v>4</v>
      </c>
      <c r="C5" s="41"/>
      <c r="D5" s="42">
        <f>50+50+40</f>
        <v>140</v>
      </c>
      <c r="F5" s="28">
        <v>100</v>
      </c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50" si="0">SUM(F5:O5)</f>
        <v>100</v>
      </c>
    </row>
    <row r="6" spans="1:16" ht="16.5" customHeight="1" thickBot="1" x14ac:dyDescent="0.3">
      <c r="A6" s="35">
        <v>1000007</v>
      </c>
      <c r="B6" s="12" t="s">
        <v>5</v>
      </c>
      <c r="C6" s="41"/>
      <c r="D6" s="43">
        <v>80</v>
      </c>
      <c r="F6" s="28">
        <v>100</v>
      </c>
      <c r="G6" s="28"/>
      <c r="H6" s="28"/>
      <c r="I6" s="28"/>
      <c r="J6" s="28"/>
      <c r="K6" s="28"/>
      <c r="L6" s="28"/>
      <c r="M6" s="28"/>
      <c r="N6" s="28"/>
      <c r="O6" s="28"/>
      <c r="P6" s="418">
        <f t="shared" si="0"/>
        <v>100</v>
      </c>
    </row>
    <row r="7" spans="1:16" ht="16.5" customHeight="1" thickBot="1" x14ac:dyDescent="0.3">
      <c r="A7" s="35">
        <v>1000008</v>
      </c>
      <c r="B7" s="12" t="s">
        <v>7</v>
      </c>
      <c r="C7" s="41"/>
      <c r="D7" s="43">
        <v>80</v>
      </c>
      <c r="F7" s="28">
        <v>100</v>
      </c>
      <c r="G7" s="28"/>
      <c r="H7" s="28"/>
      <c r="I7" s="28"/>
      <c r="J7" s="28"/>
      <c r="K7" s="28"/>
      <c r="L7" s="28"/>
      <c r="M7" s="28"/>
      <c r="N7" s="28"/>
      <c r="O7" s="28"/>
      <c r="P7" s="418">
        <f t="shared" si="0"/>
        <v>100</v>
      </c>
    </row>
    <row r="8" spans="1:16" ht="16.5" customHeight="1" thickBot="1" x14ac:dyDescent="0.3">
      <c r="A8" s="35">
        <v>1000001</v>
      </c>
      <c r="B8" s="12" t="s">
        <v>8</v>
      </c>
      <c r="C8" s="41"/>
      <c r="D8" s="43">
        <v>9</v>
      </c>
      <c r="F8" s="28">
        <v>3</v>
      </c>
      <c r="G8" s="28"/>
      <c r="H8" s="28"/>
      <c r="I8" s="28"/>
      <c r="J8" s="28"/>
      <c r="K8" s="28"/>
      <c r="L8" s="28"/>
      <c r="M8" s="28"/>
      <c r="N8" s="28"/>
      <c r="O8" s="28"/>
      <c r="P8" s="418">
        <f t="shared" si="0"/>
        <v>3</v>
      </c>
    </row>
    <row r="9" spans="1:16" ht="16.5" customHeight="1" thickBot="1" x14ac:dyDescent="0.3">
      <c r="A9" s="35">
        <v>1000002</v>
      </c>
      <c r="B9" s="12" t="s">
        <v>9</v>
      </c>
      <c r="C9" s="41"/>
      <c r="D9" s="43">
        <v>3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6.5" customHeight="1" thickBot="1" x14ac:dyDescent="0.3">
      <c r="A10" s="35">
        <v>1000067</v>
      </c>
      <c r="B10" s="12" t="s">
        <v>11</v>
      </c>
      <c r="C10" s="41"/>
      <c r="D10" s="43">
        <v>3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0">
        <f t="shared" si="0"/>
        <v>0</v>
      </c>
    </row>
    <row r="11" spans="1:16" ht="15.75" thickBot="1" x14ac:dyDescent="0.3">
      <c r="A11" s="35">
        <v>1000054</v>
      </c>
      <c r="B11" s="12" t="s">
        <v>12</v>
      </c>
      <c r="C11" s="41"/>
      <c r="D11" s="43">
        <v>5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418">
        <f t="shared" si="0"/>
        <v>0</v>
      </c>
    </row>
    <row r="12" spans="1:16" ht="15.75" thickBot="1" x14ac:dyDescent="0.3">
      <c r="A12" s="35">
        <v>1000070</v>
      </c>
      <c r="B12" s="12" t="s">
        <v>13</v>
      </c>
      <c r="C12" s="41"/>
      <c r="D12" s="43">
        <v>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18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10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418">
        <f t="shared" si="0"/>
        <v>0</v>
      </c>
    </row>
    <row r="14" spans="1:16" ht="15.75" thickBot="1" x14ac:dyDescent="0.3">
      <c r="A14" s="35">
        <v>1000025</v>
      </c>
      <c r="B14" s="12" t="s">
        <v>32</v>
      </c>
      <c r="C14" s="41"/>
      <c r="D14" s="43">
        <v>10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418">
        <f t="shared" si="0"/>
        <v>0</v>
      </c>
    </row>
    <row r="15" spans="1:16" ht="15.75" thickBot="1" x14ac:dyDescent="0.3">
      <c r="A15" s="115">
        <v>1000383</v>
      </c>
      <c r="B15" s="116" t="s">
        <v>231</v>
      </c>
      <c r="C15" s="41"/>
      <c r="D15" s="43">
        <v>30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1000146</v>
      </c>
      <c r="B16" s="12" t="s">
        <v>39</v>
      </c>
      <c r="C16" s="41"/>
      <c r="D16" s="43">
        <v>30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1000052</v>
      </c>
      <c r="B17" s="12" t="s">
        <v>41</v>
      </c>
      <c r="C17" s="41"/>
      <c r="D17" s="43">
        <v>6</v>
      </c>
      <c r="F17" s="28">
        <v>3</v>
      </c>
      <c r="G17" s="28"/>
      <c r="H17" s="28"/>
      <c r="I17" s="28"/>
      <c r="J17" s="28"/>
      <c r="K17" s="28"/>
      <c r="L17" s="28"/>
      <c r="M17" s="28"/>
      <c r="N17" s="28"/>
      <c r="O17" s="28"/>
      <c r="P17" s="418">
        <f t="shared" si="0"/>
        <v>3</v>
      </c>
    </row>
    <row r="18" spans="1:16" ht="15.75" thickBot="1" x14ac:dyDescent="0.3">
      <c r="A18" s="35">
        <v>1000089</v>
      </c>
      <c r="B18" s="12" t="s">
        <v>42</v>
      </c>
      <c r="C18" s="41"/>
      <c r="D18" s="43">
        <v>6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418">
        <f t="shared" si="0"/>
        <v>0</v>
      </c>
    </row>
    <row r="19" spans="1:16" ht="15.75" thickBot="1" x14ac:dyDescent="0.3">
      <c r="A19" s="35">
        <v>1000051</v>
      </c>
      <c r="B19" s="12" t="s">
        <v>43</v>
      </c>
      <c r="C19" s="41"/>
      <c r="D19" s="43">
        <v>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418">
        <f t="shared" si="0"/>
        <v>0</v>
      </c>
    </row>
    <row r="20" spans="1:16" ht="15.75" thickBot="1" x14ac:dyDescent="0.3">
      <c r="A20" s="35">
        <v>1000016</v>
      </c>
      <c r="B20" s="12" t="s">
        <v>15</v>
      </c>
      <c r="C20" s="41"/>
      <c r="D20" s="43">
        <v>10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67">
        <v>1000030</v>
      </c>
      <c r="B21" s="1" t="s">
        <v>24</v>
      </c>
      <c r="C21" s="41"/>
      <c r="D21" s="4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67">
        <v>1000032</v>
      </c>
      <c r="B22" s="1" t="s">
        <v>26</v>
      </c>
      <c r="C22" s="41"/>
      <c r="D22" s="4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70">
        <v>1000082</v>
      </c>
      <c r="B23" s="1" t="s">
        <v>37</v>
      </c>
      <c r="C23" s="41"/>
      <c r="D23" s="43"/>
      <c r="F23" s="28">
        <v>16</v>
      </c>
      <c r="G23" s="28"/>
      <c r="H23" s="28"/>
      <c r="I23" s="28"/>
      <c r="J23" s="28"/>
      <c r="K23" s="28"/>
      <c r="L23" s="28"/>
      <c r="M23" s="28"/>
      <c r="N23" s="28"/>
      <c r="O23" s="28"/>
      <c r="P23" s="418">
        <f t="shared" si="0"/>
        <v>16</v>
      </c>
    </row>
    <row r="24" spans="1:16" ht="15.75" thickBot="1" x14ac:dyDescent="0.3">
      <c r="A24" s="70">
        <v>1000049</v>
      </c>
      <c r="B24" s="1" t="s">
        <v>21</v>
      </c>
      <c r="C24" s="41"/>
      <c r="D24" s="4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0">
        <f t="shared" si="0"/>
        <v>0</v>
      </c>
    </row>
    <row r="25" spans="1:16" ht="15.75" thickBot="1" x14ac:dyDescent="0.3">
      <c r="A25" s="35">
        <v>1000087</v>
      </c>
      <c r="B25" s="12" t="s">
        <v>69</v>
      </c>
      <c r="C25" s="41"/>
      <c r="D25" s="43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418">
        <f t="shared" si="0"/>
        <v>0</v>
      </c>
    </row>
    <row r="26" spans="1:16" ht="15.75" thickBot="1" x14ac:dyDescent="0.3">
      <c r="A26" s="35">
        <v>1000004</v>
      </c>
      <c r="B26" s="12" t="s">
        <v>10</v>
      </c>
      <c r="C26" s="41"/>
      <c r="D26" s="4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1000031</v>
      </c>
      <c r="B27" s="12" t="s">
        <v>25</v>
      </c>
      <c r="C27" s="41"/>
      <c r="D27" s="4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1000048</v>
      </c>
      <c r="B28" s="12" t="s">
        <v>45</v>
      </c>
      <c r="C28" s="41"/>
      <c r="D28" s="4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418">
        <f t="shared" si="0"/>
        <v>0</v>
      </c>
    </row>
    <row r="29" spans="1:16" ht="15.75" thickBot="1" x14ac:dyDescent="0.3">
      <c r="A29" s="35">
        <v>1000073</v>
      </c>
      <c r="B29" s="12" t="s">
        <v>36</v>
      </c>
      <c r="C29" s="41"/>
      <c r="D29" s="4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>
        <f t="shared" si="0"/>
        <v>0</v>
      </c>
    </row>
    <row r="30" spans="1:16" ht="15.75" thickBot="1" x14ac:dyDescent="0.3">
      <c r="A30" s="35">
        <v>1000033</v>
      </c>
      <c r="B30" s="12" t="s">
        <v>27</v>
      </c>
      <c r="C30" s="41"/>
      <c r="D30" s="43"/>
      <c r="F30" s="28">
        <v>1</v>
      </c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1</v>
      </c>
    </row>
    <row r="31" spans="1:16" ht="15.75" thickBot="1" x14ac:dyDescent="0.3">
      <c r="A31" s="35">
        <v>1000142</v>
      </c>
      <c r="B31" s="12" t="s">
        <v>54</v>
      </c>
      <c r="C31" s="41"/>
      <c r="D31" s="4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1000101</v>
      </c>
      <c r="B32" s="12" t="s">
        <v>35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1000045</v>
      </c>
      <c r="B33" s="12" t="s">
        <v>23</v>
      </c>
      <c r="C33" s="41"/>
      <c r="D33" s="4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1000029</v>
      </c>
      <c r="B34" s="12" t="s">
        <v>30</v>
      </c>
      <c r="C34" s="41"/>
      <c r="D34" s="4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418">
        <f t="shared" si="0"/>
        <v>0</v>
      </c>
    </row>
    <row r="35" spans="1:16" ht="15.75" thickBot="1" x14ac:dyDescent="0.3">
      <c r="A35" s="35">
        <v>1000050</v>
      </c>
      <c r="B35" s="12" t="s">
        <v>22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1000472</v>
      </c>
      <c r="B36" s="12" t="s">
        <v>222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1000486</v>
      </c>
      <c r="B37" s="12" t="s">
        <v>263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418">
        <f t="shared" si="0"/>
        <v>0</v>
      </c>
    </row>
    <row r="38" spans="1:16" ht="15.75" thickBot="1" x14ac:dyDescent="0.3">
      <c r="A38" s="35">
        <v>10248</v>
      </c>
      <c r="B38" s="12" t="s">
        <v>183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418">
        <f t="shared" si="0"/>
        <v>0</v>
      </c>
    </row>
    <row r="39" spans="1:16" ht="15.75" thickBot="1" x14ac:dyDescent="0.3">
      <c r="A39" s="35">
        <v>1000090</v>
      </c>
      <c r="B39" s="12" t="s">
        <v>40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418">
        <f t="shared" si="0"/>
        <v>0</v>
      </c>
    </row>
    <row r="40" spans="1:16" ht="15.75" thickBot="1" x14ac:dyDescent="0.3">
      <c r="A40" s="35">
        <v>10211</v>
      </c>
      <c r="B40" s="12" t="s">
        <v>3</v>
      </c>
      <c r="C40" s="41"/>
      <c r="D40" s="43"/>
      <c r="F40" s="28">
        <v>100</v>
      </c>
      <c r="G40" s="28"/>
      <c r="H40" s="28"/>
      <c r="I40" s="28"/>
      <c r="J40" s="28"/>
      <c r="K40" s="28"/>
      <c r="L40" s="28"/>
      <c r="M40" s="28"/>
      <c r="N40" s="28"/>
      <c r="O40" s="28"/>
      <c r="P40" s="418">
        <f t="shared" si="0"/>
        <v>100</v>
      </c>
    </row>
    <row r="41" spans="1:16" ht="15.75" thickBot="1" x14ac:dyDescent="0.3">
      <c r="A41" s="35">
        <v>1000084</v>
      </c>
      <c r="B41" s="12" t="s">
        <v>38</v>
      </c>
      <c r="C41" s="41"/>
      <c r="D41" s="43"/>
      <c r="F41" s="28">
        <v>8</v>
      </c>
      <c r="G41" s="28"/>
      <c r="H41" s="28"/>
      <c r="I41" s="28"/>
      <c r="J41" s="28"/>
      <c r="K41" s="28"/>
      <c r="L41" s="28"/>
      <c r="M41" s="28"/>
      <c r="N41" s="28"/>
      <c r="O41" s="28"/>
      <c r="P41" s="418">
        <f t="shared" si="0"/>
        <v>8</v>
      </c>
    </row>
    <row r="42" spans="1:16" ht="15.75" thickBot="1" x14ac:dyDescent="0.3">
      <c r="A42" s="35">
        <v>1000080</v>
      </c>
      <c r="B42" s="12" t="s">
        <v>275</v>
      </c>
      <c r="C42" s="41"/>
      <c r="D42" s="4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1000436</v>
      </c>
      <c r="B43" s="12" t="s">
        <v>276</v>
      </c>
      <c r="C43" s="41"/>
      <c r="D43" s="4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1000550</v>
      </c>
      <c r="B44" s="12" t="s">
        <v>277</v>
      </c>
      <c r="C44" s="41"/>
      <c r="D44" s="4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6.5" thickBot="1" x14ac:dyDescent="0.3">
      <c r="A45" s="36">
        <v>1000551</v>
      </c>
      <c r="B45" s="12" t="s">
        <v>278</v>
      </c>
      <c r="C45"/>
      <c r="D45" s="35"/>
      <c r="E45" s="21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6.5" thickBot="1" x14ac:dyDescent="0.3">
      <c r="A46" s="207">
        <v>1000552</v>
      </c>
      <c r="B46" s="246" t="s">
        <v>279</v>
      </c>
      <c r="C46"/>
      <c r="D46" s="38"/>
      <c r="E46" s="215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1000371</v>
      </c>
      <c r="B47" s="12" t="s">
        <v>74</v>
      </c>
      <c r="D47" s="3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1000027</v>
      </c>
      <c r="B48" s="12" t="s">
        <v>33</v>
      </c>
      <c r="D48" s="3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418">
        <f t="shared" si="0"/>
        <v>0</v>
      </c>
    </row>
    <row r="49" spans="1:16" ht="15.75" thickBot="1" x14ac:dyDescent="0.3">
      <c r="A49" s="35">
        <v>1000439</v>
      </c>
      <c r="B49" s="12" t="s">
        <v>193</v>
      </c>
      <c r="D49" s="3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0">
        <f t="shared" si="0"/>
        <v>0</v>
      </c>
    </row>
    <row r="50" spans="1:16" ht="15.75" thickBot="1" x14ac:dyDescent="0.3">
      <c r="A50" s="12">
        <v>1000036</v>
      </c>
      <c r="B50" s="12" t="s">
        <v>75</v>
      </c>
      <c r="D50" s="3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12"/>
      <c r="B51" s="12" t="s">
        <v>450</v>
      </c>
      <c r="D51" s="3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ref="P51" si="1">SUM(F51:O51)</f>
        <v>0</v>
      </c>
    </row>
    <row r="52" spans="1:16" ht="15.75" thickBot="1" x14ac:dyDescent="0.3">
      <c r="A52" s="35">
        <v>1000214</v>
      </c>
      <c r="B52" s="12" t="s">
        <v>49</v>
      </c>
      <c r="D52" s="3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30">
        <f t="shared" ref="P52:P53" si="2">SUM(F52:O52)</f>
        <v>0</v>
      </c>
    </row>
    <row r="53" spans="1:16" ht="15.75" thickBot="1" x14ac:dyDescent="0.3">
      <c r="A53" s="35">
        <v>1000057</v>
      </c>
      <c r="B53" s="22" t="s">
        <v>70</v>
      </c>
      <c r="D53" s="3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2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71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EA0C-E7FA-4DCD-8A17-EBB875425440}">
  <sheetPr>
    <tabColor theme="9" tint="-0.249977111117893"/>
    <pageSetUpPr fitToPage="1"/>
  </sheetPr>
  <dimension ref="A1:P58"/>
  <sheetViews>
    <sheetView topLeftCell="A34" workbookViewId="0">
      <selection activeCell="P41" sqref="P41"/>
    </sheetView>
  </sheetViews>
  <sheetFormatPr baseColWidth="10" defaultColWidth="10.875" defaultRowHeight="15" x14ac:dyDescent="0.25"/>
  <cols>
    <col min="1" max="1" width="10.375" style="227" customWidth="1"/>
    <col min="2" max="2" width="39.375" style="227" customWidth="1"/>
    <col min="3" max="3" width="1.375" style="227" customWidth="1"/>
    <col min="4" max="4" width="8.125" style="227" bestFit="1" customWidth="1"/>
    <col min="5" max="5" width="2.125" style="227" customWidth="1"/>
    <col min="6" max="6" width="9.125" style="227" bestFit="1" customWidth="1"/>
    <col min="7" max="7" width="4" style="227" customWidth="1"/>
    <col min="8" max="8" width="9.125" style="227" bestFit="1" customWidth="1"/>
    <col min="9" max="9" width="4.625" style="227" customWidth="1"/>
    <col min="10" max="10" width="9.125" style="227" bestFit="1" customWidth="1"/>
    <col min="11" max="11" width="4.75" style="227" customWidth="1"/>
    <col min="12" max="12" width="9.125" style="227" bestFit="1" customWidth="1"/>
    <col min="13" max="13" width="4.5" style="227" customWidth="1"/>
    <col min="14" max="14" width="9.125" style="227" bestFit="1" customWidth="1"/>
    <col min="15" max="15" width="5" style="227" customWidth="1"/>
    <col min="16" max="16384" width="10.875" style="227"/>
  </cols>
  <sheetData>
    <row r="1" spans="1:16" ht="15" customHeight="1" x14ac:dyDescent="0.45">
      <c r="A1" s="686" t="s">
        <v>228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6.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/>
      <c r="M2"/>
      <c r="N2"/>
      <c r="P2" s="449" t="s">
        <v>420</v>
      </c>
    </row>
    <row r="3" spans="1:16" s="3" customFormat="1" ht="7.5" customHeight="1" thickBot="1" x14ac:dyDescent="0.3">
      <c r="A3" s="5"/>
      <c r="B3" s="5"/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2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357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228">
        <v>10000015</v>
      </c>
      <c r="B5" s="11" t="s">
        <v>1</v>
      </c>
      <c r="C5" s="229"/>
      <c r="D5" s="230"/>
      <c r="F5" s="231">
        <v>5</v>
      </c>
      <c r="G5" s="231"/>
      <c r="H5" s="231"/>
      <c r="I5" s="231"/>
      <c r="J5" s="231"/>
      <c r="K5" s="231"/>
      <c r="L5" s="231"/>
      <c r="M5" s="231"/>
      <c r="N5" s="231"/>
      <c r="O5" s="231"/>
      <c r="P5" s="600">
        <f t="shared" ref="P5:P58" si="0">SUM(F5:O5)</f>
        <v>5</v>
      </c>
    </row>
    <row r="6" spans="1:16" ht="15.75" thickBot="1" x14ac:dyDescent="0.3">
      <c r="A6" s="233">
        <v>10000102</v>
      </c>
      <c r="B6" s="12" t="s">
        <v>2</v>
      </c>
      <c r="C6" s="229"/>
      <c r="D6" s="234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28">
        <f t="shared" si="0"/>
        <v>0</v>
      </c>
    </row>
    <row r="7" spans="1:16" ht="15.75" thickBot="1" x14ac:dyDescent="0.3">
      <c r="A7" s="233">
        <v>1000006</v>
      </c>
      <c r="B7" s="12" t="s">
        <v>4</v>
      </c>
      <c r="C7" s="229"/>
      <c r="D7" s="234"/>
      <c r="F7" s="231">
        <v>50</v>
      </c>
      <c r="G7" s="231"/>
      <c r="H7" s="231"/>
      <c r="I7" s="231"/>
      <c r="J7" s="231"/>
      <c r="K7" s="231"/>
      <c r="L7" s="231"/>
      <c r="M7" s="231"/>
      <c r="N7" s="231"/>
      <c r="O7" s="231"/>
      <c r="P7" s="600">
        <f t="shared" si="0"/>
        <v>50</v>
      </c>
    </row>
    <row r="8" spans="1:16" ht="15.75" thickBot="1" x14ac:dyDescent="0.3">
      <c r="A8" s="233">
        <v>1000007</v>
      </c>
      <c r="B8" s="12" t="s">
        <v>5</v>
      </c>
      <c r="C8" s="229"/>
      <c r="D8" s="234"/>
      <c r="F8" s="231">
        <v>50</v>
      </c>
      <c r="G8" s="231"/>
      <c r="H8" s="231"/>
      <c r="I8" s="231"/>
      <c r="J8" s="231"/>
      <c r="K8" s="231"/>
      <c r="L8" s="231"/>
      <c r="M8" s="231"/>
      <c r="N8" s="231"/>
      <c r="O8" s="231"/>
      <c r="P8" s="600">
        <f t="shared" si="0"/>
        <v>50</v>
      </c>
    </row>
    <row r="9" spans="1:16" ht="15.75" thickBot="1" x14ac:dyDescent="0.3">
      <c r="A9" s="233">
        <v>1000001</v>
      </c>
      <c r="B9" s="12" t="s">
        <v>8</v>
      </c>
      <c r="C9" s="229"/>
      <c r="D9" s="234"/>
      <c r="F9" s="231">
        <v>6</v>
      </c>
      <c r="G9" s="231"/>
      <c r="H9" s="231"/>
      <c r="I9" s="231"/>
      <c r="J9" s="231"/>
      <c r="K9" s="231"/>
      <c r="L9" s="231"/>
      <c r="M9" s="231"/>
      <c r="N9" s="231"/>
      <c r="O9" s="231"/>
      <c r="P9" s="600">
        <f t="shared" si="0"/>
        <v>6</v>
      </c>
    </row>
    <row r="10" spans="1:16" ht="15.75" thickBot="1" x14ac:dyDescent="0.3">
      <c r="A10" s="233">
        <v>1000002</v>
      </c>
      <c r="B10" s="12" t="s">
        <v>9</v>
      </c>
      <c r="C10" s="229"/>
      <c r="D10" s="234"/>
      <c r="F10" s="231">
        <v>2</v>
      </c>
      <c r="G10" s="231"/>
      <c r="H10" s="231"/>
      <c r="I10" s="231"/>
      <c r="J10" s="231"/>
      <c r="K10" s="231"/>
      <c r="L10" s="231"/>
      <c r="M10" s="231"/>
      <c r="N10" s="231"/>
      <c r="O10" s="231"/>
      <c r="P10" s="600">
        <f t="shared" si="0"/>
        <v>2</v>
      </c>
    </row>
    <row r="11" spans="1:16" ht="15.75" thickBot="1" x14ac:dyDescent="0.3">
      <c r="A11" s="233">
        <v>1000054</v>
      </c>
      <c r="B11" s="12" t="s">
        <v>12</v>
      </c>
      <c r="C11" s="229"/>
      <c r="D11" s="234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28">
        <f t="shared" si="0"/>
        <v>0</v>
      </c>
    </row>
    <row r="12" spans="1:16" ht="15.75" thickBot="1" x14ac:dyDescent="0.3">
      <c r="A12" s="233">
        <v>1000472</v>
      </c>
      <c r="B12" s="12" t="s">
        <v>222</v>
      </c>
      <c r="C12" s="229"/>
      <c r="D12" s="234"/>
      <c r="F12" s="231">
        <v>4</v>
      </c>
      <c r="G12" s="231"/>
      <c r="H12" s="231"/>
      <c r="I12" s="231"/>
      <c r="J12" s="231"/>
      <c r="K12" s="231"/>
      <c r="L12" s="231"/>
      <c r="M12" s="231"/>
      <c r="N12" s="231"/>
      <c r="O12" s="231"/>
      <c r="P12" s="600">
        <f t="shared" si="0"/>
        <v>4</v>
      </c>
    </row>
    <row r="13" spans="1:16" ht="15.75" thickBot="1" x14ac:dyDescent="0.3">
      <c r="A13" s="233">
        <v>1000017</v>
      </c>
      <c r="B13" s="12" t="s">
        <v>14</v>
      </c>
      <c r="C13" s="229"/>
      <c r="D13" s="234"/>
      <c r="F13" s="231">
        <v>10</v>
      </c>
      <c r="G13" s="231"/>
      <c r="H13" s="231"/>
      <c r="I13" s="231"/>
      <c r="J13" s="231"/>
      <c r="K13" s="231"/>
      <c r="L13" s="231"/>
      <c r="M13" s="231"/>
      <c r="N13" s="231"/>
      <c r="O13" s="231"/>
      <c r="P13" s="600">
        <f t="shared" si="0"/>
        <v>10</v>
      </c>
    </row>
    <row r="14" spans="1:16" ht="15.75" thickBot="1" x14ac:dyDescent="0.3">
      <c r="A14" s="233">
        <v>1000016</v>
      </c>
      <c r="B14" s="12" t="s">
        <v>15</v>
      </c>
      <c r="C14" s="229"/>
      <c r="D14" s="234"/>
      <c r="F14" s="231">
        <v>5</v>
      </c>
      <c r="G14" s="231"/>
      <c r="H14" s="231"/>
      <c r="I14" s="231"/>
      <c r="J14" s="231"/>
      <c r="K14" s="231"/>
      <c r="L14" s="231"/>
      <c r="M14" s="231"/>
      <c r="N14" s="231"/>
      <c r="O14" s="231"/>
      <c r="P14" s="600">
        <f t="shared" si="0"/>
        <v>5</v>
      </c>
    </row>
    <row r="15" spans="1:16" ht="15.75" thickBot="1" x14ac:dyDescent="0.3">
      <c r="A15" s="233">
        <v>1000041</v>
      </c>
      <c r="B15" s="12" t="s">
        <v>16</v>
      </c>
      <c r="C15" s="229"/>
      <c r="D15" s="234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28">
        <f t="shared" si="0"/>
        <v>0</v>
      </c>
    </row>
    <row r="16" spans="1:16" ht="15.75" thickBot="1" x14ac:dyDescent="0.3">
      <c r="A16" s="233">
        <v>1000049</v>
      </c>
      <c r="B16" s="12" t="s">
        <v>21</v>
      </c>
      <c r="C16" s="229"/>
      <c r="D16" s="234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28">
        <f t="shared" si="0"/>
        <v>0</v>
      </c>
    </row>
    <row r="17" spans="1:16" ht="15.75" thickBot="1" x14ac:dyDescent="0.3">
      <c r="A17" s="233">
        <v>1000050</v>
      </c>
      <c r="B17" s="12" t="s">
        <v>22</v>
      </c>
      <c r="C17" s="229"/>
      <c r="D17" s="234"/>
      <c r="F17" s="231">
        <v>2</v>
      </c>
      <c r="G17" s="231"/>
      <c r="H17" s="231"/>
      <c r="I17" s="231"/>
      <c r="J17" s="231"/>
      <c r="K17" s="231"/>
      <c r="L17" s="231"/>
      <c r="M17" s="231"/>
      <c r="N17" s="231"/>
      <c r="O17" s="231"/>
      <c r="P17" s="600">
        <f t="shared" si="0"/>
        <v>2</v>
      </c>
    </row>
    <row r="18" spans="1:16" ht="15.75" thickBot="1" x14ac:dyDescent="0.3">
      <c r="A18" s="233">
        <v>1000031</v>
      </c>
      <c r="B18" s="12" t="s">
        <v>25</v>
      </c>
      <c r="C18" s="229"/>
      <c r="D18" s="234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28">
        <f t="shared" si="0"/>
        <v>0</v>
      </c>
    </row>
    <row r="19" spans="1:16" ht="15.75" thickBot="1" x14ac:dyDescent="0.3">
      <c r="A19" s="233">
        <v>1000026</v>
      </c>
      <c r="B19" s="12" t="s">
        <v>31</v>
      </c>
      <c r="C19" s="229"/>
      <c r="D19" s="234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28">
        <f t="shared" si="0"/>
        <v>0</v>
      </c>
    </row>
    <row r="20" spans="1:16" ht="15.75" thickBot="1" x14ac:dyDescent="0.3">
      <c r="A20" s="233">
        <v>1000025</v>
      </c>
      <c r="B20" s="12" t="s">
        <v>32</v>
      </c>
      <c r="C20" s="229"/>
      <c r="D20" s="234"/>
      <c r="F20" s="231">
        <v>5</v>
      </c>
      <c r="G20" s="231"/>
      <c r="H20" s="231"/>
      <c r="I20" s="231"/>
      <c r="J20" s="231"/>
      <c r="K20" s="231"/>
      <c r="L20" s="231"/>
      <c r="M20" s="231"/>
      <c r="N20" s="231"/>
      <c r="O20" s="231"/>
      <c r="P20" s="600">
        <f t="shared" si="0"/>
        <v>5</v>
      </c>
    </row>
    <row r="21" spans="1:16" ht="15.75" thickBot="1" x14ac:dyDescent="0.3">
      <c r="A21" s="233">
        <v>1000100</v>
      </c>
      <c r="B21" s="12" t="s">
        <v>34</v>
      </c>
      <c r="C21" s="229"/>
      <c r="D21" s="234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28">
        <f t="shared" si="0"/>
        <v>0</v>
      </c>
    </row>
    <row r="22" spans="1:16" ht="15.75" thickBot="1" x14ac:dyDescent="0.3">
      <c r="A22" s="233">
        <v>1000073</v>
      </c>
      <c r="B22" s="12" t="s">
        <v>36</v>
      </c>
      <c r="C22" s="229"/>
      <c r="D22" s="234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28">
        <f t="shared" si="0"/>
        <v>0</v>
      </c>
    </row>
    <row r="23" spans="1:16" ht="15.75" thickBot="1" x14ac:dyDescent="0.3">
      <c r="A23" s="233">
        <v>1000146</v>
      </c>
      <c r="B23" s="12" t="s">
        <v>39</v>
      </c>
      <c r="C23" s="229"/>
      <c r="D23" s="234"/>
      <c r="F23" s="231">
        <v>10</v>
      </c>
      <c r="G23" s="231"/>
      <c r="H23" s="231"/>
      <c r="I23" s="231"/>
      <c r="J23" s="231"/>
      <c r="K23" s="231"/>
      <c r="L23" s="231"/>
      <c r="M23" s="231"/>
      <c r="N23" s="231"/>
      <c r="O23" s="231"/>
      <c r="P23" s="600">
        <f t="shared" si="0"/>
        <v>10</v>
      </c>
    </row>
    <row r="24" spans="1:16" ht="15.75" thickBot="1" x14ac:dyDescent="0.3">
      <c r="A24" s="233">
        <v>10248</v>
      </c>
      <c r="B24" s="12" t="s">
        <v>183</v>
      </c>
      <c r="C24" s="229"/>
      <c r="D24" s="234"/>
      <c r="F24" s="231">
        <v>6</v>
      </c>
      <c r="G24" s="231"/>
      <c r="H24" s="231"/>
      <c r="I24" s="231"/>
      <c r="J24" s="231"/>
      <c r="K24" s="231"/>
      <c r="L24" s="231"/>
      <c r="M24" s="231"/>
      <c r="N24" s="231"/>
      <c r="O24" s="231"/>
      <c r="P24" s="600">
        <f t="shared" si="0"/>
        <v>6</v>
      </c>
    </row>
    <row r="25" spans="1:16" ht="15.75" thickBot="1" x14ac:dyDescent="0.3">
      <c r="A25" s="233">
        <v>1000052</v>
      </c>
      <c r="B25" s="12" t="s">
        <v>41</v>
      </c>
      <c r="C25" s="229"/>
      <c r="D25" s="234"/>
      <c r="F25" s="231">
        <v>3</v>
      </c>
      <c r="G25" s="231"/>
      <c r="H25" s="231"/>
      <c r="I25" s="231"/>
      <c r="J25" s="231"/>
      <c r="K25" s="231"/>
      <c r="L25" s="231"/>
      <c r="M25" s="231"/>
      <c r="N25" s="231"/>
      <c r="O25" s="231"/>
      <c r="P25" s="600">
        <f t="shared" si="0"/>
        <v>3</v>
      </c>
    </row>
    <row r="26" spans="1:16" ht="15.75" thickBot="1" x14ac:dyDescent="0.3">
      <c r="A26" s="233">
        <v>1000089</v>
      </c>
      <c r="B26" s="12" t="s">
        <v>42</v>
      </c>
      <c r="C26" s="229"/>
      <c r="D26" s="234"/>
      <c r="F26" s="231">
        <v>3</v>
      </c>
      <c r="G26" s="231"/>
      <c r="H26" s="231"/>
      <c r="I26" s="231"/>
      <c r="J26" s="231"/>
      <c r="K26" s="231"/>
      <c r="L26" s="231"/>
      <c r="M26" s="231"/>
      <c r="N26" s="231"/>
      <c r="O26" s="231"/>
      <c r="P26" s="600">
        <f t="shared" si="0"/>
        <v>3</v>
      </c>
    </row>
    <row r="27" spans="1:16" ht="15.75" thickBot="1" x14ac:dyDescent="0.3">
      <c r="A27" s="233">
        <v>1000051</v>
      </c>
      <c r="B27" s="12" t="s">
        <v>43</v>
      </c>
      <c r="C27" s="229"/>
      <c r="D27" s="234"/>
      <c r="F27" s="231">
        <v>3</v>
      </c>
      <c r="G27" s="231"/>
      <c r="H27" s="231"/>
      <c r="I27" s="231"/>
      <c r="J27" s="231"/>
      <c r="K27" s="231"/>
      <c r="L27" s="231"/>
      <c r="M27" s="231"/>
      <c r="N27" s="231"/>
      <c r="O27" s="231"/>
      <c r="P27" s="600">
        <f t="shared" si="0"/>
        <v>3</v>
      </c>
    </row>
    <row r="28" spans="1:16" ht="15.75" thickBot="1" x14ac:dyDescent="0.3">
      <c r="A28" s="233">
        <v>1000048</v>
      </c>
      <c r="B28" s="12" t="s">
        <v>45</v>
      </c>
      <c r="C28" s="229"/>
      <c r="D28" s="234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28">
        <f t="shared" si="0"/>
        <v>0</v>
      </c>
    </row>
    <row r="29" spans="1:16" ht="15.75" thickBot="1" x14ac:dyDescent="0.3">
      <c r="A29" s="233">
        <v>1000076</v>
      </c>
      <c r="B29" s="12" t="s">
        <v>46</v>
      </c>
      <c r="C29" s="229"/>
      <c r="D29" s="234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28">
        <f t="shared" si="0"/>
        <v>0</v>
      </c>
    </row>
    <row r="30" spans="1:16" ht="15.75" thickBot="1" x14ac:dyDescent="0.3">
      <c r="A30" s="233">
        <v>1000142</v>
      </c>
      <c r="B30" s="12" t="s">
        <v>54</v>
      </c>
      <c r="C30" s="229"/>
      <c r="D30" s="234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28">
        <f t="shared" si="0"/>
        <v>0</v>
      </c>
    </row>
    <row r="31" spans="1:16" ht="15.75" thickBot="1" x14ac:dyDescent="0.3">
      <c r="A31" s="233">
        <v>1000008</v>
      </c>
      <c r="B31" s="12" t="s">
        <v>7</v>
      </c>
      <c r="C31" s="229"/>
      <c r="D31" s="234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28">
        <f t="shared" si="0"/>
        <v>0</v>
      </c>
    </row>
    <row r="32" spans="1:16" ht="15.75" thickBot="1" x14ac:dyDescent="0.3">
      <c r="A32" s="233">
        <v>1000082</v>
      </c>
      <c r="B32" s="12" t="s">
        <v>37</v>
      </c>
      <c r="C32" s="229"/>
      <c r="D32" s="234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28">
        <f t="shared" si="0"/>
        <v>0</v>
      </c>
    </row>
    <row r="33" spans="1:16" s="15" customFormat="1" ht="15.95" customHeight="1" thickBot="1" x14ac:dyDescent="0.3">
      <c r="A33" s="233">
        <v>1000084</v>
      </c>
      <c r="B33" s="12" t="s">
        <v>38</v>
      </c>
      <c r="C33" s="229"/>
      <c r="D33" s="234"/>
      <c r="E33" s="227"/>
      <c r="F33" s="231">
        <v>4</v>
      </c>
      <c r="G33" s="231"/>
      <c r="H33" s="231"/>
      <c r="I33" s="231"/>
      <c r="J33" s="231"/>
      <c r="K33" s="231"/>
      <c r="L33" s="231"/>
      <c r="M33" s="231"/>
      <c r="N33" s="231"/>
      <c r="O33" s="231"/>
      <c r="P33" s="600">
        <f t="shared" si="0"/>
        <v>4</v>
      </c>
    </row>
    <row r="34" spans="1:16" ht="15.75" thickBot="1" x14ac:dyDescent="0.3">
      <c r="A34" s="233">
        <v>1000036</v>
      </c>
      <c r="B34" s="12" t="s">
        <v>75</v>
      </c>
      <c r="C34" s="229"/>
      <c r="D34" s="234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28">
        <f t="shared" si="0"/>
        <v>0</v>
      </c>
    </row>
    <row r="35" spans="1:16" ht="15.75" thickBot="1" x14ac:dyDescent="0.3">
      <c r="A35" s="233">
        <v>1000033</v>
      </c>
      <c r="B35" s="12" t="s">
        <v>27</v>
      </c>
      <c r="C35" s="229"/>
      <c r="D35" s="234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28">
        <f t="shared" si="0"/>
        <v>0</v>
      </c>
    </row>
    <row r="36" spans="1:16" ht="15.75" thickBot="1" x14ac:dyDescent="0.3">
      <c r="A36" s="233">
        <v>1000446</v>
      </c>
      <c r="B36" s="12" t="s">
        <v>201</v>
      </c>
      <c r="C36" s="229"/>
      <c r="D36" s="234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28">
        <f t="shared" si="0"/>
        <v>0</v>
      </c>
    </row>
    <row r="37" spans="1:16" ht="15.75" thickBot="1" x14ac:dyDescent="0.3">
      <c r="A37" s="233">
        <v>1000067</v>
      </c>
      <c r="B37" s="12" t="s">
        <v>11</v>
      </c>
      <c r="C37" s="229"/>
      <c r="D37" s="234"/>
      <c r="F37" s="231">
        <v>4</v>
      </c>
      <c r="G37" s="231"/>
      <c r="H37" s="231"/>
      <c r="I37" s="231"/>
      <c r="J37" s="231"/>
      <c r="K37" s="231"/>
      <c r="L37" s="231"/>
      <c r="M37" s="231"/>
      <c r="N37" s="231"/>
      <c r="O37" s="231"/>
      <c r="P37" s="600">
        <f t="shared" si="0"/>
        <v>4</v>
      </c>
    </row>
    <row r="38" spans="1:16" ht="15.75" thickBot="1" x14ac:dyDescent="0.3">
      <c r="A38" s="233">
        <v>1000147</v>
      </c>
      <c r="B38" s="12" t="s">
        <v>52</v>
      </c>
      <c r="C38" s="229"/>
      <c r="D38" s="234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28">
        <f t="shared" si="0"/>
        <v>0</v>
      </c>
    </row>
    <row r="39" spans="1:16" ht="15.75" thickBot="1" x14ac:dyDescent="0.3">
      <c r="A39" s="233">
        <v>1000004</v>
      </c>
      <c r="B39" s="12" t="s">
        <v>10</v>
      </c>
      <c r="C39" s="229"/>
      <c r="D39" s="234"/>
      <c r="F39" s="231">
        <v>6</v>
      </c>
      <c r="G39" s="231"/>
      <c r="H39" s="231"/>
      <c r="I39" s="231"/>
      <c r="J39" s="231"/>
      <c r="K39" s="231"/>
      <c r="L39" s="231"/>
      <c r="M39" s="231"/>
      <c r="N39" s="231"/>
      <c r="O39" s="231"/>
      <c r="P39" s="600">
        <f t="shared" si="0"/>
        <v>6</v>
      </c>
    </row>
    <row r="40" spans="1:16" ht="15.75" thickBot="1" x14ac:dyDescent="0.3">
      <c r="A40" s="233">
        <v>1000027</v>
      </c>
      <c r="B40" s="12" t="s">
        <v>33</v>
      </c>
      <c r="C40" s="229"/>
      <c r="D40" s="234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28">
        <f t="shared" si="0"/>
        <v>0</v>
      </c>
    </row>
    <row r="41" spans="1:16" ht="15.75" thickBot="1" x14ac:dyDescent="0.3">
      <c r="A41" s="233">
        <v>1000034</v>
      </c>
      <c r="B41" s="12" t="s">
        <v>28</v>
      </c>
      <c r="C41" s="229"/>
      <c r="D41" s="234"/>
      <c r="F41" s="231">
        <v>1</v>
      </c>
      <c r="G41" s="231"/>
      <c r="H41" s="231"/>
      <c r="I41" s="231"/>
      <c r="J41" s="231"/>
      <c r="K41" s="231"/>
      <c r="L41" s="231"/>
      <c r="M41" s="231"/>
      <c r="N41" s="231"/>
      <c r="O41" s="231"/>
      <c r="P41" s="600">
        <f t="shared" si="0"/>
        <v>1</v>
      </c>
    </row>
    <row r="42" spans="1:16" ht="15.75" thickBot="1" x14ac:dyDescent="0.3">
      <c r="A42" s="233">
        <v>1000045</v>
      </c>
      <c r="B42" s="12" t="s">
        <v>23</v>
      </c>
      <c r="C42" s="229"/>
      <c r="D42" s="234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28">
        <f t="shared" si="0"/>
        <v>0</v>
      </c>
    </row>
    <row r="43" spans="1:16" ht="15.75" thickBot="1" x14ac:dyDescent="0.3">
      <c r="A43" s="233">
        <v>1000057</v>
      </c>
      <c r="B43" s="12" t="s">
        <v>70</v>
      </c>
      <c r="C43" s="229"/>
      <c r="D43" s="234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28">
        <f t="shared" si="0"/>
        <v>0</v>
      </c>
    </row>
    <row r="44" spans="1:16" ht="15.75" thickBot="1" x14ac:dyDescent="0.3">
      <c r="A44" s="233">
        <v>1000441</v>
      </c>
      <c r="B44" s="12" t="s">
        <v>200</v>
      </c>
      <c r="C44" s="229"/>
      <c r="D44" s="234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28">
        <f t="shared" si="0"/>
        <v>0</v>
      </c>
    </row>
    <row r="45" spans="1:16" ht="15.75" thickBot="1" x14ac:dyDescent="0.3">
      <c r="A45" s="233">
        <v>1000075</v>
      </c>
      <c r="B45" s="12" t="s">
        <v>47</v>
      </c>
      <c r="C45" s="229"/>
      <c r="D45" s="234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28">
        <f t="shared" si="0"/>
        <v>0</v>
      </c>
    </row>
    <row r="46" spans="1:16" ht="15.75" thickBot="1" x14ac:dyDescent="0.3">
      <c r="A46" s="233">
        <v>1000029</v>
      </c>
      <c r="B46" s="12" t="s">
        <v>30</v>
      </c>
      <c r="C46" s="229"/>
      <c r="D46" s="234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28">
        <f t="shared" si="0"/>
        <v>0</v>
      </c>
    </row>
    <row r="47" spans="1:16" ht="15.75" thickBot="1" x14ac:dyDescent="0.3">
      <c r="A47" s="233">
        <v>1000383</v>
      </c>
      <c r="B47" s="12" t="s">
        <v>264</v>
      </c>
      <c r="C47" s="229"/>
      <c r="D47" s="234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28">
        <f t="shared" si="0"/>
        <v>0</v>
      </c>
    </row>
    <row r="48" spans="1:16" ht="15.75" thickBot="1" x14ac:dyDescent="0.3">
      <c r="A48" s="233">
        <v>1000205</v>
      </c>
      <c r="B48" s="12" t="s">
        <v>82</v>
      </c>
      <c r="C48" s="229"/>
      <c r="D48" s="234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28">
        <f t="shared" si="0"/>
        <v>0</v>
      </c>
    </row>
    <row r="49" spans="1:16" ht="15.75" thickBot="1" x14ac:dyDescent="0.3">
      <c r="A49" s="233">
        <v>1000439</v>
      </c>
      <c r="B49" s="12" t="s">
        <v>193</v>
      </c>
      <c r="C49" s="229"/>
      <c r="D49" s="234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28">
        <f t="shared" si="0"/>
        <v>0</v>
      </c>
    </row>
    <row r="50" spans="1:16" ht="15.75" thickBot="1" x14ac:dyDescent="0.3">
      <c r="A50" s="233">
        <v>1000101</v>
      </c>
      <c r="B50" s="12" t="s">
        <v>35</v>
      </c>
      <c r="C50" s="229"/>
      <c r="D50" s="234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28">
        <f t="shared" si="0"/>
        <v>0</v>
      </c>
    </row>
    <row r="51" spans="1:16" ht="15.75" thickBot="1" x14ac:dyDescent="0.3">
      <c r="A51" s="233">
        <v>1000302</v>
      </c>
      <c r="B51" s="12" t="s">
        <v>67</v>
      </c>
      <c r="C51" s="229"/>
      <c r="D51" s="234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28">
        <f t="shared" si="0"/>
        <v>0</v>
      </c>
    </row>
    <row r="52" spans="1:16" ht="15.75" thickBot="1" x14ac:dyDescent="0.3">
      <c r="A52" s="233">
        <v>1000214</v>
      </c>
      <c r="B52" s="12" t="s">
        <v>49</v>
      </c>
      <c r="C52" s="229"/>
      <c r="D52" s="234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28">
        <f t="shared" si="0"/>
        <v>0</v>
      </c>
    </row>
    <row r="53" spans="1:16" ht="15.75" thickBot="1" x14ac:dyDescent="0.3">
      <c r="A53" s="233">
        <v>1000085</v>
      </c>
      <c r="B53" s="12" t="s">
        <v>50</v>
      </c>
      <c r="C53" s="229"/>
      <c r="D53" s="234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28">
        <f t="shared" si="0"/>
        <v>0</v>
      </c>
    </row>
    <row r="54" spans="1:16" ht="15.75" thickBot="1" x14ac:dyDescent="0.3">
      <c r="A54" s="233">
        <v>1000080</v>
      </c>
      <c r="B54" s="12" t="s">
        <v>275</v>
      </c>
      <c r="C54" s="229"/>
      <c r="D54" s="234"/>
      <c r="F54" s="231">
        <v>48</v>
      </c>
      <c r="G54" s="231"/>
      <c r="H54" s="231"/>
      <c r="I54" s="231"/>
      <c r="J54" s="231"/>
      <c r="K54" s="231"/>
      <c r="L54" s="231"/>
      <c r="M54" s="231"/>
      <c r="N54" s="231"/>
      <c r="O54" s="231"/>
      <c r="P54" s="600">
        <f t="shared" si="0"/>
        <v>48</v>
      </c>
    </row>
    <row r="55" spans="1:16" ht="15.75" thickBot="1" x14ac:dyDescent="0.3">
      <c r="A55" s="233">
        <v>1000436</v>
      </c>
      <c r="B55" s="12" t="s">
        <v>276</v>
      </c>
      <c r="C55" s="229"/>
      <c r="D55" s="234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28">
        <f t="shared" si="0"/>
        <v>0</v>
      </c>
    </row>
    <row r="56" spans="1:16" ht="15.75" thickBot="1" x14ac:dyDescent="0.3">
      <c r="A56" s="233">
        <v>1000550</v>
      </c>
      <c r="B56" s="12" t="s">
        <v>277</v>
      </c>
      <c r="C56" s="229"/>
      <c r="D56" s="234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28">
        <f t="shared" si="0"/>
        <v>0</v>
      </c>
    </row>
    <row r="57" spans="1:16" ht="16.5" thickBot="1" x14ac:dyDescent="0.3">
      <c r="A57" s="36">
        <v>1000551</v>
      </c>
      <c r="B57" s="12" t="s">
        <v>278</v>
      </c>
      <c r="C57"/>
      <c r="D57" s="35"/>
      <c r="E57" s="215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28">
        <f t="shared" si="0"/>
        <v>0</v>
      </c>
    </row>
    <row r="58" spans="1:16" ht="16.5" thickBot="1" x14ac:dyDescent="0.3">
      <c r="A58" s="207">
        <v>1000552</v>
      </c>
      <c r="B58" s="246" t="s">
        <v>279</v>
      </c>
      <c r="C58"/>
      <c r="D58" s="38"/>
      <c r="E58" s="215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28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6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21B-5BBB-40BC-AEA7-7FAB2E8C47C1}">
  <sheetPr>
    <tabColor theme="9" tint="-0.249977111117893"/>
    <pageSetUpPr fitToPage="1"/>
  </sheetPr>
  <dimension ref="A1:P52"/>
  <sheetViews>
    <sheetView zoomScale="55" zoomScaleNormal="55" zoomScaleSheetLayoutView="55" workbookViewId="0">
      <selection activeCell="T19" sqref="T19"/>
    </sheetView>
  </sheetViews>
  <sheetFormatPr baseColWidth="10" defaultColWidth="10.875" defaultRowHeight="15" x14ac:dyDescent="0.25"/>
  <cols>
    <col min="1" max="1" width="14.75" style="27" customWidth="1"/>
    <col min="2" max="2" width="39" style="27" bestFit="1" customWidth="1"/>
    <col min="3" max="3" width="1" style="27" customWidth="1"/>
    <col min="4" max="4" width="10.125" style="27" bestFit="1" customWidth="1"/>
    <col min="5" max="5" width="1.125" style="27" customWidth="1"/>
    <col min="6" max="6" width="12.875" style="27" customWidth="1"/>
    <col min="7" max="7" width="8.375" style="27" customWidth="1"/>
    <col min="8" max="8" width="14.125" style="27" customWidth="1"/>
    <col min="9" max="9" width="8.75" style="27" customWidth="1"/>
    <col min="10" max="10" width="16.25" style="27" customWidth="1"/>
    <col min="11" max="11" width="9.125" style="27" customWidth="1"/>
    <col min="12" max="12" width="14.5" style="27" customWidth="1"/>
    <col min="13" max="13" width="8.5" style="27" customWidth="1"/>
    <col min="14" max="14" width="13.25" style="27" customWidth="1"/>
    <col min="15" max="15" width="10.125" style="27" customWidth="1"/>
    <col min="16" max="16" width="11" style="27" bestFit="1" customWidth="1"/>
    <col min="17" max="16384" width="10.875" style="27"/>
  </cols>
  <sheetData>
    <row r="1" spans="1:16" ht="15" customHeight="1" x14ac:dyDescent="0.45">
      <c r="A1" s="686" t="s">
        <v>120</v>
      </c>
      <c r="B1" s="687"/>
      <c r="C1" s="18"/>
      <c r="F1" s="751" t="s">
        <v>474</v>
      </c>
      <c r="G1" s="752"/>
      <c r="H1" s="752"/>
      <c r="I1" s="752"/>
      <c r="J1" s="753"/>
      <c r="K1" s="2"/>
    </row>
    <row r="2" spans="1:16" s="3" customFormat="1" ht="20.2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 s="449" t="s">
        <v>420</v>
      </c>
    </row>
    <row r="3" spans="1:16" s="3" customFormat="1" ht="24" customHeight="1" thickBot="1" x14ac:dyDescent="0.3">
      <c r="A3" s="5"/>
      <c r="B3" s="5" t="s">
        <v>421</v>
      </c>
      <c r="C3" s="18"/>
      <c r="D3" s="4"/>
    </row>
    <row r="4" spans="1:16" s="3" customFormat="1" ht="16.5" thickBot="1" x14ac:dyDescent="0.3">
      <c r="A4" s="52" t="s">
        <v>0</v>
      </c>
      <c r="B4" s="52" t="s">
        <v>105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7" t="s">
        <v>98</v>
      </c>
    </row>
    <row r="5" spans="1:16" ht="20.100000000000001" customHeight="1" thickBot="1" x14ac:dyDescent="0.35">
      <c r="A5" s="451">
        <v>10000015</v>
      </c>
      <c r="B5" s="424" t="s">
        <v>1</v>
      </c>
      <c r="C5" s="452"/>
      <c r="D5" s="453">
        <v>2.6666666666666665</v>
      </c>
      <c r="E5" s="454"/>
      <c r="F5" s="455">
        <v>15</v>
      </c>
      <c r="G5" s="456"/>
      <c r="H5" s="455"/>
      <c r="I5" s="456"/>
      <c r="J5" s="455"/>
      <c r="K5" s="456"/>
      <c r="L5" s="455"/>
      <c r="M5" s="456"/>
      <c r="N5" s="455"/>
      <c r="O5" s="456"/>
      <c r="P5" s="472">
        <f t="shared" ref="P5:P51" si="0">SUM(F5:O5)</f>
        <v>15</v>
      </c>
    </row>
    <row r="6" spans="1:16" ht="20.100000000000001" customHeight="1" thickBot="1" x14ac:dyDescent="0.35">
      <c r="A6" s="457">
        <v>10000102</v>
      </c>
      <c r="B6" s="425" t="s">
        <v>2</v>
      </c>
      <c r="C6" s="452"/>
      <c r="D6" s="458">
        <v>0.66666666666666663</v>
      </c>
      <c r="E6" s="454"/>
      <c r="F6" s="455">
        <v>2</v>
      </c>
      <c r="G6" s="460"/>
      <c r="H6" s="459"/>
      <c r="I6" s="460"/>
      <c r="J6" s="459"/>
      <c r="K6" s="460"/>
      <c r="L6" s="459"/>
      <c r="M6" s="460"/>
      <c r="N6" s="459"/>
      <c r="O6" s="460"/>
      <c r="P6" s="472">
        <f t="shared" si="0"/>
        <v>2</v>
      </c>
    </row>
    <row r="7" spans="1:16" ht="20.100000000000001" customHeight="1" thickBot="1" x14ac:dyDescent="0.35">
      <c r="A7" s="457">
        <v>1000006</v>
      </c>
      <c r="B7" s="425" t="s">
        <v>4</v>
      </c>
      <c r="C7" s="452"/>
      <c r="D7" s="458">
        <v>141.66666666666666</v>
      </c>
      <c r="E7" s="454"/>
      <c r="F7" s="455">
        <v>150</v>
      </c>
      <c r="G7" s="460"/>
      <c r="H7" s="459"/>
      <c r="I7" s="460"/>
      <c r="J7" s="459"/>
      <c r="K7" s="460"/>
      <c r="L7" s="459"/>
      <c r="M7" s="460"/>
      <c r="N7" s="459"/>
      <c r="O7" s="460"/>
      <c r="P7" s="472">
        <f t="shared" si="0"/>
        <v>150</v>
      </c>
    </row>
    <row r="8" spans="1:16" ht="20.100000000000001" customHeight="1" thickBot="1" x14ac:dyDescent="0.35">
      <c r="A8" s="457">
        <v>1000007</v>
      </c>
      <c r="B8" s="425" t="s">
        <v>5</v>
      </c>
      <c r="C8" s="452"/>
      <c r="D8" s="458">
        <v>145</v>
      </c>
      <c r="E8" s="454"/>
      <c r="F8" s="455">
        <v>150</v>
      </c>
      <c r="G8" s="460"/>
      <c r="H8" s="459"/>
      <c r="I8" s="460"/>
      <c r="J8" s="459"/>
      <c r="K8" s="460"/>
      <c r="L8" s="459"/>
      <c r="M8" s="460"/>
      <c r="N8" s="459"/>
      <c r="O8" s="460"/>
      <c r="P8" s="472">
        <f t="shared" si="0"/>
        <v>150</v>
      </c>
    </row>
    <row r="9" spans="1:16" ht="20.100000000000001" customHeight="1" thickBot="1" x14ac:dyDescent="0.35">
      <c r="A9" s="457">
        <v>10212</v>
      </c>
      <c r="B9" s="425" t="s">
        <v>6</v>
      </c>
      <c r="C9" s="452"/>
      <c r="D9" s="458">
        <v>21.666666666666668</v>
      </c>
      <c r="E9" s="454"/>
      <c r="F9" s="455"/>
      <c r="G9" s="460"/>
      <c r="H9" s="459"/>
      <c r="I9" s="460"/>
      <c r="J9" s="459"/>
      <c r="K9" s="460"/>
      <c r="L9" s="459"/>
      <c r="M9" s="460"/>
      <c r="N9" s="459"/>
      <c r="O9" s="460"/>
      <c r="P9" s="470">
        <f t="shared" si="0"/>
        <v>0</v>
      </c>
    </row>
    <row r="10" spans="1:16" ht="20.100000000000001" customHeight="1" thickBot="1" x14ac:dyDescent="0.35">
      <c r="A10" s="457">
        <v>1000008</v>
      </c>
      <c r="B10" s="425" t="s">
        <v>7</v>
      </c>
      <c r="C10" s="452"/>
      <c r="D10" s="458">
        <v>40</v>
      </c>
      <c r="E10" s="454"/>
      <c r="F10" s="455">
        <v>200</v>
      </c>
      <c r="G10" s="460"/>
      <c r="H10" s="459"/>
      <c r="I10" s="460"/>
      <c r="J10" s="459"/>
      <c r="K10" s="460"/>
      <c r="L10" s="459"/>
      <c r="M10" s="460"/>
      <c r="N10" s="459"/>
      <c r="O10" s="460"/>
      <c r="P10" s="472">
        <f t="shared" si="0"/>
        <v>200</v>
      </c>
    </row>
    <row r="11" spans="1:16" ht="20.100000000000001" customHeight="1" thickBot="1" x14ac:dyDescent="0.35">
      <c r="A11" s="457">
        <v>1000001</v>
      </c>
      <c r="B11" s="425" t="s">
        <v>8</v>
      </c>
      <c r="C11" s="452"/>
      <c r="D11" s="458">
        <v>13.333333333333334</v>
      </c>
      <c r="E11" s="454"/>
      <c r="F11" s="455">
        <v>20</v>
      </c>
      <c r="G11" s="460"/>
      <c r="H11" s="459"/>
      <c r="I11" s="460"/>
      <c r="J11" s="459"/>
      <c r="K11" s="460"/>
      <c r="L11" s="459"/>
      <c r="M11" s="460"/>
      <c r="N11" s="459"/>
      <c r="O11" s="460"/>
      <c r="P11" s="472">
        <f t="shared" si="0"/>
        <v>20</v>
      </c>
    </row>
    <row r="12" spans="1:16" ht="20.100000000000001" customHeight="1" thickBot="1" x14ac:dyDescent="0.35">
      <c r="A12" s="457">
        <v>1000002</v>
      </c>
      <c r="B12" s="425" t="s">
        <v>9</v>
      </c>
      <c r="C12" s="452"/>
      <c r="D12" s="458">
        <v>7.666666666666667</v>
      </c>
      <c r="E12" s="454"/>
      <c r="F12" s="455">
        <v>6</v>
      </c>
      <c r="G12" s="460"/>
      <c r="H12" s="459"/>
      <c r="I12" s="460"/>
      <c r="J12" s="459"/>
      <c r="K12" s="460"/>
      <c r="L12" s="459"/>
      <c r="M12" s="460"/>
      <c r="N12" s="459"/>
      <c r="O12" s="460"/>
      <c r="P12" s="472">
        <f t="shared" si="0"/>
        <v>6</v>
      </c>
    </row>
    <row r="13" spans="1:16" ht="20.100000000000001" customHeight="1" thickBot="1" x14ac:dyDescent="0.35">
      <c r="A13" s="457">
        <v>1000004</v>
      </c>
      <c r="B13" s="425" t="s">
        <v>10</v>
      </c>
      <c r="C13" s="452"/>
      <c r="D13" s="458">
        <v>14</v>
      </c>
      <c r="E13" s="454"/>
      <c r="F13" s="455">
        <v>24</v>
      </c>
      <c r="G13" s="460"/>
      <c r="H13" s="459"/>
      <c r="I13" s="460"/>
      <c r="J13" s="459"/>
      <c r="K13" s="460"/>
      <c r="L13" s="459"/>
      <c r="M13" s="460"/>
      <c r="N13" s="459"/>
      <c r="O13" s="460"/>
      <c r="P13" s="472">
        <f t="shared" si="0"/>
        <v>24</v>
      </c>
    </row>
    <row r="14" spans="1:16" ht="20.100000000000001" customHeight="1" thickBot="1" x14ac:dyDescent="0.35">
      <c r="A14" s="457">
        <v>1000067</v>
      </c>
      <c r="B14" s="425" t="s">
        <v>11</v>
      </c>
      <c r="C14" s="452"/>
      <c r="D14" s="458">
        <v>1.5</v>
      </c>
      <c r="E14" s="454"/>
      <c r="F14" s="455">
        <v>8</v>
      </c>
      <c r="G14" s="460"/>
      <c r="H14" s="459"/>
      <c r="I14" s="460"/>
      <c r="J14" s="459"/>
      <c r="K14" s="460"/>
      <c r="L14" s="459"/>
      <c r="M14" s="460"/>
      <c r="N14" s="459"/>
      <c r="O14" s="460"/>
      <c r="P14" s="472">
        <f t="shared" si="0"/>
        <v>8</v>
      </c>
    </row>
    <row r="15" spans="1:16" ht="20.100000000000001" customHeight="1" thickBot="1" x14ac:dyDescent="0.35">
      <c r="A15" s="457">
        <v>1000054</v>
      </c>
      <c r="B15" s="425" t="s">
        <v>12</v>
      </c>
      <c r="C15" s="452"/>
      <c r="D15" s="458">
        <v>23.333333333333332</v>
      </c>
      <c r="E15" s="454"/>
      <c r="F15" s="455">
        <v>20</v>
      </c>
      <c r="G15" s="460"/>
      <c r="H15" s="459"/>
      <c r="I15" s="460"/>
      <c r="J15" s="459"/>
      <c r="K15" s="460"/>
      <c r="L15" s="459"/>
      <c r="M15" s="460"/>
      <c r="N15" s="459"/>
      <c r="O15" s="460"/>
      <c r="P15" s="472">
        <f t="shared" si="0"/>
        <v>20</v>
      </c>
    </row>
    <row r="16" spans="1:16" ht="20.100000000000001" customHeight="1" thickBot="1" x14ac:dyDescent="0.35">
      <c r="A16" s="457">
        <v>1000070</v>
      </c>
      <c r="B16" s="426" t="s">
        <v>13</v>
      </c>
      <c r="C16" s="452"/>
      <c r="D16" s="458">
        <v>14.166666666666666</v>
      </c>
      <c r="E16" s="454"/>
      <c r="F16" s="455">
        <v>12</v>
      </c>
      <c r="G16" s="460"/>
      <c r="H16" s="459"/>
      <c r="I16" s="460"/>
      <c r="J16" s="459"/>
      <c r="K16" s="460"/>
      <c r="L16" s="459"/>
      <c r="M16" s="460"/>
      <c r="N16" s="459"/>
      <c r="O16" s="460"/>
      <c r="P16" s="472">
        <f t="shared" si="0"/>
        <v>12</v>
      </c>
    </row>
    <row r="17" spans="1:16" ht="20.100000000000001" customHeight="1" thickBot="1" x14ac:dyDescent="0.35">
      <c r="A17" s="457">
        <v>1000017</v>
      </c>
      <c r="B17" s="425" t="s">
        <v>14</v>
      </c>
      <c r="C17" s="452"/>
      <c r="D17" s="458">
        <v>21.666666666666668</v>
      </c>
      <c r="E17" s="454"/>
      <c r="F17" s="455">
        <v>40</v>
      </c>
      <c r="G17" s="460"/>
      <c r="H17" s="459"/>
      <c r="I17" s="460"/>
      <c r="J17" s="459"/>
      <c r="K17" s="460"/>
      <c r="L17" s="459"/>
      <c r="M17" s="460"/>
      <c r="N17" s="459"/>
      <c r="O17" s="460"/>
      <c r="P17" s="472">
        <f t="shared" si="0"/>
        <v>40</v>
      </c>
    </row>
    <row r="18" spans="1:16" ht="20.100000000000001" customHeight="1" thickBot="1" x14ac:dyDescent="0.35">
      <c r="A18" s="457">
        <v>1000016</v>
      </c>
      <c r="B18" s="461" t="s">
        <v>15</v>
      </c>
      <c r="C18" s="452"/>
      <c r="D18" s="458">
        <v>1.6666666666666667</v>
      </c>
      <c r="E18" s="454"/>
      <c r="F18" s="455">
        <v>15</v>
      </c>
      <c r="G18" s="460"/>
      <c r="H18" s="459"/>
      <c r="I18" s="460"/>
      <c r="J18" s="459"/>
      <c r="K18" s="460"/>
      <c r="L18" s="459"/>
      <c r="M18" s="460"/>
      <c r="N18" s="459"/>
      <c r="O18" s="460"/>
      <c r="P18" s="472">
        <f t="shared" si="0"/>
        <v>15</v>
      </c>
    </row>
    <row r="19" spans="1:16" ht="20.100000000000001" customHeight="1" thickBot="1" x14ac:dyDescent="0.35">
      <c r="A19" s="457">
        <v>1000011</v>
      </c>
      <c r="B19" s="425" t="s">
        <v>18</v>
      </c>
      <c r="C19" s="452"/>
      <c r="D19" s="458">
        <v>0.33333333333333331</v>
      </c>
      <c r="E19" s="454"/>
      <c r="F19" s="455"/>
      <c r="G19" s="460"/>
      <c r="H19" s="459"/>
      <c r="I19" s="460"/>
      <c r="J19" s="459"/>
      <c r="K19" s="460"/>
      <c r="L19" s="459"/>
      <c r="M19" s="460"/>
      <c r="N19" s="459"/>
      <c r="O19" s="460"/>
      <c r="P19" s="470">
        <f t="shared" si="0"/>
        <v>0</v>
      </c>
    </row>
    <row r="20" spans="1:16" ht="20.100000000000001" customHeight="1" thickBot="1" x14ac:dyDescent="0.35">
      <c r="A20" s="457">
        <v>1000049</v>
      </c>
      <c r="B20" s="425" t="s">
        <v>21</v>
      </c>
      <c r="C20" s="452"/>
      <c r="D20" s="458">
        <v>0.33333333333333331</v>
      </c>
      <c r="E20" s="454"/>
      <c r="F20" s="455"/>
      <c r="G20" s="460"/>
      <c r="H20" s="459"/>
      <c r="I20" s="460"/>
      <c r="J20" s="459"/>
      <c r="K20" s="460"/>
      <c r="L20" s="459"/>
      <c r="M20" s="460"/>
      <c r="N20" s="459"/>
      <c r="O20" s="460"/>
      <c r="P20" s="470">
        <f t="shared" si="0"/>
        <v>0</v>
      </c>
    </row>
    <row r="21" spans="1:16" ht="20.100000000000001" customHeight="1" thickBot="1" x14ac:dyDescent="0.35">
      <c r="A21" s="457">
        <v>1000050</v>
      </c>
      <c r="B21" s="425" t="s">
        <v>22</v>
      </c>
      <c r="C21" s="452"/>
      <c r="D21" s="458">
        <v>2.3333333333333335</v>
      </c>
      <c r="E21" s="454"/>
      <c r="F21" s="455">
        <v>4</v>
      </c>
      <c r="G21" s="460"/>
      <c r="H21" s="459"/>
      <c r="I21" s="460"/>
      <c r="J21" s="459"/>
      <c r="K21" s="460"/>
      <c r="L21" s="459"/>
      <c r="M21" s="460"/>
      <c r="N21" s="459"/>
      <c r="O21" s="460"/>
      <c r="P21" s="472">
        <f t="shared" si="0"/>
        <v>4</v>
      </c>
    </row>
    <row r="22" spans="1:16" ht="20.100000000000001" customHeight="1" thickBot="1" x14ac:dyDescent="0.35">
      <c r="A22" s="457">
        <v>1000031</v>
      </c>
      <c r="B22" s="425" t="s">
        <v>25</v>
      </c>
      <c r="C22" s="452"/>
      <c r="D22" s="458">
        <v>1.1666666666666667</v>
      </c>
      <c r="E22" s="462"/>
      <c r="F22" s="455"/>
      <c r="G22" s="460"/>
      <c r="H22" s="459"/>
      <c r="I22" s="460"/>
      <c r="J22" s="459"/>
      <c r="K22" s="460"/>
      <c r="L22" s="459"/>
      <c r="M22" s="460"/>
      <c r="N22" s="459"/>
      <c r="O22" s="460"/>
      <c r="P22" s="470">
        <f t="shared" si="0"/>
        <v>0</v>
      </c>
    </row>
    <row r="23" spans="1:16" ht="20.100000000000001" customHeight="1" thickBot="1" x14ac:dyDescent="0.35">
      <c r="A23" s="457">
        <v>1000034</v>
      </c>
      <c r="B23" s="425" t="s">
        <v>28</v>
      </c>
      <c r="C23" s="452"/>
      <c r="D23" s="458">
        <v>0.33333333333333331</v>
      </c>
      <c r="E23" s="454"/>
      <c r="F23" s="455"/>
      <c r="G23" s="460"/>
      <c r="H23" s="459"/>
      <c r="I23" s="460"/>
      <c r="J23" s="459"/>
      <c r="K23" s="460"/>
      <c r="L23" s="459"/>
      <c r="M23" s="460"/>
      <c r="N23" s="459"/>
      <c r="O23" s="460"/>
      <c r="P23" s="470">
        <f t="shared" si="0"/>
        <v>0</v>
      </c>
    </row>
    <row r="24" spans="1:16" ht="20.100000000000001" customHeight="1" thickBot="1" x14ac:dyDescent="0.35">
      <c r="A24" s="457">
        <v>1000029</v>
      </c>
      <c r="B24" s="425" t="s">
        <v>30</v>
      </c>
      <c r="C24" s="452"/>
      <c r="D24" s="458">
        <v>1.1666666666666667</v>
      </c>
      <c r="E24" s="454"/>
      <c r="F24" s="455">
        <v>2</v>
      </c>
      <c r="G24" s="460"/>
      <c r="H24" s="459"/>
      <c r="I24" s="460"/>
      <c r="J24" s="459"/>
      <c r="K24" s="460"/>
      <c r="L24" s="459"/>
      <c r="M24" s="460"/>
      <c r="N24" s="459"/>
      <c r="O24" s="460"/>
      <c r="P24" s="472">
        <f t="shared" si="0"/>
        <v>2</v>
      </c>
    </row>
    <row r="25" spans="1:16" ht="20.100000000000001" customHeight="1" thickBot="1" x14ac:dyDescent="0.35">
      <c r="A25" s="457">
        <v>1000025</v>
      </c>
      <c r="B25" s="425" t="s">
        <v>32</v>
      </c>
      <c r="C25" s="452"/>
      <c r="D25" s="458">
        <v>1.6666666666666667</v>
      </c>
      <c r="E25" s="454"/>
      <c r="F25" s="455">
        <v>15</v>
      </c>
      <c r="G25" s="460"/>
      <c r="H25" s="459"/>
      <c r="I25" s="460"/>
      <c r="J25" s="459"/>
      <c r="K25" s="460"/>
      <c r="L25" s="459"/>
      <c r="M25" s="460"/>
      <c r="N25" s="459"/>
      <c r="O25" s="460"/>
      <c r="P25" s="472">
        <f t="shared" si="0"/>
        <v>15</v>
      </c>
    </row>
    <row r="26" spans="1:16" ht="20.100000000000001" customHeight="1" thickBot="1" x14ac:dyDescent="0.35">
      <c r="A26" s="457">
        <v>1000100</v>
      </c>
      <c r="B26" s="425" t="s">
        <v>34</v>
      </c>
      <c r="C26" s="452"/>
      <c r="D26" s="458">
        <v>0.33333333333333331</v>
      </c>
      <c r="E26" s="454"/>
      <c r="F26" s="455"/>
      <c r="G26" s="460"/>
      <c r="H26" s="459"/>
      <c r="I26" s="460"/>
      <c r="J26" s="459"/>
      <c r="K26" s="460"/>
      <c r="L26" s="459"/>
      <c r="M26" s="460"/>
      <c r="N26" s="459"/>
      <c r="O26" s="460"/>
      <c r="P26" s="470">
        <f t="shared" si="0"/>
        <v>0</v>
      </c>
    </row>
    <row r="27" spans="1:16" ht="20.100000000000001" customHeight="1" thickBot="1" x14ac:dyDescent="0.35">
      <c r="A27" s="457">
        <v>1000146</v>
      </c>
      <c r="B27" s="425" t="s">
        <v>39</v>
      </c>
      <c r="C27" s="452"/>
      <c r="D27" s="458">
        <v>0.83333333333333337</v>
      </c>
      <c r="E27" s="454"/>
      <c r="F27" s="455"/>
      <c r="G27" s="460"/>
      <c r="H27" s="459"/>
      <c r="I27" s="460"/>
      <c r="J27" s="459"/>
      <c r="K27" s="460"/>
      <c r="L27" s="459"/>
      <c r="M27" s="460"/>
      <c r="N27" s="459"/>
      <c r="O27" s="460"/>
      <c r="P27" s="470">
        <f t="shared" si="0"/>
        <v>0</v>
      </c>
    </row>
    <row r="28" spans="1:16" ht="20.100000000000001" customHeight="1" thickBot="1" x14ac:dyDescent="0.35">
      <c r="A28" s="457">
        <v>10248</v>
      </c>
      <c r="B28" s="425" t="s">
        <v>183</v>
      </c>
      <c r="C28" s="452"/>
      <c r="D28" s="458">
        <v>17</v>
      </c>
      <c r="E28" s="454"/>
      <c r="F28" s="455">
        <v>24</v>
      </c>
      <c r="G28" s="460"/>
      <c r="H28" s="459"/>
      <c r="I28" s="460"/>
      <c r="J28" s="459"/>
      <c r="K28" s="460"/>
      <c r="L28" s="459"/>
      <c r="M28" s="460"/>
      <c r="N28" s="459"/>
      <c r="O28" s="460"/>
      <c r="P28" s="472">
        <f t="shared" si="0"/>
        <v>24</v>
      </c>
    </row>
    <row r="29" spans="1:16" ht="20.100000000000001" customHeight="1" thickBot="1" x14ac:dyDescent="0.35">
      <c r="A29" s="457">
        <v>1000090</v>
      </c>
      <c r="B29" s="425" t="s">
        <v>40</v>
      </c>
      <c r="C29" s="452"/>
      <c r="D29" s="458">
        <v>10</v>
      </c>
      <c r="E29" s="454"/>
      <c r="F29" s="455">
        <v>10</v>
      </c>
      <c r="G29" s="460"/>
      <c r="H29" s="459"/>
      <c r="I29" s="460"/>
      <c r="J29" s="459"/>
      <c r="K29" s="460"/>
      <c r="L29" s="459"/>
      <c r="M29" s="460"/>
      <c r="N29" s="459"/>
      <c r="O29" s="460"/>
      <c r="P29" s="472">
        <f t="shared" si="0"/>
        <v>10</v>
      </c>
    </row>
    <row r="30" spans="1:16" ht="20.100000000000001" customHeight="1" thickBot="1" x14ac:dyDescent="0.35">
      <c r="A30" s="457">
        <v>1000052</v>
      </c>
      <c r="B30" s="425" t="s">
        <v>41</v>
      </c>
      <c r="C30" s="452"/>
      <c r="D30" s="458">
        <v>9.3333333333333339</v>
      </c>
      <c r="E30" s="454"/>
      <c r="F30" s="455">
        <v>6</v>
      </c>
      <c r="G30" s="460"/>
      <c r="H30" s="459"/>
      <c r="I30" s="460"/>
      <c r="J30" s="459"/>
      <c r="K30" s="460"/>
      <c r="L30" s="459"/>
      <c r="M30" s="460"/>
      <c r="N30" s="459"/>
      <c r="O30" s="460"/>
      <c r="P30" s="472">
        <f t="shared" si="0"/>
        <v>6</v>
      </c>
    </row>
    <row r="31" spans="1:16" ht="20.100000000000001" customHeight="1" thickBot="1" x14ac:dyDescent="0.35">
      <c r="A31" s="457">
        <v>1000089</v>
      </c>
      <c r="B31" s="425" t="s">
        <v>42</v>
      </c>
      <c r="C31" s="452"/>
      <c r="D31" s="458">
        <v>9.3333333333333339</v>
      </c>
      <c r="E31" s="454"/>
      <c r="F31" s="455">
        <v>6</v>
      </c>
      <c r="G31" s="460"/>
      <c r="H31" s="459"/>
      <c r="I31" s="460"/>
      <c r="J31" s="459"/>
      <c r="K31" s="460"/>
      <c r="L31" s="459"/>
      <c r="M31" s="460"/>
      <c r="N31" s="459"/>
      <c r="O31" s="460"/>
      <c r="P31" s="472">
        <f t="shared" si="0"/>
        <v>6</v>
      </c>
    </row>
    <row r="32" spans="1:16" ht="20.100000000000001" customHeight="1" thickBot="1" x14ac:dyDescent="0.35">
      <c r="A32" s="457">
        <v>1000051</v>
      </c>
      <c r="B32" s="425" t="s">
        <v>43</v>
      </c>
      <c r="C32" s="452"/>
      <c r="D32" s="458">
        <v>8</v>
      </c>
      <c r="E32" s="454"/>
      <c r="F32" s="455">
        <v>4</v>
      </c>
      <c r="G32" s="460"/>
      <c r="H32" s="459"/>
      <c r="I32" s="460"/>
      <c r="J32" s="459"/>
      <c r="K32" s="460"/>
      <c r="L32" s="459"/>
      <c r="M32" s="460"/>
      <c r="N32" s="459"/>
      <c r="O32" s="460"/>
      <c r="P32" s="472">
        <f t="shared" si="0"/>
        <v>4</v>
      </c>
    </row>
    <row r="33" spans="1:16" ht="20.100000000000001" customHeight="1" thickBot="1" x14ac:dyDescent="0.35">
      <c r="A33" s="457">
        <v>1000048</v>
      </c>
      <c r="B33" s="425" t="s">
        <v>45</v>
      </c>
      <c r="C33" s="452"/>
      <c r="D33" s="458">
        <v>0.66666666666666663</v>
      </c>
      <c r="E33" s="454"/>
      <c r="F33" s="455"/>
      <c r="G33" s="460"/>
      <c r="H33" s="459"/>
      <c r="I33" s="460"/>
      <c r="J33" s="459"/>
      <c r="K33" s="460"/>
      <c r="L33" s="459"/>
      <c r="M33" s="460"/>
      <c r="N33" s="459"/>
      <c r="O33" s="460"/>
      <c r="P33" s="470">
        <f t="shared" si="0"/>
        <v>0</v>
      </c>
    </row>
    <row r="34" spans="1:16" ht="20.100000000000001" customHeight="1" thickBot="1" x14ac:dyDescent="0.35">
      <c r="A34" s="457">
        <v>1000076</v>
      </c>
      <c r="B34" s="425" t="s">
        <v>46</v>
      </c>
      <c r="C34" s="452"/>
      <c r="D34" s="458">
        <v>0.16666666666666666</v>
      </c>
      <c r="E34" s="454"/>
      <c r="F34" s="455"/>
      <c r="G34" s="460"/>
      <c r="H34" s="459"/>
      <c r="I34" s="460"/>
      <c r="J34" s="459"/>
      <c r="K34" s="460"/>
      <c r="L34" s="459"/>
      <c r="M34" s="460"/>
      <c r="N34" s="459"/>
      <c r="O34" s="460"/>
      <c r="P34" s="470">
        <f t="shared" si="0"/>
        <v>0</v>
      </c>
    </row>
    <row r="35" spans="1:16" ht="20.100000000000001" customHeight="1" thickBot="1" x14ac:dyDescent="0.35">
      <c r="A35" s="457">
        <v>1000085</v>
      </c>
      <c r="B35" s="425" t="s">
        <v>50</v>
      </c>
      <c r="C35" s="452"/>
      <c r="D35" s="458">
        <v>0.33333333333333331</v>
      </c>
      <c r="E35" s="454"/>
      <c r="F35" s="455"/>
      <c r="G35" s="460"/>
      <c r="H35" s="459"/>
      <c r="I35" s="460"/>
      <c r="J35" s="459"/>
      <c r="K35" s="460"/>
      <c r="L35" s="459"/>
      <c r="M35" s="460"/>
      <c r="N35" s="459"/>
      <c r="O35" s="460"/>
      <c r="P35" s="470">
        <f t="shared" si="0"/>
        <v>0</v>
      </c>
    </row>
    <row r="36" spans="1:16" ht="20.100000000000001" customHeight="1" thickBot="1" x14ac:dyDescent="0.35">
      <c r="A36" s="457">
        <v>1000092</v>
      </c>
      <c r="B36" s="425" t="s">
        <v>51</v>
      </c>
      <c r="C36" s="452"/>
      <c r="D36" s="458">
        <v>0.33333333333333331</v>
      </c>
      <c r="E36" s="454"/>
      <c r="F36" s="455"/>
      <c r="G36" s="460"/>
      <c r="H36" s="459"/>
      <c r="I36" s="460"/>
      <c r="J36" s="459"/>
      <c r="K36" s="460"/>
      <c r="L36" s="459"/>
      <c r="M36" s="460"/>
      <c r="N36" s="459"/>
      <c r="O36" s="460"/>
      <c r="P36" s="470">
        <f t="shared" si="0"/>
        <v>0</v>
      </c>
    </row>
    <row r="37" spans="1:16" ht="20.100000000000001" customHeight="1" thickBot="1" x14ac:dyDescent="0.35">
      <c r="A37" s="457">
        <v>1000142</v>
      </c>
      <c r="B37" s="425" t="s">
        <v>54</v>
      </c>
      <c r="C37" s="452"/>
      <c r="D37" s="458">
        <v>0.16666666666666666</v>
      </c>
      <c r="E37" s="454"/>
      <c r="F37" s="455"/>
      <c r="G37" s="460"/>
      <c r="H37" s="459"/>
      <c r="I37" s="460"/>
      <c r="J37" s="459"/>
      <c r="K37" s="460"/>
      <c r="L37" s="459"/>
      <c r="M37" s="460"/>
      <c r="N37" s="459"/>
      <c r="O37" s="460"/>
      <c r="P37" s="470">
        <f t="shared" si="0"/>
        <v>0</v>
      </c>
    </row>
    <row r="38" spans="1:16" ht="20.100000000000001" customHeight="1" thickBot="1" x14ac:dyDescent="0.35">
      <c r="A38" s="457">
        <v>1000057</v>
      </c>
      <c r="B38" s="425" t="s">
        <v>70</v>
      </c>
      <c r="C38" s="452"/>
      <c r="D38" s="458">
        <v>2.6666666666666665</v>
      </c>
      <c r="E38" s="454"/>
      <c r="F38" s="455"/>
      <c r="G38" s="460"/>
      <c r="H38" s="459"/>
      <c r="I38" s="460"/>
      <c r="J38" s="459"/>
      <c r="K38" s="460"/>
      <c r="L38" s="459"/>
      <c r="M38" s="460"/>
      <c r="N38" s="459"/>
      <c r="O38" s="460"/>
      <c r="P38" s="470">
        <f t="shared" si="0"/>
        <v>0</v>
      </c>
    </row>
    <row r="39" spans="1:16" ht="20.100000000000001" customHeight="1" thickBot="1" x14ac:dyDescent="0.35">
      <c r="A39" s="457">
        <v>10208</v>
      </c>
      <c r="B39" s="425" t="s">
        <v>72</v>
      </c>
      <c r="C39" s="452"/>
      <c r="D39" s="458">
        <v>25.333333333333332</v>
      </c>
      <c r="E39" s="454"/>
      <c r="F39" s="455">
        <v>24</v>
      </c>
      <c r="G39" s="460"/>
      <c r="H39" s="459"/>
      <c r="I39" s="460"/>
      <c r="J39" s="459"/>
      <c r="K39" s="460"/>
      <c r="L39" s="459"/>
      <c r="M39" s="460"/>
      <c r="N39" s="459"/>
      <c r="O39" s="460"/>
      <c r="P39" s="472">
        <f t="shared" si="0"/>
        <v>24</v>
      </c>
    </row>
    <row r="40" spans="1:16" ht="20.100000000000001" customHeight="1" thickBot="1" x14ac:dyDescent="0.35">
      <c r="A40" s="457">
        <v>1000081</v>
      </c>
      <c r="B40" s="425" t="s">
        <v>73</v>
      </c>
      <c r="C40" s="452"/>
      <c r="D40" s="458">
        <v>13</v>
      </c>
      <c r="E40" s="454"/>
      <c r="F40" s="455">
        <v>16</v>
      </c>
      <c r="G40" s="460"/>
      <c r="H40" s="459"/>
      <c r="I40" s="460"/>
      <c r="J40" s="459"/>
      <c r="K40" s="460"/>
      <c r="L40" s="459"/>
      <c r="M40" s="460"/>
      <c r="N40" s="459"/>
      <c r="O40" s="460"/>
      <c r="P40" s="472">
        <f t="shared" si="0"/>
        <v>16</v>
      </c>
    </row>
    <row r="41" spans="1:16" ht="20.100000000000001" customHeight="1" thickBot="1" x14ac:dyDescent="0.35">
      <c r="A41" s="457">
        <v>1000033</v>
      </c>
      <c r="B41" s="425" t="s">
        <v>27</v>
      </c>
      <c r="C41" s="452"/>
      <c r="D41" s="458">
        <v>2</v>
      </c>
      <c r="E41" s="454"/>
      <c r="F41" s="455">
        <v>2</v>
      </c>
      <c r="G41" s="460"/>
      <c r="H41" s="459"/>
      <c r="I41" s="460"/>
      <c r="J41" s="459"/>
      <c r="K41" s="460"/>
      <c r="L41" s="459"/>
      <c r="M41" s="460"/>
      <c r="N41" s="459"/>
      <c r="O41" s="460"/>
      <c r="P41" s="472">
        <f t="shared" si="0"/>
        <v>2</v>
      </c>
    </row>
    <row r="42" spans="1:16" ht="20.100000000000001" customHeight="1" thickBot="1" x14ac:dyDescent="0.35">
      <c r="A42" s="457">
        <v>10248</v>
      </c>
      <c r="B42" s="425" t="s">
        <v>183</v>
      </c>
      <c r="C42" s="452"/>
      <c r="D42" s="458"/>
      <c r="E42" s="454"/>
      <c r="F42" s="455"/>
      <c r="G42" s="460"/>
      <c r="H42" s="459"/>
      <c r="I42" s="460"/>
      <c r="J42" s="459"/>
      <c r="K42" s="460"/>
      <c r="L42" s="459"/>
      <c r="M42" s="460"/>
      <c r="N42" s="459"/>
      <c r="O42" s="460"/>
      <c r="P42" s="470">
        <f t="shared" si="0"/>
        <v>0</v>
      </c>
    </row>
    <row r="43" spans="1:16" ht="21" thickBot="1" x14ac:dyDescent="0.35">
      <c r="A43" s="457">
        <v>1000073</v>
      </c>
      <c r="B43" s="425" t="s">
        <v>36</v>
      </c>
      <c r="C43" s="452"/>
      <c r="D43" s="458"/>
      <c r="E43" s="454"/>
      <c r="F43" s="455"/>
      <c r="G43" s="460"/>
      <c r="H43" s="459"/>
      <c r="I43" s="460"/>
      <c r="J43" s="459"/>
      <c r="K43" s="460"/>
      <c r="L43" s="459"/>
      <c r="M43" s="460"/>
      <c r="N43" s="459"/>
      <c r="O43" s="460"/>
      <c r="P43" s="470">
        <f t="shared" si="0"/>
        <v>0</v>
      </c>
    </row>
    <row r="44" spans="1:16" ht="21" thickBot="1" x14ac:dyDescent="0.35">
      <c r="A44" s="457">
        <v>1000075</v>
      </c>
      <c r="B44" s="425" t="s">
        <v>47</v>
      </c>
      <c r="C44" s="452"/>
      <c r="D44" s="458"/>
      <c r="E44" s="454"/>
      <c r="F44" s="455"/>
      <c r="G44" s="460"/>
      <c r="H44" s="459"/>
      <c r="I44" s="460"/>
      <c r="J44" s="459"/>
      <c r="K44" s="460"/>
      <c r="L44" s="459"/>
      <c r="M44" s="460"/>
      <c r="N44" s="459"/>
      <c r="O44" s="460"/>
      <c r="P44" s="470">
        <f t="shared" si="0"/>
        <v>0</v>
      </c>
    </row>
    <row r="45" spans="1:16" ht="21" thickBot="1" x14ac:dyDescent="0.35">
      <c r="A45" s="457">
        <v>1000436</v>
      </c>
      <c r="B45" s="425" t="s">
        <v>276</v>
      </c>
      <c r="C45" s="452"/>
      <c r="D45" s="458"/>
      <c r="E45" s="454"/>
      <c r="F45" s="455"/>
      <c r="G45" s="460"/>
      <c r="H45" s="459"/>
      <c r="I45" s="460"/>
      <c r="J45" s="459"/>
      <c r="K45" s="460"/>
      <c r="L45" s="459"/>
      <c r="M45" s="460"/>
      <c r="N45" s="459"/>
      <c r="O45" s="460"/>
      <c r="P45" s="470">
        <f t="shared" si="0"/>
        <v>0</v>
      </c>
    </row>
    <row r="46" spans="1:16" ht="21" thickBot="1" x14ac:dyDescent="0.35">
      <c r="A46" s="457">
        <v>1000550</v>
      </c>
      <c r="B46" s="425" t="s">
        <v>277</v>
      </c>
      <c r="C46" s="452"/>
      <c r="D46" s="458"/>
      <c r="E46" s="454"/>
      <c r="F46" s="455"/>
      <c r="G46" s="460"/>
      <c r="H46" s="459"/>
      <c r="I46" s="460"/>
      <c r="J46" s="459"/>
      <c r="K46" s="460"/>
      <c r="L46" s="459"/>
      <c r="M46" s="460"/>
      <c r="N46" s="459"/>
      <c r="O46" s="460"/>
      <c r="P46" s="470">
        <f t="shared" si="0"/>
        <v>0</v>
      </c>
    </row>
    <row r="47" spans="1:16" ht="21" thickBot="1" x14ac:dyDescent="0.35">
      <c r="A47" s="457">
        <v>1000551</v>
      </c>
      <c r="B47" s="425" t="s">
        <v>278</v>
      </c>
      <c r="C47" s="452"/>
      <c r="D47" s="458"/>
      <c r="E47" s="454"/>
      <c r="F47" s="455"/>
      <c r="G47" s="460"/>
      <c r="H47" s="459"/>
      <c r="I47" s="460"/>
      <c r="J47" s="459"/>
      <c r="K47" s="460"/>
      <c r="L47" s="459"/>
      <c r="M47" s="460"/>
      <c r="N47" s="459"/>
      <c r="O47" s="460"/>
      <c r="P47" s="470">
        <f t="shared" si="0"/>
        <v>0</v>
      </c>
    </row>
    <row r="48" spans="1:16" ht="21" thickBot="1" x14ac:dyDescent="0.35">
      <c r="A48" s="457">
        <v>1000552</v>
      </c>
      <c r="B48" s="425" t="s">
        <v>279</v>
      </c>
      <c r="C48" s="452"/>
      <c r="D48" s="458"/>
      <c r="E48" s="454"/>
      <c r="F48" s="455"/>
      <c r="G48" s="460"/>
      <c r="H48" s="459"/>
      <c r="I48" s="460"/>
      <c r="J48" s="459"/>
      <c r="K48" s="460"/>
      <c r="L48" s="459"/>
      <c r="M48" s="460"/>
      <c r="N48" s="459"/>
      <c r="O48" s="460"/>
      <c r="P48" s="470">
        <f t="shared" si="0"/>
        <v>0</v>
      </c>
    </row>
    <row r="49" spans="1:16" s="200" customFormat="1" ht="21.75" thickBot="1" x14ac:dyDescent="0.4">
      <c r="A49" s="463">
        <v>1000080</v>
      </c>
      <c r="B49" s="464" t="s">
        <v>275</v>
      </c>
      <c r="C49" s="465"/>
      <c r="D49" s="466"/>
      <c r="E49" s="467"/>
      <c r="F49" s="468"/>
      <c r="G49" s="469"/>
      <c r="H49" s="468"/>
      <c r="I49" s="469"/>
      <c r="J49" s="468"/>
      <c r="K49" s="469"/>
      <c r="L49" s="468"/>
      <c r="M49" s="469"/>
      <c r="N49" s="468"/>
      <c r="O49" s="469"/>
      <c r="P49" s="470">
        <f t="shared" si="0"/>
        <v>0</v>
      </c>
    </row>
    <row r="50" spans="1:16" ht="21.75" thickBot="1" x14ac:dyDescent="0.4">
      <c r="A50" s="471">
        <v>1000147</v>
      </c>
      <c r="B50" s="425" t="s">
        <v>52</v>
      </c>
      <c r="C50" s="465"/>
      <c r="D50" s="466"/>
      <c r="F50" s="468"/>
      <c r="G50" s="469"/>
      <c r="H50" s="468"/>
      <c r="I50" s="469"/>
      <c r="J50" s="468"/>
      <c r="K50" s="469"/>
      <c r="L50" s="468"/>
      <c r="M50" s="469"/>
      <c r="N50" s="468"/>
      <c r="O50" s="469"/>
      <c r="P50" s="470">
        <f t="shared" si="0"/>
        <v>0</v>
      </c>
    </row>
    <row r="51" spans="1:16" ht="21.75" thickBot="1" x14ac:dyDescent="0.4">
      <c r="A51" s="471">
        <v>1000101</v>
      </c>
      <c r="B51" s="425" t="s">
        <v>35</v>
      </c>
      <c r="C51" s="465"/>
      <c r="D51" s="466"/>
      <c r="F51" s="468"/>
      <c r="G51" s="469"/>
      <c r="H51" s="468"/>
      <c r="I51" s="469"/>
      <c r="J51" s="468"/>
      <c r="K51" s="469"/>
      <c r="L51" s="468"/>
      <c r="M51" s="469"/>
      <c r="N51" s="468"/>
      <c r="O51" s="469"/>
      <c r="P51" s="470">
        <f t="shared" si="0"/>
        <v>0</v>
      </c>
    </row>
    <row r="52" spans="1:16" ht="21.75" thickBot="1" x14ac:dyDescent="0.4">
      <c r="A52" s="471"/>
      <c r="B52" s="425" t="s">
        <v>491</v>
      </c>
      <c r="D52" s="466"/>
      <c r="F52" s="468">
        <v>2</v>
      </c>
      <c r="G52" s="469"/>
      <c r="H52" s="468"/>
      <c r="I52" s="469"/>
      <c r="J52" s="468"/>
      <c r="K52" s="469"/>
      <c r="L52" s="468"/>
      <c r="M52" s="469"/>
      <c r="N52" s="468"/>
      <c r="O52" s="469"/>
      <c r="P52" s="472">
        <f t="shared" ref="P52" si="1">SUM(F52:O52)</f>
        <v>2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41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AD1B-938A-49BE-A583-8055DC050349}">
  <sheetPr>
    <tabColor theme="9" tint="-0.249977111117893"/>
    <pageSetUpPr fitToPage="1"/>
  </sheetPr>
  <dimension ref="A1:P38"/>
  <sheetViews>
    <sheetView topLeftCell="A17" zoomScale="70" zoomScaleNormal="70" workbookViewId="0">
      <selection activeCell="R11" sqref="R1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125" style="27" bestFit="1" customWidth="1"/>
    <col min="5" max="5" width="2.125" style="27" customWidth="1"/>
    <col min="6" max="6" width="9.125" style="27" bestFit="1" customWidth="1"/>
    <col min="7" max="7" width="6.625" style="27" customWidth="1"/>
    <col min="8" max="8" width="9.125" style="27" bestFit="1" customWidth="1"/>
    <col min="9" max="9" width="7" style="27" customWidth="1"/>
    <col min="10" max="10" width="9.125" style="27" bestFit="1" customWidth="1"/>
    <col min="11" max="11" width="6.875" style="27" customWidth="1"/>
    <col min="12" max="12" width="9.125" style="27" bestFit="1" customWidth="1"/>
    <col min="13" max="13" width="7.5" style="27" customWidth="1"/>
    <col min="14" max="14" width="9.125" style="27" bestFit="1" customWidth="1"/>
    <col min="15" max="15" width="7.25" style="27" customWidth="1"/>
    <col min="16" max="16384" width="10.875" style="27"/>
  </cols>
  <sheetData>
    <row r="1" spans="1:16" ht="15" customHeight="1" x14ac:dyDescent="0.45">
      <c r="A1" s="686" t="s">
        <v>175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/>
      <c r="M2"/>
    </row>
    <row r="3" spans="1:16" s="3" customFormat="1" ht="23.25" customHeight="1" thickBot="1" x14ac:dyDescent="0.3">
      <c r="A3" s="5"/>
      <c r="B3" s="5" t="s">
        <v>422</v>
      </c>
      <c r="C3" s="18"/>
      <c r="D3" s="4"/>
    </row>
    <row r="4" spans="1:16" s="3" customFormat="1" ht="21.75" thickBot="1" x14ac:dyDescent="0.4">
      <c r="A4" s="478" t="s">
        <v>0</v>
      </c>
      <c r="B4" s="478" t="s">
        <v>105</v>
      </c>
      <c r="C4" s="421"/>
      <c r="D4" s="479" t="s">
        <v>106</v>
      </c>
      <c r="E4" s="467"/>
      <c r="F4" s="480" t="s">
        <v>327</v>
      </c>
      <c r="G4" s="422" t="s">
        <v>325</v>
      </c>
      <c r="H4" s="480" t="s">
        <v>310</v>
      </c>
      <c r="I4" s="422" t="s">
        <v>325</v>
      </c>
      <c r="J4" s="480" t="s">
        <v>311</v>
      </c>
      <c r="K4" s="422" t="s">
        <v>325</v>
      </c>
      <c r="L4" s="480" t="s">
        <v>312</v>
      </c>
      <c r="M4" s="422" t="s">
        <v>325</v>
      </c>
      <c r="N4" s="480" t="s">
        <v>313</v>
      </c>
      <c r="O4" s="422" t="s">
        <v>325</v>
      </c>
      <c r="P4" s="423" t="s">
        <v>98</v>
      </c>
    </row>
    <row r="5" spans="1:16" ht="19.5" thickBot="1" x14ac:dyDescent="0.35">
      <c r="A5" s="393">
        <v>10000015</v>
      </c>
      <c r="B5" s="473" t="s">
        <v>1</v>
      </c>
      <c r="C5" s="474"/>
      <c r="D5" s="402"/>
      <c r="E5" s="394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3">
        <f t="shared" ref="P5:P38" si="0">SUM(F5:O5)</f>
        <v>0</v>
      </c>
    </row>
    <row r="6" spans="1:16" ht="19.5" thickBot="1" x14ac:dyDescent="0.35">
      <c r="A6" s="395">
        <v>10000102</v>
      </c>
      <c r="B6" s="475" t="s">
        <v>2</v>
      </c>
      <c r="C6" s="474"/>
      <c r="D6" s="403"/>
      <c r="E6" s="394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3">
        <f t="shared" si="0"/>
        <v>0</v>
      </c>
    </row>
    <row r="7" spans="1:16" ht="19.5" thickBot="1" x14ac:dyDescent="0.35">
      <c r="A7" s="395">
        <v>1000006</v>
      </c>
      <c r="B7" s="475" t="s">
        <v>4</v>
      </c>
      <c r="C7" s="474"/>
      <c r="D7" s="403"/>
      <c r="E7" s="394"/>
      <c r="F7" s="392"/>
      <c r="G7" s="392"/>
      <c r="H7" s="392"/>
      <c r="I7" s="392"/>
      <c r="J7" s="392">
        <v>100</v>
      </c>
      <c r="K7" s="392"/>
      <c r="L7" s="392"/>
      <c r="M7" s="392"/>
      <c r="N7" s="392"/>
      <c r="O7" s="392"/>
      <c r="P7" s="397">
        <f t="shared" si="0"/>
        <v>100</v>
      </c>
    </row>
    <row r="8" spans="1:16" ht="19.5" thickBot="1" x14ac:dyDescent="0.35">
      <c r="A8" s="395">
        <v>1000007</v>
      </c>
      <c r="B8" s="475" t="s">
        <v>5</v>
      </c>
      <c r="C8" s="474"/>
      <c r="D8" s="403"/>
      <c r="E8" s="394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3">
        <f t="shared" si="0"/>
        <v>0</v>
      </c>
    </row>
    <row r="9" spans="1:16" ht="19.5" thickBot="1" x14ac:dyDescent="0.35">
      <c r="A9" s="395">
        <v>1000001</v>
      </c>
      <c r="B9" s="475" t="s">
        <v>8</v>
      </c>
      <c r="C9" s="474"/>
      <c r="D9" s="403"/>
      <c r="E9" s="394"/>
      <c r="F9" s="392"/>
      <c r="G9" s="392"/>
      <c r="H9" s="392"/>
      <c r="I9" s="392"/>
      <c r="J9" s="392">
        <v>1</v>
      </c>
      <c r="K9" s="392"/>
      <c r="L9" s="392"/>
      <c r="M9" s="392"/>
      <c r="N9" s="392"/>
      <c r="O9" s="392"/>
      <c r="P9" s="397">
        <f t="shared" si="0"/>
        <v>1</v>
      </c>
    </row>
    <row r="10" spans="1:16" ht="19.5" thickBot="1" x14ac:dyDescent="0.35">
      <c r="A10" s="395">
        <v>1000002</v>
      </c>
      <c r="B10" s="475" t="s">
        <v>9</v>
      </c>
      <c r="C10" s="474"/>
      <c r="D10" s="403"/>
      <c r="E10" s="394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3">
        <f t="shared" si="0"/>
        <v>0</v>
      </c>
    </row>
    <row r="11" spans="1:16" ht="19.5" thickBot="1" x14ac:dyDescent="0.35">
      <c r="A11" s="395">
        <v>1000054</v>
      </c>
      <c r="B11" s="475" t="s">
        <v>12</v>
      </c>
      <c r="C11" s="474"/>
      <c r="D11" s="403"/>
      <c r="E11" s="394"/>
      <c r="F11" s="392"/>
      <c r="G11" s="392"/>
      <c r="H11" s="392"/>
      <c r="I11" s="392"/>
      <c r="J11" s="392"/>
      <c r="K11" s="392"/>
      <c r="L11" s="392"/>
      <c r="M11" s="392"/>
      <c r="N11" s="392"/>
      <c r="O11" s="392"/>
      <c r="P11" s="393">
        <f t="shared" si="0"/>
        <v>0</v>
      </c>
    </row>
    <row r="12" spans="1:16" ht="19.5" thickBot="1" x14ac:dyDescent="0.35">
      <c r="A12" s="395">
        <v>1000070</v>
      </c>
      <c r="B12" s="475" t="s">
        <v>13</v>
      </c>
      <c r="C12" s="474"/>
      <c r="D12" s="403"/>
      <c r="E12" s="394"/>
      <c r="F12" s="392"/>
      <c r="G12" s="392"/>
      <c r="H12" s="392"/>
      <c r="I12" s="392"/>
      <c r="J12" s="392">
        <v>1</v>
      </c>
      <c r="K12" s="392"/>
      <c r="L12" s="392"/>
      <c r="M12" s="392"/>
      <c r="N12" s="392"/>
      <c r="O12" s="392"/>
      <c r="P12" s="397">
        <f t="shared" si="0"/>
        <v>1</v>
      </c>
    </row>
    <row r="13" spans="1:16" ht="19.5" thickBot="1" x14ac:dyDescent="0.35">
      <c r="A13" s="395">
        <v>1000017</v>
      </c>
      <c r="B13" s="475" t="s">
        <v>14</v>
      </c>
      <c r="C13" s="474"/>
      <c r="D13" s="403"/>
      <c r="E13" s="394"/>
      <c r="F13" s="392"/>
      <c r="G13" s="392"/>
      <c r="H13" s="392"/>
      <c r="I13" s="392"/>
      <c r="J13" s="392">
        <v>5</v>
      </c>
      <c r="K13" s="392"/>
      <c r="L13" s="392"/>
      <c r="M13" s="392"/>
      <c r="N13" s="392"/>
      <c r="O13" s="392"/>
      <c r="P13" s="397">
        <f t="shared" si="0"/>
        <v>5</v>
      </c>
    </row>
    <row r="14" spans="1:16" ht="19.5" thickBot="1" x14ac:dyDescent="0.35">
      <c r="A14" s="395">
        <v>1000016</v>
      </c>
      <c r="B14" s="475" t="s">
        <v>15</v>
      </c>
      <c r="C14" s="474"/>
      <c r="D14" s="403"/>
      <c r="E14" s="394"/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3">
        <f t="shared" si="0"/>
        <v>0</v>
      </c>
    </row>
    <row r="15" spans="1:16" ht="19.5" thickBot="1" x14ac:dyDescent="0.35">
      <c r="A15" s="395">
        <v>1000041</v>
      </c>
      <c r="B15" s="475" t="s">
        <v>16</v>
      </c>
      <c r="C15" s="474"/>
      <c r="D15" s="403"/>
      <c r="E15" s="394"/>
      <c r="F15" s="392"/>
      <c r="G15" s="392"/>
      <c r="H15" s="392"/>
      <c r="I15" s="392"/>
      <c r="J15" s="392"/>
      <c r="K15" s="392"/>
      <c r="L15" s="392"/>
      <c r="M15" s="392"/>
      <c r="N15" s="392"/>
      <c r="O15" s="392"/>
      <c r="P15" s="393">
        <f t="shared" si="0"/>
        <v>0</v>
      </c>
    </row>
    <row r="16" spans="1:16" ht="19.5" thickBot="1" x14ac:dyDescent="0.35">
      <c r="A16" s="395">
        <v>1000049</v>
      </c>
      <c r="B16" s="475" t="s">
        <v>21</v>
      </c>
      <c r="C16" s="474"/>
      <c r="D16" s="403"/>
      <c r="E16" s="394"/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3">
        <f t="shared" si="0"/>
        <v>0</v>
      </c>
    </row>
    <row r="17" spans="1:16" ht="19.5" thickBot="1" x14ac:dyDescent="0.35">
      <c r="A17" s="395">
        <v>1000050</v>
      </c>
      <c r="B17" s="475" t="s">
        <v>22</v>
      </c>
      <c r="C17" s="474"/>
      <c r="D17" s="403"/>
      <c r="E17" s="394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3">
        <f t="shared" si="0"/>
        <v>0</v>
      </c>
    </row>
    <row r="18" spans="1:16" ht="19.5" thickBot="1" x14ac:dyDescent="0.35">
      <c r="A18" s="395">
        <v>1000031</v>
      </c>
      <c r="B18" s="475" t="s">
        <v>25</v>
      </c>
      <c r="C18" s="474"/>
      <c r="D18" s="403"/>
      <c r="E18" s="394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3">
        <f t="shared" si="0"/>
        <v>0</v>
      </c>
    </row>
    <row r="19" spans="1:16" ht="19.5" thickBot="1" x14ac:dyDescent="0.35">
      <c r="A19" s="395">
        <v>1000026</v>
      </c>
      <c r="B19" s="475" t="s">
        <v>31</v>
      </c>
      <c r="C19" s="474"/>
      <c r="D19" s="403"/>
      <c r="E19" s="394"/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3">
        <f t="shared" si="0"/>
        <v>0</v>
      </c>
    </row>
    <row r="20" spans="1:16" ht="19.5" thickBot="1" x14ac:dyDescent="0.35">
      <c r="A20" s="395">
        <v>1000025</v>
      </c>
      <c r="B20" s="475" t="s">
        <v>32</v>
      </c>
      <c r="C20" s="474"/>
      <c r="D20" s="403"/>
      <c r="E20" s="394"/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3">
        <f t="shared" si="0"/>
        <v>0</v>
      </c>
    </row>
    <row r="21" spans="1:16" ht="19.5" thickBot="1" x14ac:dyDescent="0.35">
      <c r="A21" s="395">
        <v>1000100</v>
      </c>
      <c r="B21" s="475" t="s">
        <v>34</v>
      </c>
      <c r="C21" s="474"/>
      <c r="D21" s="403"/>
      <c r="E21" s="394"/>
      <c r="F21" s="392"/>
      <c r="G21" s="392"/>
      <c r="H21" s="392"/>
      <c r="I21" s="392"/>
      <c r="J21" s="392"/>
      <c r="K21" s="392"/>
      <c r="L21" s="392"/>
      <c r="M21" s="392"/>
      <c r="N21" s="392"/>
      <c r="O21" s="392"/>
      <c r="P21" s="393">
        <f t="shared" si="0"/>
        <v>0</v>
      </c>
    </row>
    <row r="22" spans="1:16" ht="19.5" thickBot="1" x14ac:dyDescent="0.35">
      <c r="A22" s="395">
        <v>1000073</v>
      </c>
      <c r="B22" s="475" t="s">
        <v>36</v>
      </c>
      <c r="C22" s="474"/>
      <c r="D22" s="403"/>
      <c r="E22" s="394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3">
        <f t="shared" si="0"/>
        <v>0</v>
      </c>
    </row>
    <row r="23" spans="1:16" ht="19.5" thickBot="1" x14ac:dyDescent="0.35">
      <c r="A23" s="395">
        <v>1000383</v>
      </c>
      <c r="B23" s="475" t="s">
        <v>264</v>
      </c>
      <c r="C23" s="474"/>
      <c r="D23" s="403"/>
      <c r="E23" s="394"/>
      <c r="F23" s="392"/>
      <c r="G23" s="392"/>
      <c r="H23" s="392"/>
      <c r="I23" s="392"/>
      <c r="J23" s="392"/>
      <c r="K23" s="392"/>
      <c r="L23" s="392"/>
      <c r="M23" s="392"/>
      <c r="N23" s="392"/>
      <c r="O23" s="392"/>
      <c r="P23" s="393">
        <f t="shared" si="0"/>
        <v>0</v>
      </c>
    </row>
    <row r="24" spans="1:16" ht="19.5" thickBot="1" x14ac:dyDescent="0.35">
      <c r="A24" s="395">
        <v>1000146</v>
      </c>
      <c r="B24" s="475" t="s">
        <v>39</v>
      </c>
      <c r="C24" s="474"/>
      <c r="D24" s="403"/>
      <c r="E24" s="394"/>
      <c r="F24" s="392"/>
      <c r="G24" s="392"/>
      <c r="H24" s="392"/>
      <c r="I24" s="392"/>
      <c r="J24" s="392"/>
      <c r="K24" s="392"/>
      <c r="L24" s="392"/>
      <c r="M24" s="392"/>
      <c r="N24" s="392"/>
      <c r="O24" s="392"/>
      <c r="P24" s="393">
        <f t="shared" si="0"/>
        <v>0</v>
      </c>
    </row>
    <row r="25" spans="1:16" ht="19.5" thickBot="1" x14ac:dyDescent="0.35">
      <c r="A25" s="395">
        <v>10248</v>
      </c>
      <c r="B25" s="475" t="s">
        <v>183</v>
      </c>
      <c r="C25" s="474"/>
      <c r="D25" s="403"/>
      <c r="E25" s="394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3">
        <f t="shared" si="0"/>
        <v>0</v>
      </c>
    </row>
    <row r="26" spans="1:16" ht="19.5" thickBot="1" x14ac:dyDescent="0.35">
      <c r="A26" s="395">
        <v>1000052</v>
      </c>
      <c r="B26" s="475" t="s">
        <v>41</v>
      </c>
      <c r="C26" s="474"/>
      <c r="D26" s="403"/>
      <c r="E26" s="394"/>
      <c r="F26" s="392"/>
      <c r="G26" s="392"/>
      <c r="H26" s="392"/>
      <c r="I26" s="392"/>
      <c r="J26" s="392">
        <v>1</v>
      </c>
      <c r="K26" s="392"/>
      <c r="L26" s="392"/>
      <c r="M26" s="392"/>
      <c r="N26" s="392"/>
      <c r="O26" s="392"/>
      <c r="P26" s="397">
        <f t="shared" si="0"/>
        <v>1</v>
      </c>
    </row>
    <row r="27" spans="1:16" ht="19.5" thickBot="1" x14ac:dyDescent="0.35">
      <c r="A27" s="395">
        <v>1000089</v>
      </c>
      <c r="B27" s="475" t="s">
        <v>42</v>
      </c>
      <c r="C27" s="474"/>
      <c r="D27" s="403"/>
      <c r="E27" s="394"/>
      <c r="F27" s="392"/>
      <c r="G27" s="392"/>
      <c r="H27" s="392"/>
      <c r="I27" s="392"/>
      <c r="J27" s="392">
        <v>2</v>
      </c>
      <c r="K27" s="392"/>
      <c r="L27" s="392"/>
      <c r="M27" s="392"/>
      <c r="N27" s="392"/>
      <c r="O27" s="392"/>
      <c r="P27" s="397">
        <f t="shared" si="0"/>
        <v>2</v>
      </c>
    </row>
    <row r="28" spans="1:16" ht="19.5" thickBot="1" x14ac:dyDescent="0.35">
      <c r="A28" s="395">
        <v>1000051</v>
      </c>
      <c r="B28" s="475" t="s">
        <v>43</v>
      </c>
      <c r="C28" s="474"/>
      <c r="D28" s="403"/>
      <c r="E28" s="394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3">
        <f t="shared" si="0"/>
        <v>0</v>
      </c>
    </row>
    <row r="29" spans="1:16" ht="19.5" thickBot="1" x14ac:dyDescent="0.35">
      <c r="A29" s="395">
        <v>1000048</v>
      </c>
      <c r="B29" s="475" t="s">
        <v>45</v>
      </c>
      <c r="C29" s="474"/>
      <c r="D29" s="403"/>
      <c r="E29" s="394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3">
        <f t="shared" si="0"/>
        <v>0</v>
      </c>
    </row>
    <row r="30" spans="1:16" ht="19.5" thickBot="1" x14ac:dyDescent="0.35">
      <c r="A30" s="395">
        <v>1000076</v>
      </c>
      <c r="B30" s="475" t="s">
        <v>46</v>
      </c>
      <c r="C30" s="474"/>
      <c r="D30" s="403"/>
      <c r="E30" s="394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3">
        <f t="shared" si="0"/>
        <v>0</v>
      </c>
    </row>
    <row r="31" spans="1:16" ht="19.5" thickBot="1" x14ac:dyDescent="0.35">
      <c r="A31" s="395">
        <v>1000142</v>
      </c>
      <c r="B31" s="475" t="s">
        <v>54</v>
      </c>
      <c r="C31" s="474"/>
      <c r="D31" s="403"/>
      <c r="E31" s="394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3">
        <f t="shared" si="0"/>
        <v>0</v>
      </c>
    </row>
    <row r="32" spans="1:16" ht="19.5" thickBot="1" x14ac:dyDescent="0.35">
      <c r="A32" s="395">
        <v>1000472</v>
      </c>
      <c r="B32" s="475" t="s">
        <v>222</v>
      </c>
      <c r="C32" s="474"/>
      <c r="D32" s="403"/>
      <c r="E32" s="394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3">
        <f t="shared" si="0"/>
        <v>0</v>
      </c>
    </row>
    <row r="33" spans="1:16" s="15" customFormat="1" ht="15.95" customHeight="1" thickBot="1" x14ac:dyDescent="0.35">
      <c r="A33" s="395">
        <v>1000045</v>
      </c>
      <c r="B33" s="475" t="s">
        <v>23</v>
      </c>
      <c r="C33" s="474"/>
      <c r="D33" s="403"/>
      <c r="E33" s="394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3">
        <f t="shared" si="0"/>
        <v>0</v>
      </c>
    </row>
    <row r="34" spans="1:16" ht="19.5" thickBot="1" x14ac:dyDescent="0.35">
      <c r="A34" s="395">
        <v>1000080</v>
      </c>
      <c r="B34" s="475" t="s">
        <v>275</v>
      </c>
      <c r="C34" s="474"/>
      <c r="D34" s="403"/>
      <c r="E34" s="394"/>
      <c r="F34" s="392"/>
      <c r="G34" s="392"/>
      <c r="H34" s="392"/>
      <c r="I34" s="392"/>
      <c r="J34" s="392">
        <v>12</v>
      </c>
      <c r="K34" s="392"/>
      <c r="L34" s="392"/>
      <c r="M34" s="392"/>
      <c r="N34" s="392"/>
      <c r="O34" s="392"/>
      <c r="P34" s="397">
        <f t="shared" si="0"/>
        <v>12</v>
      </c>
    </row>
    <row r="35" spans="1:16" ht="19.5" thickBot="1" x14ac:dyDescent="0.35">
      <c r="A35" s="395">
        <v>1000436</v>
      </c>
      <c r="B35" s="475" t="s">
        <v>276</v>
      </c>
      <c r="C35" s="474"/>
      <c r="D35" s="403"/>
      <c r="E35" s="394"/>
      <c r="F35" s="392"/>
      <c r="G35" s="392"/>
      <c r="H35" s="392"/>
      <c r="I35" s="392"/>
      <c r="J35" s="392">
        <v>10</v>
      </c>
      <c r="K35" s="392"/>
      <c r="L35" s="392"/>
      <c r="M35" s="392"/>
      <c r="N35" s="392"/>
      <c r="O35" s="392"/>
      <c r="P35" s="397">
        <f t="shared" si="0"/>
        <v>10</v>
      </c>
    </row>
    <row r="36" spans="1:16" ht="19.5" thickBot="1" x14ac:dyDescent="0.35">
      <c r="A36" s="395">
        <v>1000550</v>
      </c>
      <c r="B36" s="475" t="s">
        <v>277</v>
      </c>
      <c r="C36" s="474"/>
      <c r="D36" s="403"/>
      <c r="E36" s="394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3">
        <f t="shared" si="0"/>
        <v>0</v>
      </c>
    </row>
    <row r="37" spans="1:16" ht="19.5" thickBot="1" x14ac:dyDescent="0.35">
      <c r="A37" s="476">
        <v>1000551</v>
      </c>
      <c r="B37" s="475" t="s">
        <v>278</v>
      </c>
      <c r="C37" s="477"/>
      <c r="D37" s="395"/>
      <c r="E37" s="405"/>
      <c r="F37" s="392"/>
      <c r="G37" s="392"/>
      <c r="H37" s="392"/>
      <c r="I37" s="392"/>
      <c r="J37" s="392"/>
      <c r="K37" s="392"/>
      <c r="L37" s="392"/>
      <c r="M37" s="392"/>
      <c r="N37" s="392"/>
      <c r="O37" s="392"/>
      <c r="P37" s="393">
        <f t="shared" si="0"/>
        <v>0</v>
      </c>
    </row>
    <row r="38" spans="1:16" ht="21" thickBot="1" x14ac:dyDescent="0.35">
      <c r="A38" s="457">
        <v>1000067</v>
      </c>
      <c r="B38" s="425" t="s">
        <v>11</v>
      </c>
      <c r="C38" s="477"/>
      <c r="D38" s="396"/>
      <c r="E38" s="405"/>
      <c r="F38" s="392"/>
      <c r="G38" s="392"/>
      <c r="H38" s="392"/>
      <c r="I38" s="392"/>
      <c r="J38" s="392"/>
      <c r="K38" s="392"/>
      <c r="L38" s="392"/>
      <c r="M38" s="392"/>
      <c r="N38" s="392"/>
      <c r="O38" s="392"/>
      <c r="P38" s="393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81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D487-213C-4E8A-A536-9C8BFB5DCDF6}">
  <sheetPr>
    <tabColor theme="9" tint="-0.249977111117893"/>
    <pageSetUpPr fitToPage="1"/>
  </sheetPr>
  <dimension ref="A1:P63"/>
  <sheetViews>
    <sheetView topLeftCell="A24" zoomScale="85" zoomScaleNormal="85" workbookViewId="0">
      <selection activeCell="P16" sqref="P14:P16"/>
    </sheetView>
  </sheetViews>
  <sheetFormatPr baseColWidth="10" defaultColWidth="10.875" defaultRowHeight="15.75" x14ac:dyDescent="0.25"/>
  <cols>
    <col min="1" max="1" width="9.75" style="3" bestFit="1" customWidth="1"/>
    <col min="2" max="2" width="37.375" style="63" bestFit="1" customWidth="1"/>
    <col min="3" max="3" width="0.875" style="63" customWidth="1"/>
    <col min="4" max="4" width="8.5" style="3" bestFit="1" customWidth="1"/>
    <col min="5" max="5" width="1" style="3" customWidth="1"/>
    <col min="6" max="6" width="9.125" style="3" bestFit="1" customWidth="1"/>
    <col min="7" max="7" width="5.25" style="3" customWidth="1"/>
    <col min="8" max="8" width="9.25" style="3" customWidth="1"/>
    <col min="9" max="9" width="5.375" style="3" customWidth="1"/>
    <col min="10" max="10" width="9.125" style="3" bestFit="1" customWidth="1"/>
    <col min="11" max="11" width="5.25" style="3" customWidth="1"/>
    <col min="12" max="12" width="9.125" style="3" customWidth="1"/>
    <col min="13" max="13" width="4.875" style="3" customWidth="1"/>
    <col min="14" max="14" width="9.125" style="3" bestFit="1" customWidth="1"/>
    <col min="15" max="15" width="5.125" style="3" customWidth="1"/>
    <col min="16" max="16384" width="10.875" style="3"/>
  </cols>
  <sheetData>
    <row r="1" spans="1:16" s="27" customFormat="1" ht="17.25" customHeight="1" x14ac:dyDescent="0.45">
      <c r="A1" s="686" t="s">
        <v>168</v>
      </c>
      <c r="B1" s="687"/>
      <c r="C1" s="18"/>
      <c r="D1" s="18"/>
      <c r="F1" s="751" t="s">
        <v>474</v>
      </c>
      <c r="G1" s="752"/>
      <c r="H1" s="752"/>
      <c r="I1" s="752"/>
      <c r="J1" s="753"/>
      <c r="K1" s="2"/>
    </row>
    <row r="2" spans="1:16" ht="17.25" customHeight="1" thickBot="1" x14ac:dyDescent="0.5">
      <c r="A2" s="688"/>
      <c r="B2" s="689"/>
      <c r="C2" s="18"/>
      <c r="D2" s="18"/>
      <c r="F2" s="754"/>
      <c r="G2" s="755"/>
      <c r="H2" s="755"/>
      <c r="I2" s="755"/>
      <c r="J2" s="756"/>
      <c r="K2" s="2"/>
    </row>
    <row r="3" spans="1:16" ht="20.25" customHeight="1" thickBot="1" x14ac:dyDescent="0.3">
      <c r="A3" s="5"/>
      <c r="B3" s="5" t="s">
        <v>422</v>
      </c>
      <c r="C3" s="18"/>
      <c r="D3" s="18"/>
    </row>
    <row r="4" spans="1:16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27"/>
      <c r="F4" s="19" t="s">
        <v>308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6.5" thickBot="1" x14ac:dyDescent="0.3">
      <c r="A5" s="30">
        <v>10000015</v>
      </c>
      <c r="B5" s="11" t="s">
        <v>1</v>
      </c>
      <c r="C5" s="41"/>
      <c r="D5" s="48">
        <v>10</v>
      </c>
      <c r="E5" s="27"/>
      <c r="F5" s="28"/>
      <c r="G5" s="28"/>
      <c r="H5" s="28">
        <v>10</v>
      </c>
      <c r="I5" s="28"/>
      <c r="J5" s="28">
        <v>10</v>
      </c>
      <c r="K5" s="28"/>
      <c r="L5" s="28"/>
      <c r="M5" s="28"/>
      <c r="N5" s="28"/>
      <c r="O5" s="28"/>
      <c r="P5" s="608">
        <f t="shared" ref="P5:P63" si="0">SUM(F5:O5)</f>
        <v>20</v>
      </c>
    </row>
    <row r="6" spans="1:16" ht="16.5" thickBot="1" x14ac:dyDescent="0.3">
      <c r="A6" s="35">
        <v>10000102</v>
      </c>
      <c r="B6" s="12" t="s">
        <v>2</v>
      </c>
      <c r="C6" s="41"/>
      <c r="D6" s="47">
        <v>1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42">
        <f t="shared" si="0"/>
        <v>0</v>
      </c>
    </row>
    <row r="7" spans="1:16" ht="16.5" thickBot="1" x14ac:dyDescent="0.3">
      <c r="A7" s="35">
        <v>10211</v>
      </c>
      <c r="B7" s="12" t="s">
        <v>3</v>
      </c>
      <c r="C7" s="41"/>
      <c r="D7" s="47">
        <v>4000</v>
      </c>
      <c r="E7" s="27"/>
      <c r="F7" s="28">
        <v>1000</v>
      </c>
      <c r="G7" s="28"/>
      <c r="H7" s="28">
        <v>1000</v>
      </c>
      <c r="I7" s="28"/>
      <c r="J7" s="28">
        <v>1000</v>
      </c>
      <c r="K7" s="28"/>
      <c r="L7" s="28">
        <v>1000</v>
      </c>
      <c r="M7" s="28"/>
      <c r="N7" s="28">
        <v>1000</v>
      </c>
      <c r="O7" s="28"/>
      <c r="P7" s="608">
        <f t="shared" si="0"/>
        <v>5000</v>
      </c>
    </row>
    <row r="8" spans="1:16" ht="16.5" thickBot="1" x14ac:dyDescent="0.3">
      <c r="A8" s="35">
        <v>1000007</v>
      </c>
      <c r="B8" s="12" t="s">
        <v>5</v>
      </c>
      <c r="C8" s="41"/>
      <c r="D8" s="47">
        <v>1800</v>
      </c>
      <c r="E8" s="27"/>
      <c r="F8" s="28">
        <v>500</v>
      </c>
      <c r="G8" s="28"/>
      <c r="H8" s="28">
        <v>300</v>
      </c>
      <c r="I8" s="28"/>
      <c r="J8" s="28">
        <v>400</v>
      </c>
      <c r="K8" s="28"/>
      <c r="L8" s="28">
        <v>300</v>
      </c>
      <c r="M8" s="28"/>
      <c r="N8" s="28">
        <v>300</v>
      </c>
      <c r="O8" s="28"/>
      <c r="P8" s="608">
        <f t="shared" si="0"/>
        <v>1800</v>
      </c>
    </row>
    <row r="9" spans="1:16" ht="16.5" thickBot="1" x14ac:dyDescent="0.3">
      <c r="A9" s="35">
        <v>1000008</v>
      </c>
      <c r="B9" s="12" t="s">
        <v>7</v>
      </c>
      <c r="C9" s="41"/>
      <c r="D9" s="47">
        <v>434</v>
      </c>
      <c r="E9" s="27"/>
      <c r="F9" s="28">
        <v>50</v>
      </c>
      <c r="G9" s="28"/>
      <c r="H9" s="28">
        <v>50</v>
      </c>
      <c r="I9" s="28"/>
      <c r="J9" s="28">
        <v>50</v>
      </c>
      <c r="K9" s="28"/>
      <c r="L9" s="28"/>
      <c r="M9" s="28"/>
      <c r="N9" s="28">
        <v>50</v>
      </c>
      <c r="O9" s="28"/>
      <c r="P9" s="608">
        <f t="shared" si="0"/>
        <v>200</v>
      </c>
    </row>
    <row r="10" spans="1:16" ht="16.5" thickBot="1" x14ac:dyDescent="0.3">
      <c r="A10" s="35">
        <v>1000001</v>
      </c>
      <c r="B10" s="12" t="s">
        <v>8</v>
      </c>
      <c r="C10" s="41"/>
      <c r="D10" s="47">
        <v>11</v>
      </c>
      <c r="E10" s="27"/>
      <c r="F10" s="28">
        <v>6</v>
      </c>
      <c r="G10" s="28"/>
      <c r="H10" s="28">
        <v>6</v>
      </c>
      <c r="I10" s="28"/>
      <c r="J10" s="28">
        <v>6</v>
      </c>
      <c r="K10" s="28"/>
      <c r="L10" s="28"/>
      <c r="M10" s="28"/>
      <c r="N10" s="28">
        <v>6</v>
      </c>
      <c r="O10" s="28"/>
      <c r="P10" s="608">
        <f t="shared" si="0"/>
        <v>24</v>
      </c>
    </row>
    <row r="11" spans="1:16" ht="16.5" thickBot="1" x14ac:dyDescent="0.3">
      <c r="A11" s="35">
        <v>1000002</v>
      </c>
      <c r="B11" s="12" t="s">
        <v>9</v>
      </c>
      <c r="C11" s="41"/>
      <c r="D11" s="47">
        <v>11</v>
      </c>
      <c r="E11" s="27"/>
      <c r="F11" s="28">
        <v>3</v>
      </c>
      <c r="G11" s="28"/>
      <c r="H11" s="28">
        <v>4</v>
      </c>
      <c r="I11" s="28"/>
      <c r="J11" s="28">
        <v>3</v>
      </c>
      <c r="K11" s="28"/>
      <c r="L11" s="28"/>
      <c r="M11" s="28"/>
      <c r="N11" s="28">
        <v>4</v>
      </c>
      <c r="O11" s="28"/>
      <c r="P11" s="608">
        <f t="shared" si="0"/>
        <v>14</v>
      </c>
    </row>
    <row r="12" spans="1:16" ht="16.5" thickBot="1" x14ac:dyDescent="0.3">
      <c r="A12" s="35">
        <v>1000054</v>
      </c>
      <c r="B12" s="12" t="s">
        <v>12</v>
      </c>
      <c r="C12" s="41"/>
      <c r="D12" s="47">
        <v>100</v>
      </c>
      <c r="E12" s="27"/>
      <c r="F12" s="28">
        <v>10</v>
      </c>
      <c r="G12" s="28"/>
      <c r="H12" s="28">
        <v>15</v>
      </c>
      <c r="I12" s="28"/>
      <c r="J12" s="28">
        <v>10</v>
      </c>
      <c r="K12" s="28"/>
      <c r="L12" s="28">
        <v>15</v>
      </c>
      <c r="M12" s="28"/>
      <c r="N12" s="28">
        <v>15</v>
      </c>
      <c r="O12" s="28"/>
      <c r="P12" s="608">
        <f t="shared" si="0"/>
        <v>65</v>
      </c>
    </row>
    <row r="13" spans="1:16" ht="16.5" thickBot="1" x14ac:dyDescent="0.3">
      <c r="A13" s="35">
        <v>1000070</v>
      </c>
      <c r="B13" s="12" t="s">
        <v>13</v>
      </c>
      <c r="C13" s="41"/>
      <c r="D13" s="47">
        <v>11</v>
      </c>
      <c r="E13" s="27"/>
      <c r="F13" s="28">
        <v>10</v>
      </c>
      <c r="G13" s="28"/>
      <c r="H13" s="28">
        <v>10</v>
      </c>
      <c r="I13" s="28"/>
      <c r="J13" s="28">
        <v>5</v>
      </c>
      <c r="K13" s="28"/>
      <c r="L13" s="28"/>
      <c r="M13" s="28"/>
      <c r="N13" s="28">
        <v>10</v>
      </c>
      <c r="O13" s="28"/>
      <c r="P13" s="608">
        <f t="shared" si="0"/>
        <v>35</v>
      </c>
    </row>
    <row r="14" spans="1:16" ht="16.5" thickBot="1" x14ac:dyDescent="0.3">
      <c r="A14" s="35">
        <v>1000017</v>
      </c>
      <c r="B14" s="12" t="s">
        <v>14</v>
      </c>
      <c r="C14" s="41"/>
      <c r="D14" s="47">
        <v>40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42">
        <f t="shared" si="0"/>
        <v>0</v>
      </c>
    </row>
    <row r="15" spans="1:16" ht="16.5" thickBot="1" x14ac:dyDescent="0.3">
      <c r="A15" s="35">
        <v>1000016</v>
      </c>
      <c r="B15" s="12" t="s">
        <v>15</v>
      </c>
      <c r="C15" s="41"/>
      <c r="D15" s="47">
        <v>30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42">
        <f t="shared" si="0"/>
        <v>0</v>
      </c>
    </row>
    <row r="16" spans="1:16" ht="16.5" thickBot="1" x14ac:dyDescent="0.3">
      <c r="A16" s="35">
        <v>1000041</v>
      </c>
      <c r="B16" s="13" t="s">
        <v>16</v>
      </c>
      <c r="C16" s="41"/>
      <c r="D16" s="47">
        <v>5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42">
        <f t="shared" si="0"/>
        <v>0</v>
      </c>
    </row>
    <row r="17" spans="1:16" ht="16.5" thickBot="1" x14ac:dyDescent="0.3">
      <c r="A17" s="35">
        <v>1000012</v>
      </c>
      <c r="B17" s="12" t="s">
        <v>20</v>
      </c>
      <c r="C17" s="41"/>
      <c r="D17" s="47">
        <v>4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42">
        <f t="shared" si="0"/>
        <v>0</v>
      </c>
    </row>
    <row r="18" spans="1:16" ht="16.5" thickBot="1" x14ac:dyDescent="0.3">
      <c r="A18" s="35">
        <v>1000049</v>
      </c>
      <c r="B18" s="12" t="s">
        <v>21</v>
      </c>
      <c r="C18" s="41"/>
      <c r="D18" s="47">
        <v>4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42">
        <f t="shared" si="0"/>
        <v>0</v>
      </c>
    </row>
    <row r="19" spans="1:16" ht="16.5" thickBot="1" x14ac:dyDescent="0.3">
      <c r="A19" s="35">
        <v>1000050</v>
      </c>
      <c r="B19" s="12" t="s">
        <v>22</v>
      </c>
      <c r="C19" s="41"/>
      <c r="D19" s="47">
        <v>4</v>
      </c>
      <c r="E19" s="27"/>
      <c r="F19" s="28"/>
      <c r="G19" s="28"/>
      <c r="H19" s="28"/>
      <c r="I19" s="28"/>
      <c r="J19" s="28">
        <v>4</v>
      </c>
      <c r="K19" s="28"/>
      <c r="L19" s="28"/>
      <c r="M19" s="28"/>
      <c r="N19" s="28"/>
      <c r="O19" s="28"/>
      <c r="P19" s="608">
        <f t="shared" si="0"/>
        <v>4</v>
      </c>
    </row>
    <row r="20" spans="1:16" ht="16.5" thickBot="1" x14ac:dyDescent="0.3">
      <c r="A20" s="35">
        <v>1000031</v>
      </c>
      <c r="B20" s="12" t="s">
        <v>25</v>
      </c>
      <c r="C20" s="41"/>
      <c r="D20" s="47">
        <v>2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42">
        <f t="shared" si="0"/>
        <v>0</v>
      </c>
    </row>
    <row r="21" spans="1:16" ht="16.5" thickBot="1" x14ac:dyDescent="0.3">
      <c r="A21" s="35">
        <v>1000025</v>
      </c>
      <c r="B21" s="12" t="s">
        <v>32</v>
      </c>
      <c r="C21" s="41"/>
      <c r="D21" s="47">
        <v>40</v>
      </c>
      <c r="E21" s="27"/>
      <c r="F21" s="28">
        <v>10</v>
      </c>
      <c r="G21" s="28"/>
      <c r="H21" s="28">
        <v>10</v>
      </c>
      <c r="I21" s="28"/>
      <c r="J21" s="28">
        <v>10</v>
      </c>
      <c r="K21" s="28"/>
      <c r="L21" s="28">
        <v>10</v>
      </c>
      <c r="M21" s="28"/>
      <c r="N21" s="28">
        <v>10</v>
      </c>
      <c r="O21" s="28"/>
      <c r="P21" s="608">
        <f t="shared" si="0"/>
        <v>50</v>
      </c>
    </row>
    <row r="22" spans="1:16" ht="16.5" thickBot="1" x14ac:dyDescent="0.3">
      <c r="A22" s="35">
        <v>1000100</v>
      </c>
      <c r="B22" s="12" t="s">
        <v>34</v>
      </c>
      <c r="C22" s="41"/>
      <c r="D22" s="47">
        <v>3</v>
      </c>
      <c r="E22" s="27"/>
      <c r="F22" s="28">
        <v>4</v>
      </c>
      <c r="G22" s="28"/>
      <c r="H22" s="28"/>
      <c r="I22" s="28"/>
      <c r="J22" s="28"/>
      <c r="K22" s="28"/>
      <c r="L22" s="28"/>
      <c r="M22" s="28"/>
      <c r="N22" s="28"/>
      <c r="O22" s="28"/>
      <c r="P22" s="42">
        <f t="shared" si="0"/>
        <v>4</v>
      </c>
    </row>
    <row r="23" spans="1:16" ht="16.5" thickBot="1" x14ac:dyDescent="0.3">
      <c r="A23" s="35">
        <v>1000073</v>
      </c>
      <c r="B23" s="12" t="s">
        <v>36</v>
      </c>
      <c r="C23" s="41"/>
      <c r="D23" s="47">
        <v>1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42">
        <f t="shared" si="0"/>
        <v>0</v>
      </c>
    </row>
    <row r="24" spans="1:16" ht="16.5" thickBot="1" x14ac:dyDescent="0.3">
      <c r="A24" s="35">
        <v>1000536</v>
      </c>
      <c r="B24" s="12" t="s">
        <v>269</v>
      </c>
      <c r="C24" s="41"/>
      <c r="D24" s="47">
        <v>200</v>
      </c>
      <c r="E24" s="27"/>
      <c r="F24" s="28">
        <v>80</v>
      </c>
      <c r="G24" s="28"/>
      <c r="H24" s="28">
        <v>80</v>
      </c>
      <c r="I24" s="28"/>
      <c r="J24" s="28">
        <v>80</v>
      </c>
      <c r="K24" s="28"/>
      <c r="L24" s="28">
        <v>34</v>
      </c>
      <c r="M24" s="28"/>
      <c r="N24" s="28">
        <v>80</v>
      </c>
      <c r="O24" s="28"/>
      <c r="P24" s="608">
        <f t="shared" si="0"/>
        <v>354</v>
      </c>
    </row>
    <row r="25" spans="1:16" ht="16.5" thickBot="1" x14ac:dyDescent="0.3">
      <c r="A25" s="35">
        <v>1000535</v>
      </c>
      <c r="B25" s="12" t="s">
        <v>266</v>
      </c>
      <c r="C25" s="41"/>
      <c r="D25" s="47">
        <v>100</v>
      </c>
      <c r="E25" s="27"/>
      <c r="F25" s="28">
        <v>56</v>
      </c>
      <c r="G25" s="28"/>
      <c r="H25" s="28">
        <v>64</v>
      </c>
      <c r="I25" s="28"/>
      <c r="J25" s="28">
        <v>60</v>
      </c>
      <c r="K25" s="28"/>
      <c r="L25" s="28">
        <v>68</v>
      </c>
      <c r="M25" s="28"/>
      <c r="N25" s="28">
        <v>64</v>
      </c>
      <c r="O25" s="28"/>
      <c r="P25" s="608">
        <f t="shared" si="0"/>
        <v>312</v>
      </c>
    </row>
    <row r="26" spans="1:16" ht="16.5" thickBot="1" x14ac:dyDescent="0.3">
      <c r="A26" s="35">
        <v>1000146</v>
      </c>
      <c r="B26" s="12" t="s">
        <v>39</v>
      </c>
      <c r="C26" s="41"/>
      <c r="D26" s="47">
        <v>40</v>
      </c>
      <c r="E26" s="27"/>
      <c r="F26" s="28">
        <v>20</v>
      </c>
      <c r="G26" s="28"/>
      <c r="H26" s="28">
        <v>20</v>
      </c>
      <c r="I26" s="28"/>
      <c r="J26" s="28">
        <v>20</v>
      </c>
      <c r="K26" s="28"/>
      <c r="L26" s="28">
        <v>20</v>
      </c>
      <c r="M26" s="28"/>
      <c r="N26" s="28">
        <v>20</v>
      </c>
      <c r="O26" s="28"/>
      <c r="P26" s="608">
        <f t="shared" si="0"/>
        <v>100</v>
      </c>
    </row>
    <row r="27" spans="1:16" ht="16.5" thickBot="1" x14ac:dyDescent="0.3">
      <c r="A27" s="35">
        <v>1000090</v>
      </c>
      <c r="B27" s="12" t="s">
        <v>40</v>
      </c>
      <c r="C27" s="41"/>
      <c r="D27" s="47">
        <v>10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42">
        <f t="shared" si="0"/>
        <v>0</v>
      </c>
    </row>
    <row r="28" spans="1:16" ht="16.5" thickBot="1" x14ac:dyDescent="0.3">
      <c r="A28" s="35">
        <v>1000052</v>
      </c>
      <c r="B28" s="12" t="s">
        <v>41</v>
      </c>
      <c r="C28" s="41"/>
      <c r="D28" s="47">
        <v>15</v>
      </c>
      <c r="E28" s="27"/>
      <c r="F28" s="28">
        <v>8</v>
      </c>
      <c r="G28" s="28"/>
      <c r="H28" s="28">
        <v>8</v>
      </c>
      <c r="I28" s="28"/>
      <c r="J28" s="28">
        <v>8</v>
      </c>
      <c r="K28" s="28"/>
      <c r="L28" s="28">
        <v>6</v>
      </c>
      <c r="M28" s="28"/>
      <c r="N28" s="28">
        <v>8</v>
      </c>
      <c r="O28" s="28"/>
      <c r="P28" s="608">
        <f t="shared" si="0"/>
        <v>38</v>
      </c>
    </row>
    <row r="29" spans="1:16" ht="16.5" thickBot="1" x14ac:dyDescent="0.3">
      <c r="A29" s="35">
        <v>1000089</v>
      </c>
      <c r="B29" s="12" t="s">
        <v>42</v>
      </c>
      <c r="C29" s="41"/>
      <c r="D29" s="47">
        <v>15</v>
      </c>
      <c r="E29" s="27"/>
      <c r="F29" s="28">
        <v>8</v>
      </c>
      <c r="G29" s="28"/>
      <c r="H29" s="28">
        <v>8</v>
      </c>
      <c r="I29" s="28"/>
      <c r="J29" s="28">
        <v>8</v>
      </c>
      <c r="K29" s="28"/>
      <c r="L29" s="28">
        <v>6</v>
      </c>
      <c r="M29" s="28"/>
      <c r="N29" s="28">
        <v>8</v>
      </c>
      <c r="O29" s="28"/>
      <c r="P29" s="608">
        <f t="shared" si="0"/>
        <v>38</v>
      </c>
    </row>
    <row r="30" spans="1:16" ht="16.5" thickBot="1" x14ac:dyDescent="0.3">
      <c r="A30" s="35">
        <v>1000051</v>
      </c>
      <c r="B30" s="12" t="s">
        <v>43</v>
      </c>
      <c r="C30" s="41"/>
      <c r="D30" s="47">
        <v>10</v>
      </c>
      <c r="E30" s="27"/>
      <c r="F30" s="28">
        <v>3</v>
      </c>
      <c r="G30" s="28"/>
      <c r="H30" s="28">
        <v>4</v>
      </c>
      <c r="I30" s="28"/>
      <c r="J30" s="28"/>
      <c r="K30" s="28"/>
      <c r="L30" s="28"/>
      <c r="M30" s="28"/>
      <c r="N30" s="28">
        <v>4</v>
      </c>
      <c r="O30" s="28"/>
      <c r="P30" s="608">
        <f t="shared" si="0"/>
        <v>11</v>
      </c>
    </row>
    <row r="31" spans="1:16" ht="16.5" thickBot="1" x14ac:dyDescent="0.3">
      <c r="A31" s="35">
        <v>1000048</v>
      </c>
      <c r="B31" s="12" t="s">
        <v>45</v>
      </c>
      <c r="C31" s="41"/>
      <c r="D31" s="47">
        <v>1</v>
      </c>
      <c r="E31" s="27"/>
      <c r="F31" s="28"/>
      <c r="G31" s="28"/>
      <c r="H31" s="28">
        <v>2</v>
      </c>
      <c r="I31" s="28"/>
      <c r="J31" s="28"/>
      <c r="K31" s="28"/>
      <c r="L31" s="28"/>
      <c r="M31" s="28"/>
      <c r="N31" s="28">
        <v>2</v>
      </c>
      <c r="O31" s="28"/>
      <c r="P31" s="608">
        <f t="shared" si="0"/>
        <v>4</v>
      </c>
    </row>
    <row r="32" spans="1:16" ht="16.5" thickBot="1" x14ac:dyDescent="0.3">
      <c r="A32" s="35">
        <v>1000085</v>
      </c>
      <c r="B32" s="12" t="s">
        <v>50</v>
      </c>
      <c r="C32" s="41"/>
      <c r="D32" s="47">
        <v>1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42">
        <f t="shared" si="0"/>
        <v>0</v>
      </c>
    </row>
    <row r="33" spans="1:16" ht="16.5" thickBot="1" x14ac:dyDescent="0.3">
      <c r="A33" s="35">
        <v>1000148</v>
      </c>
      <c r="B33" s="12" t="s">
        <v>53</v>
      </c>
      <c r="C33" s="41"/>
      <c r="D33" s="47">
        <v>2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42">
        <f t="shared" si="0"/>
        <v>0</v>
      </c>
    </row>
    <row r="34" spans="1:16" ht="16.5" thickBot="1" x14ac:dyDescent="0.3">
      <c r="A34" s="35">
        <v>1000142</v>
      </c>
      <c r="B34" s="12" t="s">
        <v>54</v>
      </c>
      <c r="C34" s="41"/>
      <c r="D34" s="47">
        <v>1</v>
      </c>
      <c r="E34" s="27"/>
      <c r="F34" s="28">
        <v>2</v>
      </c>
      <c r="G34" s="28"/>
      <c r="H34" s="28"/>
      <c r="I34" s="28"/>
      <c r="J34" s="28"/>
      <c r="K34" s="28"/>
      <c r="L34" s="28"/>
      <c r="M34" s="28"/>
      <c r="N34" s="28"/>
      <c r="O34" s="28"/>
      <c r="P34" s="608">
        <f t="shared" si="0"/>
        <v>2</v>
      </c>
    </row>
    <row r="35" spans="1:16" ht="16.5" thickBot="1" x14ac:dyDescent="0.3">
      <c r="A35" s="35">
        <v>1000004</v>
      </c>
      <c r="B35" s="12" t="s">
        <v>10</v>
      </c>
      <c r="C35" s="41"/>
      <c r="D35" s="47">
        <v>4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42">
        <f t="shared" si="0"/>
        <v>0</v>
      </c>
    </row>
    <row r="36" spans="1:16" ht="16.5" thickBot="1" x14ac:dyDescent="0.3">
      <c r="A36" s="35">
        <v>1000092</v>
      </c>
      <c r="B36" s="12" t="s">
        <v>51</v>
      </c>
      <c r="C36" s="41"/>
      <c r="D36" s="47">
        <v>0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42">
        <f t="shared" si="0"/>
        <v>0</v>
      </c>
    </row>
    <row r="37" spans="1:16" ht="16.5" thickBot="1" x14ac:dyDescent="0.3">
      <c r="A37" s="35">
        <v>10248</v>
      </c>
      <c r="B37" s="12" t="s">
        <v>183</v>
      </c>
      <c r="C37" s="41"/>
      <c r="D37" s="47">
        <v>0</v>
      </c>
      <c r="E37" s="27"/>
      <c r="F37" s="28">
        <v>12</v>
      </c>
      <c r="G37" s="28"/>
      <c r="H37" s="28">
        <v>12</v>
      </c>
      <c r="I37" s="28"/>
      <c r="J37" s="28">
        <v>12</v>
      </c>
      <c r="K37" s="28"/>
      <c r="L37" s="28"/>
      <c r="M37" s="28"/>
      <c r="N37" s="28">
        <v>12</v>
      </c>
      <c r="O37" s="28"/>
      <c r="P37" s="608">
        <f t="shared" si="0"/>
        <v>48</v>
      </c>
    </row>
    <row r="38" spans="1:16" ht="16.5" thickBot="1" x14ac:dyDescent="0.3">
      <c r="A38" s="35">
        <v>1000067</v>
      </c>
      <c r="B38" s="12" t="s">
        <v>11</v>
      </c>
      <c r="C38" s="41"/>
      <c r="D38" s="47">
        <v>1</v>
      </c>
      <c r="E38" s="27"/>
      <c r="F38" s="28"/>
      <c r="G38" s="28"/>
      <c r="H38" s="28"/>
      <c r="I38" s="28"/>
      <c r="J38" s="28"/>
      <c r="K38" s="28"/>
      <c r="L38" s="28">
        <v>4</v>
      </c>
      <c r="M38" s="28"/>
      <c r="N38" s="28"/>
      <c r="O38" s="28"/>
      <c r="P38" s="608">
        <f t="shared" si="0"/>
        <v>4</v>
      </c>
    </row>
    <row r="39" spans="1:16" ht="16.5" thickBot="1" x14ac:dyDescent="0.3">
      <c r="A39" s="35">
        <v>1000083</v>
      </c>
      <c r="B39" s="12" t="s">
        <v>232</v>
      </c>
      <c r="C39" s="41"/>
      <c r="D39" s="47">
        <v>0</v>
      </c>
      <c r="E39" s="27"/>
      <c r="F39" s="28">
        <v>16</v>
      </c>
      <c r="G39" s="28"/>
      <c r="H39" s="28">
        <v>16</v>
      </c>
      <c r="I39" s="28"/>
      <c r="J39" s="28">
        <v>12</v>
      </c>
      <c r="K39" s="28"/>
      <c r="L39" s="28">
        <v>16</v>
      </c>
      <c r="M39" s="28"/>
      <c r="N39" s="28">
        <v>16</v>
      </c>
      <c r="O39" s="28"/>
      <c r="P39" s="608">
        <f t="shared" si="0"/>
        <v>76</v>
      </c>
    </row>
    <row r="40" spans="1:16" ht="16.5" thickBot="1" x14ac:dyDescent="0.3">
      <c r="A40" s="35">
        <v>1000075</v>
      </c>
      <c r="B40" s="12" t="s">
        <v>47</v>
      </c>
      <c r="C40" s="41"/>
      <c r="D40" s="47">
        <v>0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42">
        <f t="shared" si="0"/>
        <v>0</v>
      </c>
    </row>
    <row r="41" spans="1:16" ht="16.5" thickBot="1" x14ac:dyDescent="0.3">
      <c r="A41" s="35">
        <v>1000065</v>
      </c>
      <c r="B41" s="12" t="s">
        <v>63</v>
      </c>
      <c r="C41" s="41"/>
      <c r="D41" s="47">
        <v>0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42">
        <f t="shared" si="0"/>
        <v>0</v>
      </c>
    </row>
    <row r="42" spans="1:16" ht="16.5" thickBot="1" x14ac:dyDescent="0.3">
      <c r="A42" s="35">
        <v>1000029</v>
      </c>
      <c r="B42" s="12" t="s">
        <v>30</v>
      </c>
      <c r="C42" s="41"/>
      <c r="D42" s="47">
        <v>1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42">
        <f t="shared" si="0"/>
        <v>0</v>
      </c>
    </row>
    <row r="43" spans="1:16" ht="16.5" thickBot="1" x14ac:dyDescent="0.3">
      <c r="A43" s="35">
        <v>1000371</v>
      </c>
      <c r="B43" s="12" t="s">
        <v>74</v>
      </c>
      <c r="C43" s="41"/>
      <c r="D43" s="47"/>
      <c r="E43" s="27"/>
      <c r="F43" s="28">
        <v>5</v>
      </c>
      <c r="G43" s="28"/>
      <c r="H43" s="28">
        <v>6</v>
      </c>
      <c r="I43" s="28"/>
      <c r="J43" s="28">
        <v>6</v>
      </c>
      <c r="K43" s="28"/>
      <c r="L43" s="28">
        <v>5</v>
      </c>
      <c r="M43" s="28"/>
      <c r="N43" s="28">
        <v>6</v>
      </c>
      <c r="O43" s="28"/>
      <c r="P43" s="608">
        <f t="shared" si="0"/>
        <v>28</v>
      </c>
    </row>
    <row r="44" spans="1:16" ht="16.5" thickBot="1" x14ac:dyDescent="0.3">
      <c r="A44" s="35">
        <v>1000101</v>
      </c>
      <c r="B44" s="12" t="s">
        <v>35</v>
      </c>
      <c r="C44" s="41"/>
      <c r="D44" s="4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42">
        <f t="shared" si="0"/>
        <v>0</v>
      </c>
    </row>
    <row r="45" spans="1:16" ht="16.5" thickBot="1" x14ac:dyDescent="0.3">
      <c r="A45" s="35">
        <v>1000034</v>
      </c>
      <c r="B45" s="12" t="s">
        <v>28</v>
      </c>
      <c r="C45" s="41"/>
      <c r="D45" s="47"/>
      <c r="E45" s="27"/>
      <c r="F45" s="28">
        <v>2</v>
      </c>
      <c r="G45" s="28"/>
      <c r="H45" s="28">
        <v>2</v>
      </c>
      <c r="I45" s="28"/>
      <c r="J45" s="28">
        <v>2</v>
      </c>
      <c r="K45" s="28"/>
      <c r="L45" s="28"/>
      <c r="M45" s="28"/>
      <c r="N45" s="28">
        <v>2</v>
      </c>
      <c r="O45" s="28"/>
      <c r="P45" s="608">
        <f t="shared" si="0"/>
        <v>8</v>
      </c>
    </row>
    <row r="46" spans="1:16" ht="16.5" thickBot="1" x14ac:dyDescent="0.3">
      <c r="A46" s="35">
        <v>1000045</v>
      </c>
      <c r="B46" s="12" t="s">
        <v>23</v>
      </c>
      <c r="C46" s="41"/>
      <c r="D46" s="47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42">
        <f t="shared" si="0"/>
        <v>0</v>
      </c>
    </row>
    <row r="47" spans="1:16" ht="16.5" thickBot="1" x14ac:dyDescent="0.3">
      <c r="A47" s="35">
        <v>1000037</v>
      </c>
      <c r="B47" s="12" t="s">
        <v>76</v>
      </c>
      <c r="C47" s="41"/>
      <c r="D47" s="47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42">
        <f t="shared" si="0"/>
        <v>0</v>
      </c>
    </row>
    <row r="48" spans="1:16" ht="16.5" thickBot="1" x14ac:dyDescent="0.3">
      <c r="A48" s="35">
        <v>1000033</v>
      </c>
      <c r="B48" s="12" t="s">
        <v>27</v>
      </c>
      <c r="C48" s="41"/>
      <c r="D48" s="47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42">
        <f t="shared" si="0"/>
        <v>0</v>
      </c>
    </row>
    <row r="49" spans="1:16" ht="16.5" thickBot="1" x14ac:dyDescent="0.3">
      <c r="A49" s="35">
        <v>1000147</v>
      </c>
      <c r="B49" s="12" t="s">
        <v>52</v>
      </c>
      <c r="C49" s="41"/>
      <c r="D49" s="47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42">
        <f t="shared" si="0"/>
        <v>0</v>
      </c>
    </row>
    <row r="50" spans="1:16" ht="16.5" thickBot="1" x14ac:dyDescent="0.3">
      <c r="A50" s="35">
        <v>1000214</v>
      </c>
      <c r="B50" s="12" t="s">
        <v>49</v>
      </c>
      <c r="C50" s="41"/>
      <c r="D50" s="47"/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42">
        <f t="shared" si="0"/>
        <v>0</v>
      </c>
    </row>
    <row r="51" spans="1:16" ht="16.5" thickBot="1" x14ac:dyDescent="0.3">
      <c r="A51" s="35">
        <v>1000439</v>
      </c>
      <c r="B51" s="12" t="s">
        <v>193</v>
      </c>
      <c r="C51" s="41"/>
      <c r="D51" s="47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42">
        <f t="shared" si="0"/>
        <v>0</v>
      </c>
    </row>
    <row r="52" spans="1:16" ht="16.5" thickBot="1" x14ac:dyDescent="0.3">
      <c r="A52" s="35">
        <v>1000010</v>
      </c>
      <c r="B52" s="12" t="s">
        <v>17</v>
      </c>
      <c r="C52" s="41"/>
      <c r="D52" s="47"/>
      <c r="E52" s="27"/>
      <c r="F52" s="28"/>
      <c r="G52" s="28"/>
      <c r="H52" s="28"/>
      <c r="I52" s="28"/>
      <c r="J52" s="28"/>
      <c r="K52" s="28"/>
      <c r="L52" s="28">
        <v>5</v>
      </c>
      <c r="M52" s="28"/>
      <c r="N52" s="28"/>
      <c r="O52" s="28"/>
      <c r="P52" s="608">
        <f t="shared" si="0"/>
        <v>5</v>
      </c>
    </row>
    <row r="53" spans="1:16" ht="16.5" thickBot="1" x14ac:dyDescent="0.3">
      <c r="A53" s="35">
        <v>1000006</v>
      </c>
      <c r="B53" s="12" t="s">
        <v>4</v>
      </c>
      <c r="C53" s="41"/>
      <c r="D53" s="4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42">
        <f t="shared" si="0"/>
        <v>0</v>
      </c>
    </row>
    <row r="54" spans="1:16" ht="16.5" thickBot="1" x14ac:dyDescent="0.3">
      <c r="A54" s="35">
        <v>1000383</v>
      </c>
      <c r="B54" s="12" t="s">
        <v>264</v>
      </c>
      <c r="C54" s="41"/>
      <c r="D54" s="47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42">
        <f t="shared" si="0"/>
        <v>0</v>
      </c>
    </row>
    <row r="55" spans="1:16" ht="16.5" thickBot="1" x14ac:dyDescent="0.3">
      <c r="A55" s="35">
        <v>1000076</v>
      </c>
      <c r="B55" s="12" t="s">
        <v>46</v>
      </c>
      <c r="C55" s="41"/>
      <c r="D55" s="47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42">
        <f t="shared" si="0"/>
        <v>0</v>
      </c>
    </row>
    <row r="56" spans="1:16" ht="16.5" thickBot="1" x14ac:dyDescent="0.3">
      <c r="A56" s="35">
        <v>1000036</v>
      </c>
      <c r="B56" s="12" t="s">
        <v>75</v>
      </c>
      <c r="C56" s="41"/>
      <c r="D56" s="47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42">
        <f t="shared" si="0"/>
        <v>0</v>
      </c>
    </row>
    <row r="57" spans="1:16" ht="16.5" thickBot="1" x14ac:dyDescent="0.3">
      <c r="A57" s="35">
        <v>1000436</v>
      </c>
      <c r="B57" s="12" t="s">
        <v>276</v>
      </c>
      <c r="C57" s="41"/>
      <c r="D57" s="47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42">
        <f t="shared" si="0"/>
        <v>0</v>
      </c>
    </row>
    <row r="58" spans="1:16" ht="16.5" thickBot="1" x14ac:dyDescent="0.3">
      <c r="A58" s="35">
        <v>1000550</v>
      </c>
      <c r="B58" s="12" t="s">
        <v>277</v>
      </c>
      <c r="C58" s="41"/>
      <c r="D58" s="47"/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42">
        <f t="shared" si="0"/>
        <v>0</v>
      </c>
    </row>
    <row r="59" spans="1:16" ht="16.5" thickBot="1" x14ac:dyDescent="0.3">
      <c r="A59" s="35">
        <v>1000551</v>
      </c>
      <c r="B59" s="12" t="s">
        <v>278</v>
      </c>
      <c r="C59" s="41"/>
      <c r="D59" s="47"/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42">
        <f t="shared" si="0"/>
        <v>0</v>
      </c>
    </row>
    <row r="60" spans="1:16" ht="16.5" thickBot="1" x14ac:dyDescent="0.3">
      <c r="A60" s="35">
        <v>1000552</v>
      </c>
      <c r="B60" s="12" t="s">
        <v>279</v>
      </c>
      <c r="C60" s="41"/>
      <c r="D60" s="47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42">
        <f t="shared" si="0"/>
        <v>0</v>
      </c>
    </row>
    <row r="61" spans="1:16" s="200" customFormat="1" thickBot="1" x14ac:dyDescent="0.3">
      <c r="A61" s="38">
        <v>1000080</v>
      </c>
      <c r="B61" s="17" t="s">
        <v>275</v>
      </c>
      <c r="C61" s="41"/>
      <c r="D61" s="46"/>
      <c r="E61" s="27"/>
      <c r="F61" s="28">
        <v>12</v>
      </c>
      <c r="G61" s="28"/>
      <c r="H61" s="28">
        <v>12</v>
      </c>
      <c r="I61" s="28"/>
      <c r="J61" s="28">
        <v>12</v>
      </c>
      <c r="K61" s="28"/>
      <c r="L61" s="28"/>
      <c r="M61" s="28"/>
      <c r="N61" s="28">
        <v>12</v>
      </c>
      <c r="O61" s="28"/>
      <c r="P61" s="608">
        <f t="shared" si="0"/>
        <v>48</v>
      </c>
    </row>
    <row r="62" spans="1:16" ht="16.5" thickBot="1" x14ac:dyDescent="0.3">
      <c r="A62" s="38"/>
      <c r="B62" s="17"/>
      <c r="D62" s="4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42">
        <f t="shared" si="0"/>
        <v>0</v>
      </c>
    </row>
    <row r="63" spans="1:16" ht="16.5" thickBot="1" x14ac:dyDescent="0.3">
      <c r="A63" s="38"/>
      <c r="B63" s="17"/>
      <c r="D63" s="4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42">
        <f t="shared" si="0"/>
        <v>0</v>
      </c>
    </row>
  </sheetData>
  <mergeCells count="2">
    <mergeCell ref="A1:B2"/>
    <mergeCell ref="F1:J2"/>
  </mergeCells>
  <phoneticPr fontId="108" type="noConversion"/>
  <pageMargins left="0.7" right="0.7" top="0.75" bottom="0.75" header="0.3" footer="0.3"/>
  <pageSetup paperSize="9" scale="51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8091-7B8B-49DE-A17B-5B884BD72EE5}">
  <sheetPr>
    <tabColor theme="9" tint="-0.249977111117893"/>
    <pageSetUpPr fitToPage="1"/>
  </sheetPr>
  <dimension ref="A1:P73"/>
  <sheetViews>
    <sheetView topLeftCell="A46" zoomScaleNormal="100" workbookViewId="0">
      <selection activeCell="A72" sqref="A72:B72"/>
    </sheetView>
  </sheetViews>
  <sheetFormatPr baseColWidth="10" defaultColWidth="10.875" defaultRowHeight="15" x14ac:dyDescent="0.25"/>
  <cols>
    <col min="1" max="1" width="11.75" style="27" customWidth="1"/>
    <col min="2" max="2" width="39.375" style="27" customWidth="1"/>
    <col min="3" max="3" width="1.5" style="27" customWidth="1"/>
    <col min="4" max="4" width="8.125" style="27" bestFit="1" customWidth="1"/>
    <col min="5" max="5" width="1.125" style="27" customWidth="1"/>
    <col min="6" max="6" width="9.125" style="27" bestFit="1" customWidth="1"/>
    <col min="7" max="7" width="4.75" style="27" customWidth="1"/>
    <col min="8" max="8" width="9.125" style="27" bestFit="1" customWidth="1"/>
    <col min="9" max="9" width="5.25" style="27" customWidth="1"/>
    <col min="10" max="10" width="9.125" style="27" bestFit="1" customWidth="1"/>
    <col min="11" max="11" width="4.625" style="27" customWidth="1"/>
    <col min="12" max="12" width="9.125" style="27" bestFit="1" customWidth="1"/>
    <col min="13" max="13" width="4.75" style="27" customWidth="1"/>
    <col min="14" max="14" width="9.125" style="27" bestFit="1" customWidth="1"/>
    <col min="15" max="15" width="4.875" style="27" customWidth="1"/>
    <col min="16" max="16384" width="10.875" style="27"/>
  </cols>
  <sheetData>
    <row r="1" spans="1:16" ht="15" customHeight="1" x14ac:dyDescent="0.45">
      <c r="A1" s="686" t="s">
        <v>273</v>
      </c>
      <c r="B1" s="687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4"/>
      <c r="F2" s="754"/>
      <c r="G2" s="755"/>
      <c r="H2" s="755"/>
      <c r="I2" s="755"/>
      <c r="J2" s="756"/>
      <c r="K2" s="2"/>
    </row>
    <row r="3" spans="1:16" s="3" customFormat="1" ht="7.5" customHeight="1" thickBot="1" x14ac:dyDescent="0.3">
      <c r="A3" s="5"/>
      <c r="B3" s="5"/>
      <c r="C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ht="15.75" thickBot="1" x14ac:dyDescent="0.3">
      <c r="A5" s="30">
        <v>10000015</v>
      </c>
      <c r="B5" s="11" t="s">
        <v>1</v>
      </c>
      <c r="D5" s="61">
        <v>20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418">
        <f>SUM(F5:O5)</f>
        <v>0</v>
      </c>
    </row>
    <row r="6" spans="1:16" ht="15.75" thickBot="1" x14ac:dyDescent="0.3">
      <c r="A6" s="35">
        <v>10000102</v>
      </c>
      <c r="B6" s="12" t="s">
        <v>2</v>
      </c>
      <c r="D6" s="62">
        <v>2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30">
        <f>SUM(F6:O6)</f>
        <v>0</v>
      </c>
    </row>
    <row r="7" spans="1:16" ht="15.75" thickBot="1" x14ac:dyDescent="0.3">
      <c r="A7" s="35">
        <v>10211</v>
      </c>
      <c r="B7" s="12" t="s">
        <v>3</v>
      </c>
      <c r="D7" s="62">
        <v>10000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418">
        <f t="shared" ref="P7:P68" si="0">SUM(F7:O7)</f>
        <v>0</v>
      </c>
    </row>
    <row r="8" spans="1:16" ht="15.75" thickBot="1" x14ac:dyDescent="0.3">
      <c r="A8" s="35">
        <v>1000007</v>
      </c>
      <c r="B8" s="12" t="s">
        <v>5</v>
      </c>
      <c r="D8" s="62">
        <v>4000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18">
        <f t="shared" si="0"/>
        <v>0</v>
      </c>
    </row>
    <row r="9" spans="1:16" ht="15.75" thickBot="1" x14ac:dyDescent="0.3">
      <c r="A9" s="35">
        <v>10212</v>
      </c>
      <c r="B9" s="12" t="s">
        <v>6</v>
      </c>
      <c r="D9" s="62">
        <v>4000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30">
        <f t="shared" si="0"/>
        <v>0</v>
      </c>
    </row>
    <row r="10" spans="1:16" ht="15.75" thickBot="1" x14ac:dyDescent="0.3">
      <c r="A10" s="35">
        <v>1000008</v>
      </c>
      <c r="B10" s="12" t="s">
        <v>7</v>
      </c>
      <c r="D10" s="62">
        <v>100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418">
        <f t="shared" si="0"/>
        <v>0</v>
      </c>
    </row>
    <row r="11" spans="1:16" ht="15.75" thickBot="1" x14ac:dyDescent="0.3">
      <c r="A11" s="35">
        <v>1000001</v>
      </c>
      <c r="B11" s="12" t="s">
        <v>8</v>
      </c>
      <c r="D11" s="62">
        <v>65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0">
        <f t="shared" si="0"/>
        <v>0</v>
      </c>
    </row>
    <row r="12" spans="1:16" ht="15.75" thickBot="1" x14ac:dyDescent="0.3">
      <c r="A12" s="35">
        <v>1000002</v>
      </c>
      <c r="B12" s="12" t="s">
        <v>9</v>
      </c>
      <c r="D12" s="62">
        <v>5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>
        <f t="shared" si="0"/>
        <v>0</v>
      </c>
    </row>
    <row r="13" spans="1:16" ht="15.75" thickBot="1" x14ac:dyDescent="0.3">
      <c r="A13" s="35">
        <v>1000004</v>
      </c>
      <c r="B13" s="12" t="s">
        <v>10</v>
      </c>
      <c r="D13" s="62">
        <v>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>
        <f t="shared" si="0"/>
        <v>0</v>
      </c>
    </row>
    <row r="14" spans="1:16" ht="15.75" thickBot="1" x14ac:dyDescent="0.3">
      <c r="A14" s="35">
        <v>1000054</v>
      </c>
      <c r="B14" s="12" t="s">
        <v>12</v>
      </c>
      <c r="D14" s="62">
        <v>600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418">
        <f t="shared" si="0"/>
        <v>0</v>
      </c>
    </row>
    <row r="15" spans="1:16" ht="15.75" thickBot="1" x14ac:dyDescent="0.3">
      <c r="A15" s="35">
        <v>1000070</v>
      </c>
      <c r="B15" s="12" t="s">
        <v>13</v>
      </c>
      <c r="D15" s="62">
        <v>63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1000017</v>
      </c>
      <c r="B16" s="13" t="s">
        <v>14</v>
      </c>
      <c r="D16" s="62">
        <v>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>
        <f t="shared" si="0"/>
        <v>0</v>
      </c>
    </row>
    <row r="17" spans="1:16" ht="15.75" thickBot="1" x14ac:dyDescent="0.3">
      <c r="A17" s="35">
        <v>1000010</v>
      </c>
      <c r="B17" s="12" t="s">
        <v>17</v>
      </c>
      <c r="D17" s="62">
        <v>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>
        <f t="shared" si="0"/>
        <v>0</v>
      </c>
    </row>
    <row r="18" spans="1:16" ht="15.75" thickBot="1" x14ac:dyDescent="0.3">
      <c r="A18" s="35">
        <v>1000009</v>
      </c>
      <c r="B18" s="14" t="s">
        <v>19</v>
      </c>
      <c r="D18" s="62">
        <v>3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>
        <f t="shared" si="0"/>
        <v>0</v>
      </c>
    </row>
    <row r="19" spans="1:16" ht="15.75" thickBot="1" x14ac:dyDescent="0.3">
      <c r="A19" s="35">
        <v>1000049</v>
      </c>
      <c r="B19" s="12" t="s">
        <v>21</v>
      </c>
      <c r="D19" s="62">
        <v>10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418">
        <f t="shared" si="0"/>
        <v>0</v>
      </c>
    </row>
    <row r="20" spans="1:16" ht="15.75" thickBot="1" x14ac:dyDescent="0.3">
      <c r="A20" s="35">
        <v>1000033</v>
      </c>
      <c r="B20" s="12" t="s">
        <v>27</v>
      </c>
      <c r="D20" s="62">
        <v>240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418">
        <f t="shared" si="0"/>
        <v>0</v>
      </c>
    </row>
    <row r="21" spans="1:16" ht="15.75" thickBot="1" x14ac:dyDescent="0.3">
      <c r="A21" s="35">
        <v>1000034</v>
      </c>
      <c r="B21" s="12" t="s">
        <v>28</v>
      </c>
      <c r="D21" s="62">
        <v>30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418">
        <f t="shared" si="0"/>
        <v>0</v>
      </c>
    </row>
    <row r="22" spans="1:16" ht="15.75" thickBot="1" x14ac:dyDescent="0.3">
      <c r="A22" s="35">
        <v>1000029</v>
      </c>
      <c r="B22" s="12" t="s">
        <v>30</v>
      </c>
      <c r="D22" s="62">
        <v>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418">
        <f t="shared" si="0"/>
        <v>0</v>
      </c>
    </row>
    <row r="23" spans="1:16" ht="15.75" thickBot="1" x14ac:dyDescent="0.3">
      <c r="A23" s="35">
        <v>1000025</v>
      </c>
      <c r="B23" s="12" t="s">
        <v>32</v>
      </c>
      <c r="D23" s="62">
        <v>150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418">
        <f t="shared" si="0"/>
        <v>0</v>
      </c>
    </row>
    <row r="24" spans="1:16" ht="15.75" thickBot="1" x14ac:dyDescent="0.3">
      <c r="A24" s="35">
        <v>1000100</v>
      </c>
      <c r="B24" s="12" t="s">
        <v>34</v>
      </c>
      <c r="D24" s="62">
        <v>6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418">
        <f t="shared" si="0"/>
        <v>0</v>
      </c>
    </row>
    <row r="25" spans="1:16" ht="15.75" thickBot="1" x14ac:dyDescent="0.3">
      <c r="A25" s="35">
        <v>1000101</v>
      </c>
      <c r="B25" s="12" t="s">
        <v>35</v>
      </c>
      <c r="D25" s="62">
        <v>6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0">
        <f t="shared" si="0"/>
        <v>0</v>
      </c>
    </row>
    <row r="26" spans="1:16" ht="15.75" thickBot="1" x14ac:dyDescent="0.3">
      <c r="A26" s="35">
        <v>1000073</v>
      </c>
      <c r="B26" s="12" t="s">
        <v>36</v>
      </c>
      <c r="D26" s="62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1000082</v>
      </c>
      <c r="B27" s="12" t="s">
        <v>37</v>
      </c>
      <c r="D27" s="62">
        <v>1200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418">
        <f t="shared" si="0"/>
        <v>0</v>
      </c>
    </row>
    <row r="28" spans="1:16" ht="15.75" thickBot="1" x14ac:dyDescent="0.3">
      <c r="A28" s="35">
        <v>1000090</v>
      </c>
      <c r="B28" s="12" t="s">
        <v>40</v>
      </c>
      <c r="D28" s="62">
        <v>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0">
        <f t="shared" si="0"/>
        <v>0</v>
      </c>
    </row>
    <row r="29" spans="1:16" ht="15.75" thickBot="1" x14ac:dyDescent="0.3">
      <c r="A29" s="35">
        <v>10249</v>
      </c>
      <c r="B29" s="12" t="s">
        <v>181</v>
      </c>
      <c r="D29" s="62">
        <v>400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418">
        <f t="shared" si="0"/>
        <v>0</v>
      </c>
    </row>
    <row r="30" spans="1:16" ht="15.75" thickBot="1" x14ac:dyDescent="0.3">
      <c r="A30" s="35">
        <v>1000052</v>
      </c>
      <c r="B30" s="12" t="s">
        <v>41</v>
      </c>
      <c r="D30" s="62">
        <v>100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418">
        <f t="shared" si="0"/>
        <v>0</v>
      </c>
    </row>
    <row r="31" spans="1:16" ht="15.75" thickBot="1" x14ac:dyDescent="0.3">
      <c r="A31" s="35">
        <v>1000089</v>
      </c>
      <c r="B31" s="12" t="s">
        <v>42</v>
      </c>
      <c r="D31" s="62">
        <v>100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418">
        <f t="shared" si="0"/>
        <v>0</v>
      </c>
    </row>
    <row r="32" spans="1:16" ht="15.75" thickBot="1" x14ac:dyDescent="0.3">
      <c r="A32" s="35">
        <v>1000051</v>
      </c>
      <c r="B32" s="12" t="s">
        <v>43</v>
      </c>
      <c r="D32" s="62">
        <v>3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0">
        <f t="shared" si="0"/>
        <v>0</v>
      </c>
    </row>
    <row r="33" spans="1:16" ht="15.75" thickBot="1" x14ac:dyDescent="0.3">
      <c r="A33" s="35">
        <v>1000048</v>
      </c>
      <c r="B33" s="12" t="s">
        <v>45</v>
      </c>
      <c r="D33" s="62">
        <v>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418">
        <f t="shared" si="0"/>
        <v>0</v>
      </c>
    </row>
    <row r="34" spans="1:16" ht="15.75" thickBot="1" x14ac:dyDescent="0.3">
      <c r="A34" s="35">
        <v>1000075</v>
      </c>
      <c r="B34" s="12" t="s">
        <v>47</v>
      </c>
      <c r="D34" s="62">
        <v>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1000092</v>
      </c>
      <c r="B35" s="12" t="s">
        <v>51</v>
      </c>
      <c r="D35" s="62">
        <v>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1000147</v>
      </c>
      <c r="B36" s="12" t="s">
        <v>52</v>
      </c>
      <c r="D36" s="62">
        <v>1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1000142</v>
      </c>
      <c r="B37" s="12" t="s">
        <v>54</v>
      </c>
      <c r="D37" s="62">
        <v>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418">
        <f t="shared" si="0"/>
        <v>0</v>
      </c>
    </row>
    <row r="38" spans="1:16" ht="15.75" thickBot="1" x14ac:dyDescent="0.3">
      <c r="A38" s="35">
        <v>1000412</v>
      </c>
      <c r="B38" s="12" t="s">
        <v>195</v>
      </c>
      <c r="D38" s="62"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1000056</v>
      </c>
      <c r="B39" s="12" t="s">
        <v>81</v>
      </c>
      <c r="D39" s="62">
        <v>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0">
        <f t="shared" si="0"/>
        <v>0</v>
      </c>
    </row>
    <row r="40" spans="1:16" ht="15.75" thickBot="1" x14ac:dyDescent="0.3">
      <c r="A40" s="35">
        <v>1000205</v>
      </c>
      <c r="B40" s="12" t="s">
        <v>82</v>
      </c>
      <c r="D40" s="62">
        <v>4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10202</v>
      </c>
      <c r="B41" s="12" t="s">
        <v>83</v>
      </c>
      <c r="D41" s="62">
        <v>30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418">
        <f t="shared" si="0"/>
        <v>0</v>
      </c>
    </row>
    <row r="42" spans="1:16" ht="15.75" thickBot="1" x14ac:dyDescent="0.3">
      <c r="A42" s="35">
        <v>10231</v>
      </c>
      <c r="B42" s="12" t="s">
        <v>86</v>
      </c>
      <c r="D42" s="62">
        <v>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5.75" thickBot="1" x14ac:dyDescent="0.3">
      <c r="A43" s="35">
        <v>1000061</v>
      </c>
      <c r="B43" s="12" t="s">
        <v>88</v>
      </c>
      <c r="D43" s="62">
        <v>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1000133</v>
      </c>
      <c r="B44" s="12" t="s">
        <v>89</v>
      </c>
      <c r="D44" s="62">
        <v>5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35">
        <v>1000134</v>
      </c>
      <c r="B45" s="12" t="s">
        <v>90</v>
      </c>
      <c r="D45" s="62">
        <v>0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  <row r="46" spans="1:16" ht="15.75" thickBot="1" x14ac:dyDescent="0.3">
      <c r="A46" s="35">
        <v>1000135</v>
      </c>
      <c r="B46" s="12" t="s">
        <v>91</v>
      </c>
      <c r="D46" s="62">
        <v>0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30">
        <f t="shared" si="0"/>
        <v>0</v>
      </c>
    </row>
    <row r="47" spans="1:16" ht="15.75" thickBot="1" x14ac:dyDescent="0.3">
      <c r="A47" s="35">
        <v>1000109</v>
      </c>
      <c r="B47" s="12" t="s">
        <v>95</v>
      </c>
      <c r="D47" s="62">
        <v>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30">
        <f t="shared" si="0"/>
        <v>0</v>
      </c>
    </row>
    <row r="48" spans="1:16" ht="15.75" thickBot="1" x14ac:dyDescent="0.3">
      <c r="A48" s="35">
        <v>1000045</v>
      </c>
      <c r="B48" s="12" t="s">
        <v>23</v>
      </c>
      <c r="D48" s="62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0">
        <f t="shared" si="0"/>
        <v>0</v>
      </c>
    </row>
    <row r="49" spans="1:16" ht="15.75" thickBot="1" x14ac:dyDescent="0.3">
      <c r="A49" s="35">
        <v>1000439</v>
      </c>
      <c r="B49" s="12" t="s">
        <v>193</v>
      </c>
      <c r="D49" s="62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418">
        <f t="shared" si="0"/>
        <v>0</v>
      </c>
    </row>
    <row r="50" spans="1:16" ht="15.75" thickBot="1" x14ac:dyDescent="0.3">
      <c r="A50" s="35">
        <v>1000084</v>
      </c>
      <c r="B50" s="12" t="s">
        <v>38</v>
      </c>
      <c r="D50" s="62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0">
        <f t="shared" si="0"/>
        <v>0</v>
      </c>
    </row>
    <row r="51" spans="1:16" ht="15.75" thickBot="1" x14ac:dyDescent="0.3">
      <c r="A51" s="35">
        <v>1000036</v>
      </c>
      <c r="B51" s="12" t="s">
        <v>75</v>
      </c>
      <c r="D51" s="62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0">
        <f t="shared" si="0"/>
        <v>0</v>
      </c>
    </row>
    <row r="52" spans="1:16" s="15" customFormat="1" ht="15.95" customHeight="1" thickBot="1" x14ac:dyDescent="0.3">
      <c r="A52" s="35">
        <v>1000227</v>
      </c>
      <c r="B52" s="12" t="s">
        <v>96</v>
      </c>
      <c r="C52" s="27"/>
      <c r="D52" s="62"/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418">
        <f t="shared" si="0"/>
        <v>0</v>
      </c>
    </row>
    <row r="53" spans="1:16" ht="15.75" thickBot="1" x14ac:dyDescent="0.3">
      <c r="A53" s="35">
        <v>1000063</v>
      </c>
      <c r="B53" s="12" t="s">
        <v>65</v>
      </c>
      <c r="D53" s="62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30">
        <f t="shared" si="0"/>
        <v>0</v>
      </c>
    </row>
    <row r="54" spans="1:16" ht="15.75" thickBot="1" x14ac:dyDescent="0.3">
      <c r="A54" s="35">
        <v>1000466</v>
      </c>
      <c r="B54" s="12" t="s">
        <v>213</v>
      </c>
      <c r="D54" s="62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418">
        <f t="shared" si="0"/>
        <v>0</v>
      </c>
    </row>
    <row r="55" spans="1:16" ht="15.75" thickBot="1" x14ac:dyDescent="0.3">
      <c r="A55" s="35">
        <v>1000471</v>
      </c>
      <c r="B55" s="12" t="s">
        <v>218</v>
      </c>
      <c r="D55" s="62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30">
        <f t="shared" si="0"/>
        <v>0</v>
      </c>
    </row>
    <row r="56" spans="1:16" ht="15.75" thickBot="1" x14ac:dyDescent="0.3">
      <c r="A56" s="35">
        <v>1000214</v>
      </c>
      <c r="B56" s="12" t="s">
        <v>49</v>
      </c>
      <c r="D56" s="62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30">
        <f t="shared" si="0"/>
        <v>0</v>
      </c>
    </row>
    <row r="57" spans="1:16" ht="15.75" thickBot="1" x14ac:dyDescent="0.3">
      <c r="A57" s="35">
        <v>1000487</v>
      </c>
      <c r="B57" s="12" t="s">
        <v>229</v>
      </c>
      <c r="D57" s="62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418">
        <f t="shared" si="0"/>
        <v>0</v>
      </c>
    </row>
    <row r="58" spans="1:16" ht="15.75" thickBot="1" x14ac:dyDescent="0.3">
      <c r="A58" s="35">
        <v>10248</v>
      </c>
      <c r="B58" s="12" t="s">
        <v>183</v>
      </c>
      <c r="D58" s="62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30">
        <f t="shared" si="0"/>
        <v>0</v>
      </c>
    </row>
    <row r="59" spans="1:16" ht="15.75" thickBot="1" x14ac:dyDescent="0.3">
      <c r="A59" s="35">
        <v>1000028</v>
      </c>
      <c r="B59" s="12" t="s">
        <v>68</v>
      </c>
      <c r="D59" s="62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30">
        <f t="shared" si="0"/>
        <v>0</v>
      </c>
    </row>
    <row r="60" spans="1:16" ht="15.75" thickBot="1" x14ac:dyDescent="0.3">
      <c r="A60" s="35">
        <v>1000064</v>
      </c>
      <c r="B60" s="12" t="s">
        <v>64</v>
      </c>
      <c r="D60" s="62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30">
        <f t="shared" si="0"/>
        <v>0</v>
      </c>
    </row>
    <row r="61" spans="1:16" ht="15.75" thickBot="1" x14ac:dyDescent="0.3">
      <c r="A61" s="35">
        <v>1000062</v>
      </c>
      <c r="B61" s="12" t="s">
        <v>66</v>
      </c>
      <c r="D61" s="62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30">
        <f t="shared" si="0"/>
        <v>0</v>
      </c>
    </row>
    <row r="62" spans="1:16" ht="15.75" thickBot="1" x14ac:dyDescent="0.3">
      <c r="A62" s="35">
        <v>1000224</v>
      </c>
      <c r="B62" s="12" t="s">
        <v>268</v>
      </c>
      <c r="D62" s="62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30">
        <f t="shared" si="0"/>
        <v>0</v>
      </c>
    </row>
    <row r="63" spans="1:16" ht="15.75" thickBot="1" x14ac:dyDescent="0.3">
      <c r="A63" s="35">
        <v>1000050</v>
      </c>
      <c r="B63" s="12" t="s">
        <v>22</v>
      </c>
      <c r="D63" s="62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30">
        <f t="shared" si="0"/>
        <v>0</v>
      </c>
    </row>
    <row r="64" spans="1:16" ht="15.75" thickBot="1" x14ac:dyDescent="0.3">
      <c r="A64" s="35">
        <v>1000452</v>
      </c>
      <c r="B64" s="12" t="s">
        <v>203</v>
      </c>
      <c r="D64" s="62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30">
        <f t="shared" si="0"/>
        <v>0</v>
      </c>
    </row>
    <row r="65" spans="1:16" ht="15.75" thickBot="1" x14ac:dyDescent="0.3">
      <c r="A65" s="35">
        <v>1000522</v>
      </c>
      <c r="B65" s="12" t="s">
        <v>270</v>
      </c>
      <c r="D65" s="62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418">
        <f t="shared" si="0"/>
        <v>0</v>
      </c>
    </row>
    <row r="66" spans="1:16" ht="15.75" thickBot="1" x14ac:dyDescent="0.3">
      <c r="A66" s="35">
        <v>1000224</v>
      </c>
      <c r="B66" s="12" t="s">
        <v>268</v>
      </c>
      <c r="D66" s="62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30">
        <f t="shared" si="0"/>
        <v>0</v>
      </c>
    </row>
    <row r="67" spans="1:16" ht="15.75" thickBot="1" x14ac:dyDescent="0.3">
      <c r="A67" s="35">
        <v>1000436</v>
      </c>
      <c r="B67" s="12" t="s">
        <v>276</v>
      </c>
      <c r="D67" s="62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30">
        <f t="shared" si="0"/>
        <v>0</v>
      </c>
    </row>
    <row r="68" spans="1:16" ht="15.75" thickBot="1" x14ac:dyDescent="0.3">
      <c r="A68" s="35">
        <v>1000550</v>
      </c>
      <c r="B68" s="12" t="s">
        <v>277</v>
      </c>
      <c r="D68" s="62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30">
        <f t="shared" si="0"/>
        <v>0</v>
      </c>
    </row>
    <row r="69" spans="1:16" ht="15.75" thickBot="1" x14ac:dyDescent="0.3">
      <c r="A69" s="35">
        <v>1000551</v>
      </c>
      <c r="B69" s="12" t="s">
        <v>278</v>
      </c>
      <c r="D69" s="62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30">
        <f t="shared" ref="P69:P73" si="1">SUM(F69:O69)</f>
        <v>0</v>
      </c>
    </row>
    <row r="70" spans="1:16" ht="15.75" thickBot="1" x14ac:dyDescent="0.3">
      <c r="A70" s="35">
        <v>1000552</v>
      </c>
      <c r="B70" s="12" t="s">
        <v>279</v>
      </c>
      <c r="D70" s="62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30">
        <f t="shared" si="1"/>
        <v>0</v>
      </c>
    </row>
    <row r="71" spans="1:16" s="200" customFormat="1" ht="15.75" thickBot="1" x14ac:dyDescent="0.3">
      <c r="A71" s="38">
        <v>1000080</v>
      </c>
      <c r="B71" s="17" t="s">
        <v>275</v>
      </c>
      <c r="C71" s="41"/>
      <c r="D71" s="46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30">
        <f t="shared" si="1"/>
        <v>0</v>
      </c>
    </row>
    <row r="72" spans="1:16" ht="15.75" thickBot="1" x14ac:dyDescent="0.3">
      <c r="A72" s="542">
        <v>1000067</v>
      </c>
      <c r="B72" s="12" t="s">
        <v>11</v>
      </c>
      <c r="D72" s="4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30">
        <f t="shared" si="1"/>
        <v>0</v>
      </c>
    </row>
    <row r="73" spans="1:16" ht="15.75" thickBot="1" x14ac:dyDescent="0.3">
      <c r="A73" s="542"/>
      <c r="B73" s="12"/>
      <c r="D73" s="4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30">
        <f t="shared" si="1"/>
        <v>0</v>
      </c>
    </row>
  </sheetData>
  <mergeCells count="2">
    <mergeCell ref="A1:B2"/>
    <mergeCell ref="F1:J2"/>
  </mergeCells>
  <phoneticPr fontId="108" type="noConversion"/>
  <pageMargins left="0.70866141732283461" right="0.70866141732283461" top="0.74803149606299213" bottom="0.74803149606299213" header="0.31496062992125984" footer="0.31496062992125984"/>
  <pageSetup paperSize="9" scale="45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700D-EA70-4311-8A37-65F0249556A9}">
  <sheetPr>
    <tabColor theme="9" tint="-0.249977111117893"/>
  </sheetPr>
  <dimension ref="A1:N50"/>
  <sheetViews>
    <sheetView workbookViewId="0">
      <selection activeCell="P23" sqref="P23"/>
    </sheetView>
  </sheetViews>
  <sheetFormatPr baseColWidth="10" defaultRowHeight="15.75" x14ac:dyDescent="0.25"/>
  <cols>
    <col min="1" max="1" width="9.125" customWidth="1"/>
    <col min="2" max="2" width="31.875" customWidth="1"/>
    <col min="3" max="3" width="0.125" customWidth="1"/>
    <col min="5" max="5" width="6.125" customWidth="1"/>
    <col min="7" max="7" width="6.125" customWidth="1"/>
    <col min="9" max="9" width="6.375" customWidth="1"/>
    <col min="11" max="11" width="6.25" customWidth="1"/>
    <col min="13" max="13" width="6" customWidth="1"/>
  </cols>
  <sheetData>
    <row r="1" spans="1:14" ht="28.5" x14ac:dyDescent="0.45">
      <c r="A1" s="686" t="s">
        <v>471</v>
      </c>
      <c r="B1" s="687"/>
      <c r="C1" s="27"/>
      <c r="D1" s="751" t="s">
        <v>474</v>
      </c>
      <c r="E1" s="752"/>
      <c r="F1" s="752"/>
      <c r="G1" s="752"/>
      <c r="H1" s="753"/>
      <c r="I1" s="2"/>
      <c r="J1" s="27"/>
      <c r="K1" s="27"/>
      <c r="L1" s="27"/>
    </row>
    <row r="2" spans="1:14" ht="12" customHeight="1" thickBot="1" x14ac:dyDescent="0.5">
      <c r="A2" s="688"/>
      <c r="B2" s="689"/>
      <c r="C2" s="3"/>
      <c r="D2" s="754"/>
      <c r="E2" s="755"/>
      <c r="F2" s="755"/>
      <c r="G2" s="755"/>
      <c r="H2" s="756"/>
      <c r="I2" s="2"/>
      <c r="J2" s="3"/>
      <c r="K2" s="3"/>
      <c r="L2" s="3"/>
    </row>
    <row r="3" spans="1:14" ht="1.5" customHeight="1" thickBot="1" x14ac:dyDescent="0.3">
      <c r="A3" s="5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6.5" thickBot="1" x14ac:dyDescent="0.3">
      <c r="A4" s="6" t="s">
        <v>0</v>
      </c>
      <c r="B4" s="6" t="s">
        <v>105</v>
      </c>
      <c r="C4" s="7" t="s">
        <v>106</v>
      </c>
      <c r="D4" s="9" t="s">
        <v>107</v>
      </c>
      <c r="E4" s="10" t="s">
        <v>325</v>
      </c>
      <c r="F4" s="9" t="s">
        <v>108</v>
      </c>
      <c r="G4" s="10" t="s">
        <v>325</v>
      </c>
      <c r="H4" s="9" t="s">
        <v>109</v>
      </c>
      <c r="I4" s="10" t="s">
        <v>325</v>
      </c>
      <c r="J4" s="9" t="s">
        <v>110</v>
      </c>
      <c r="K4" s="10" t="s">
        <v>325</v>
      </c>
      <c r="L4" s="9" t="s">
        <v>111</v>
      </c>
      <c r="M4" s="10" t="s">
        <v>325</v>
      </c>
      <c r="N4" s="7" t="s">
        <v>98</v>
      </c>
    </row>
    <row r="5" spans="1:14" x14ac:dyDescent="0.25">
      <c r="A5" s="30">
        <v>10000015</v>
      </c>
      <c r="B5" s="11" t="s">
        <v>1</v>
      </c>
      <c r="C5" s="61">
        <v>20</v>
      </c>
      <c r="D5" s="28"/>
      <c r="E5" s="29"/>
      <c r="F5" s="28"/>
      <c r="G5" s="29"/>
      <c r="H5" s="28"/>
      <c r="I5" s="29"/>
      <c r="J5" s="28"/>
      <c r="K5" s="29"/>
      <c r="L5" s="28"/>
      <c r="M5" s="29"/>
      <c r="N5" s="30">
        <f t="shared" ref="N5:N38" si="0">SUM(D5:M5)</f>
        <v>0</v>
      </c>
    </row>
    <row r="6" spans="1:14" x14ac:dyDescent="0.25">
      <c r="A6" s="35">
        <v>10000102</v>
      </c>
      <c r="B6" s="12" t="s">
        <v>2</v>
      </c>
      <c r="C6" s="62">
        <v>2</v>
      </c>
      <c r="D6" s="33"/>
      <c r="E6" s="34"/>
      <c r="F6" s="33"/>
      <c r="G6" s="34"/>
      <c r="H6" s="33"/>
      <c r="I6" s="34"/>
      <c r="J6" s="33"/>
      <c r="K6" s="34"/>
      <c r="L6" s="33"/>
      <c r="M6" s="34"/>
      <c r="N6" s="35">
        <f t="shared" si="0"/>
        <v>0</v>
      </c>
    </row>
    <row r="7" spans="1:14" x14ac:dyDescent="0.25">
      <c r="A7" s="35">
        <v>10211</v>
      </c>
      <c r="B7" s="12" t="s">
        <v>3</v>
      </c>
      <c r="C7" s="62">
        <v>10000</v>
      </c>
      <c r="D7" s="33"/>
      <c r="E7" s="34"/>
      <c r="F7" s="33"/>
      <c r="G7" s="34"/>
      <c r="H7" s="33"/>
      <c r="I7" s="34"/>
      <c r="J7" s="33"/>
      <c r="K7" s="34"/>
      <c r="L7" s="33"/>
      <c r="M7" s="34"/>
      <c r="N7" s="35">
        <f t="shared" si="0"/>
        <v>0</v>
      </c>
    </row>
    <row r="8" spans="1:14" x14ac:dyDescent="0.25">
      <c r="A8" s="35">
        <v>1000007</v>
      </c>
      <c r="B8" s="12" t="s">
        <v>5</v>
      </c>
      <c r="C8" s="62">
        <v>4000</v>
      </c>
      <c r="D8" s="33">
        <v>50</v>
      </c>
      <c r="E8" s="34"/>
      <c r="F8" s="33"/>
      <c r="G8" s="34"/>
      <c r="H8" s="33">
        <v>50</v>
      </c>
      <c r="I8" s="34"/>
      <c r="J8" s="33"/>
      <c r="K8" s="34"/>
      <c r="L8" s="33"/>
      <c r="M8" s="34"/>
      <c r="N8" s="35">
        <f t="shared" si="0"/>
        <v>100</v>
      </c>
    </row>
    <row r="9" spans="1:14" x14ac:dyDescent="0.25">
      <c r="A9" s="35">
        <v>1000008</v>
      </c>
      <c r="B9" s="12" t="s">
        <v>7</v>
      </c>
      <c r="C9" s="62">
        <v>100</v>
      </c>
      <c r="D9" s="33">
        <v>50</v>
      </c>
      <c r="E9" s="34"/>
      <c r="F9" s="33"/>
      <c r="G9" s="34"/>
      <c r="H9" s="33">
        <v>50</v>
      </c>
      <c r="I9" s="34"/>
      <c r="J9" s="33"/>
      <c r="K9" s="34"/>
      <c r="L9" s="33"/>
      <c r="M9" s="34"/>
      <c r="N9" s="35">
        <f t="shared" si="0"/>
        <v>100</v>
      </c>
    </row>
    <row r="10" spans="1:14" x14ac:dyDescent="0.25">
      <c r="A10" s="35">
        <v>1000001</v>
      </c>
      <c r="B10" s="12" t="s">
        <v>8</v>
      </c>
      <c r="C10" s="62">
        <v>65</v>
      </c>
      <c r="D10" s="33">
        <v>2</v>
      </c>
      <c r="E10" s="34"/>
      <c r="F10" s="33"/>
      <c r="G10" s="34"/>
      <c r="H10" s="33">
        <v>2</v>
      </c>
      <c r="I10" s="34"/>
      <c r="J10" s="33"/>
      <c r="K10" s="34"/>
      <c r="L10" s="33"/>
      <c r="M10" s="34"/>
      <c r="N10" s="415">
        <f t="shared" si="0"/>
        <v>4</v>
      </c>
    </row>
    <row r="11" spans="1:14" x14ac:dyDescent="0.25">
      <c r="A11" s="35">
        <v>1000002</v>
      </c>
      <c r="B11" s="12" t="s">
        <v>9</v>
      </c>
      <c r="C11" s="62">
        <v>5</v>
      </c>
      <c r="D11" s="33"/>
      <c r="E11" s="34"/>
      <c r="F11" s="33"/>
      <c r="G11" s="34"/>
      <c r="H11" s="33">
        <v>1</v>
      </c>
      <c r="I11" s="34"/>
      <c r="J11" s="33"/>
      <c r="K11" s="34"/>
      <c r="L11" s="33"/>
      <c r="M11" s="34"/>
      <c r="N11" s="35">
        <f t="shared" si="0"/>
        <v>1</v>
      </c>
    </row>
    <row r="12" spans="1:14" x14ac:dyDescent="0.25">
      <c r="A12" s="35">
        <v>1000004</v>
      </c>
      <c r="B12" s="12" t="s">
        <v>10</v>
      </c>
      <c r="C12" s="62">
        <v>2</v>
      </c>
      <c r="D12" s="33">
        <v>2</v>
      </c>
      <c r="E12" s="34"/>
      <c r="F12" s="33"/>
      <c r="G12" s="34"/>
      <c r="H12" s="33">
        <v>2</v>
      </c>
      <c r="I12" s="34"/>
      <c r="J12" s="33"/>
      <c r="K12" s="34"/>
      <c r="L12" s="33"/>
      <c r="M12" s="34"/>
      <c r="N12" s="35">
        <f t="shared" si="0"/>
        <v>4</v>
      </c>
    </row>
    <row r="13" spans="1:14" x14ac:dyDescent="0.25">
      <c r="A13" s="35">
        <v>1000054</v>
      </c>
      <c r="B13" s="12" t="s">
        <v>12</v>
      </c>
      <c r="C13" s="62">
        <v>600</v>
      </c>
      <c r="D13" s="33">
        <v>5</v>
      </c>
      <c r="E13" s="34"/>
      <c r="F13" s="33"/>
      <c r="G13" s="34"/>
      <c r="H13" s="33"/>
      <c r="I13" s="34"/>
      <c r="J13" s="33"/>
      <c r="K13" s="34"/>
      <c r="L13" s="33"/>
      <c r="M13" s="34"/>
      <c r="N13" s="35">
        <f t="shared" si="0"/>
        <v>5</v>
      </c>
    </row>
    <row r="14" spans="1:14" x14ac:dyDescent="0.25">
      <c r="A14" s="35">
        <v>1000070</v>
      </c>
      <c r="B14" s="12" t="s">
        <v>13</v>
      </c>
      <c r="C14" s="62">
        <v>63</v>
      </c>
      <c r="D14" s="33">
        <v>1</v>
      </c>
      <c r="E14" s="34"/>
      <c r="F14" s="33"/>
      <c r="G14" s="34"/>
      <c r="H14" s="33">
        <v>1</v>
      </c>
      <c r="I14" s="34"/>
      <c r="J14" s="33"/>
      <c r="K14" s="34"/>
      <c r="L14" s="33"/>
      <c r="M14" s="34"/>
      <c r="N14" s="415">
        <f t="shared" si="0"/>
        <v>2</v>
      </c>
    </row>
    <row r="15" spans="1:14" x14ac:dyDescent="0.25">
      <c r="A15" s="35">
        <v>1000017</v>
      </c>
      <c r="B15" s="13" t="s">
        <v>14</v>
      </c>
      <c r="C15" s="62">
        <v>0</v>
      </c>
      <c r="D15" s="33">
        <v>5</v>
      </c>
      <c r="E15" s="34"/>
      <c r="F15" s="33"/>
      <c r="G15" s="34"/>
      <c r="H15" s="33">
        <v>5</v>
      </c>
      <c r="I15" s="34"/>
      <c r="J15" s="33"/>
      <c r="K15" s="34"/>
      <c r="L15" s="33"/>
      <c r="M15" s="34"/>
      <c r="N15" s="415">
        <f t="shared" si="0"/>
        <v>10</v>
      </c>
    </row>
    <row r="16" spans="1:14" x14ac:dyDescent="0.25">
      <c r="A16" s="35">
        <v>1000010</v>
      </c>
      <c r="B16" s="12" t="s">
        <v>17</v>
      </c>
      <c r="C16" s="62">
        <v>3</v>
      </c>
      <c r="D16" s="33"/>
      <c r="E16" s="34"/>
      <c r="F16" s="33"/>
      <c r="G16" s="34"/>
      <c r="H16" s="33">
        <v>1</v>
      </c>
      <c r="I16" s="34"/>
      <c r="J16" s="33"/>
      <c r="K16" s="34"/>
      <c r="L16" s="33"/>
      <c r="M16" s="34"/>
      <c r="N16" s="35">
        <f t="shared" si="0"/>
        <v>1</v>
      </c>
    </row>
    <row r="17" spans="1:14" x14ac:dyDescent="0.25">
      <c r="A17" s="35">
        <v>1000009</v>
      </c>
      <c r="B17" s="14" t="s">
        <v>19</v>
      </c>
      <c r="C17" s="62">
        <v>3</v>
      </c>
      <c r="D17" s="33"/>
      <c r="E17" s="34"/>
      <c r="F17" s="33"/>
      <c r="G17" s="34"/>
      <c r="H17" s="33"/>
      <c r="I17" s="34"/>
      <c r="J17" s="33"/>
      <c r="K17" s="34"/>
      <c r="L17" s="33"/>
      <c r="M17" s="34"/>
      <c r="N17" s="35">
        <f t="shared" si="0"/>
        <v>0</v>
      </c>
    </row>
    <row r="18" spans="1:14" x14ac:dyDescent="0.25">
      <c r="A18" s="35">
        <v>1000049</v>
      </c>
      <c r="B18" s="12" t="s">
        <v>21</v>
      </c>
      <c r="C18" s="62">
        <v>10</v>
      </c>
      <c r="D18" s="33"/>
      <c r="E18" s="34"/>
      <c r="F18" s="33"/>
      <c r="G18" s="34"/>
      <c r="H18" s="33"/>
      <c r="I18" s="34"/>
      <c r="J18" s="33"/>
      <c r="K18" s="34"/>
      <c r="L18" s="33"/>
      <c r="M18" s="34"/>
      <c r="N18" s="35">
        <f t="shared" si="0"/>
        <v>0</v>
      </c>
    </row>
    <row r="19" spans="1:14" x14ac:dyDescent="0.25">
      <c r="A19" s="35">
        <v>1000033</v>
      </c>
      <c r="B19" s="12" t="s">
        <v>27</v>
      </c>
      <c r="C19" s="62">
        <v>240</v>
      </c>
      <c r="D19" s="33"/>
      <c r="E19" s="34"/>
      <c r="F19" s="33"/>
      <c r="G19" s="34"/>
      <c r="H19" s="33"/>
      <c r="I19" s="34"/>
      <c r="J19" s="33"/>
      <c r="K19" s="34"/>
      <c r="L19" s="33"/>
      <c r="M19" s="34"/>
      <c r="N19" s="35">
        <f t="shared" si="0"/>
        <v>0</v>
      </c>
    </row>
    <row r="20" spans="1:14" x14ac:dyDescent="0.25">
      <c r="A20" s="35">
        <v>1000034</v>
      </c>
      <c r="B20" s="12" t="s">
        <v>28</v>
      </c>
      <c r="C20" s="62">
        <v>30</v>
      </c>
      <c r="D20" s="33"/>
      <c r="E20" s="34"/>
      <c r="F20" s="33"/>
      <c r="G20" s="34"/>
      <c r="H20" s="33"/>
      <c r="I20" s="34"/>
      <c r="J20" s="33"/>
      <c r="K20" s="34"/>
      <c r="L20" s="33"/>
      <c r="M20" s="34"/>
      <c r="N20" s="35">
        <f t="shared" si="0"/>
        <v>0</v>
      </c>
    </row>
    <row r="21" spans="1:14" x14ac:dyDescent="0.25">
      <c r="A21" s="35">
        <v>1000029</v>
      </c>
      <c r="B21" s="12" t="s">
        <v>30</v>
      </c>
      <c r="C21" s="62">
        <v>1</v>
      </c>
      <c r="D21" s="33">
        <v>1</v>
      </c>
      <c r="E21" s="34"/>
      <c r="F21" s="33"/>
      <c r="G21" s="34"/>
      <c r="H21" s="33"/>
      <c r="I21" s="34"/>
      <c r="J21" s="33"/>
      <c r="K21" s="34"/>
      <c r="L21" s="33"/>
      <c r="M21" s="34"/>
      <c r="N21" s="35">
        <f t="shared" si="0"/>
        <v>1</v>
      </c>
    </row>
    <row r="22" spans="1:14" x14ac:dyDescent="0.25">
      <c r="A22" s="35">
        <v>1000025</v>
      </c>
      <c r="B22" s="12" t="s">
        <v>32</v>
      </c>
      <c r="C22" s="62">
        <v>150</v>
      </c>
      <c r="D22" s="158"/>
      <c r="E22" s="34"/>
      <c r="F22" s="33"/>
      <c r="G22" s="34"/>
      <c r="H22" s="33"/>
      <c r="I22" s="34"/>
      <c r="J22" s="33"/>
      <c r="K22" s="34"/>
      <c r="L22" s="33"/>
      <c r="M22" s="34"/>
      <c r="N22" s="35">
        <f t="shared" si="0"/>
        <v>0</v>
      </c>
    </row>
    <row r="23" spans="1:14" x14ac:dyDescent="0.25">
      <c r="A23" s="35">
        <v>1000100</v>
      </c>
      <c r="B23" s="12" t="s">
        <v>34</v>
      </c>
      <c r="C23" s="62">
        <v>6</v>
      </c>
      <c r="D23" s="33">
        <v>1</v>
      </c>
      <c r="E23" s="34"/>
      <c r="F23" s="33"/>
      <c r="G23" s="34"/>
      <c r="H23" s="33"/>
      <c r="I23" s="34"/>
      <c r="J23" s="33"/>
      <c r="K23" s="34"/>
      <c r="L23" s="33"/>
      <c r="M23" s="34"/>
      <c r="N23" s="35">
        <f t="shared" si="0"/>
        <v>1</v>
      </c>
    </row>
    <row r="24" spans="1:14" x14ac:dyDescent="0.25">
      <c r="A24" s="35">
        <v>1000101</v>
      </c>
      <c r="B24" s="12" t="s">
        <v>35</v>
      </c>
      <c r="C24" s="62">
        <v>6</v>
      </c>
      <c r="D24" s="33"/>
      <c r="E24" s="34"/>
      <c r="F24" s="33"/>
      <c r="G24" s="34"/>
      <c r="H24" s="33"/>
      <c r="I24" s="34"/>
      <c r="J24" s="33"/>
      <c r="K24" s="34"/>
      <c r="L24" s="33"/>
      <c r="M24" s="34"/>
      <c r="N24" s="35">
        <f t="shared" si="0"/>
        <v>0</v>
      </c>
    </row>
    <row r="25" spans="1:14" x14ac:dyDescent="0.25">
      <c r="A25" s="35">
        <v>1000073</v>
      </c>
      <c r="B25" s="12" t="s">
        <v>36</v>
      </c>
      <c r="C25" s="62">
        <v>1</v>
      </c>
      <c r="D25" s="33"/>
      <c r="E25" s="34"/>
      <c r="F25" s="33"/>
      <c r="G25" s="34"/>
      <c r="H25" s="33">
        <v>1</v>
      </c>
      <c r="I25" s="34"/>
      <c r="J25" s="33"/>
      <c r="K25" s="34"/>
      <c r="L25" s="33"/>
      <c r="M25" s="34"/>
      <c r="N25" s="35">
        <f t="shared" si="0"/>
        <v>1</v>
      </c>
    </row>
    <row r="26" spans="1:14" x14ac:dyDescent="0.25">
      <c r="A26" s="35">
        <v>1000082</v>
      </c>
      <c r="B26" s="12" t="s">
        <v>37</v>
      </c>
      <c r="C26" s="62">
        <v>1200</v>
      </c>
      <c r="D26" s="33">
        <v>8</v>
      </c>
      <c r="E26" s="34"/>
      <c r="F26" s="33"/>
      <c r="G26" s="34"/>
      <c r="H26" s="33">
        <v>16</v>
      </c>
      <c r="I26" s="34"/>
      <c r="J26" s="33"/>
      <c r="K26" s="34"/>
      <c r="L26" s="33"/>
      <c r="M26" s="34"/>
      <c r="N26" s="415">
        <f t="shared" si="0"/>
        <v>24</v>
      </c>
    </row>
    <row r="27" spans="1:14" x14ac:dyDescent="0.25">
      <c r="A27" s="35">
        <v>1000090</v>
      </c>
      <c r="B27" s="12" t="s">
        <v>40</v>
      </c>
      <c r="C27" s="62">
        <v>1</v>
      </c>
      <c r="D27" s="33"/>
      <c r="E27" s="34"/>
      <c r="F27" s="33"/>
      <c r="G27" s="34"/>
      <c r="H27" s="33"/>
      <c r="I27" s="34"/>
      <c r="J27" s="33"/>
      <c r="K27" s="34"/>
      <c r="L27" s="33"/>
      <c r="M27" s="34"/>
      <c r="N27" s="35">
        <f t="shared" si="0"/>
        <v>0</v>
      </c>
    </row>
    <row r="28" spans="1:14" x14ac:dyDescent="0.25">
      <c r="A28" s="35">
        <v>10249</v>
      </c>
      <c r="B28" s="12" t="s">
        <v>181</v>
      </c>
      <c r="C28" s="62">
        <v>400</v>
      </c>
      <c r="D28" s="33"/>
      <c r="E28" s="34"/>
      <c r="F28" s="33"/>
      <c r="G28" s="34"/>
      <c r="H28" s="33"/>
      <c r="I28" s="34"/>
      <c r="J28" s="33"/>
      <c r="K28" s="34"/>
      <c r="L28" s="33"/>
      <c r="M28" s="34"/>
      <c r="N28" s="35">
        <f t="shared" si="0"/>
        <v>0</v>
      </c>
    </row>
    <row r="29" spans="1:14" x14ac:dyDescent="0.25">
      <c r="A29" s="35">
        <v>1000052</v>
      </c>
      <c r="B29" s="12" t="s">
        <v>41</v>
      </c>
      <c r="C29" s="62">
        <v>100</v>
      </c>
      <c r="D29" s="33">
        <v>2</v>
      </c>
      <c r="E29" s="34"/>
      <c r="F29" s="33"/>
      <c r="G29" s="34"/>
      <c r="H29" s="33"/>
      <c r="I29" s="34"/>
      <c r="J29" s="33"/>
      <c r="K29" s="34"/>
      <c r="L29" s="33"/>
      <c r="M29" s="34"/>
      <c r="N29" s="415">
        <f t="shared" si="0"/>
        <v>2</v>
      </c>
    </row>
    <row r="30" spans="1:14" x14ac:dyDescent="0.25">
      <c r="A30" s="35">
        <v>1000089</v>
      </c>
      <c r="B30" s="12" t="s">
        <v>42</v>
      </c>
      <c r="C30" s="62">
        <v>100</v>
      </c>
      <c r="D30" s="33">
        <v>2</v>
      </c>
      <c r="E30" s="34"/>
      <c r="F30" s="33"/>
      <c r="G30" s="34"/>
      <c r="H30" s="33"/>
      <c r="I30" s="34"/>
      <c r="J30" s="33"/>
      <c r="K30" s="34"/>
      <c r="L30" s="33"/>
      <c r="M30" s="34"/>
      <c r="N30" s="415">
        <f t="shared" si="0"/>
        <v>2</v>
      </c>
    </row>
    <row r="31" spans="1:14" x14ac:dyDescent="0.25">
      <c r="A31" s="35">
        <v>1000051</v>
      </c>
      <c r="B31" s="12" t="s">
        <v>43</v>
      </c>
      <c r="C31" s="62">
        <v>3</v>
      </c>
      <c r="D31" s="33">
        <v>1</v>
      </c>
      <c r="E31" s="34"/>
      <c r="F31" s="33"/>
      <c r="G31" s="34"/>
      <c r="H31" s="33"/>
      <c r="I31" s="34"/>
      <c r="J31" s="33"/>
      <c r="K31" s="34"/>
      <c r="L31" s="33"/>
      <c r="M31" s="34"/>
      <c r="N31" s="35">
        <f t="shared" si="0"/>
        <v>1</v>
      </c>
    </row>
    <row r="32" spans="1:14" x14ac:dyDescent="0.25">
      <c r="A32" s="35">
        <v>1000048</v>
      </c>
      <c r="B32" s="12" t="s">
        <v>45</v>
      </c>
      <c r="C32" s="62">
        <v>2</v>
      </c>
      <c r="D32" s="33"/>
      <c r="E32" s="34"/>
      <c r="F32" s="33"/>
      <c r="G32" s="34"/>
      <c r="H32" s="33"/>
      <c r="I32" s="34"/>
      <c r="J32" s="33"/>
      <c r="K32" s="34"/>
      <c r="L32" s="33"/>
      <c r="M32" s="34"/>
      <c r="N32" s="35">
        <f t="shared" si="0"/>
        <v>0</v>
      </c>
    </row>
    <row r="33" spans="1:14" x14ac:dyDescent="0.25">
      <c r="A33" s="35">
        <v>1000075</v>
      </c>
      <c r="B33" s="12" t="s">
        <v>47</v>
      </c>
      <c r="C33" s="62">
        <v>1</v>
      </c>
      <c r="D33" s="33">
        <v>1</v>
      </c>
      <c r="E33" s="34"/>
      <c r="F33" s="33"/>
      <c r="G33" s="34"/>
      <c r="H33" s="33"/>
      <c r="I33" s="34"/>
      <c r="J33" s="33"/>
      <c r="K33" s="34"/>
      <c r="L33" s="33"/>
      <c r="M33" s="34"/>
      <c r="N33" s="35">
        <f t="shared" si="0"/>
        <v>1</v>
      </c>
    </row>
    <row r="34" spans="1:14" x14ac:dyDescent="0.25">
      <c r="A34" s="35">
        <v>1000092</v>
      </c>
      <c r="B34" s="12" t="s">
        <v>51</v>
      </c>
      <c r="C34" s="62">
        <v>0</v>
      </c>
      <c r="D34" s="33"/>
      <c r="E34" s="34"/>
      <c r="F34" s="33"/>
      <c r="G34" s="34"/>
      <c r="H34" s="33"/>
      <c r="I34" s="34"/>
      <c r="J34" s="33"/>
      <c r="K34" s="34"/>
      <c r="L34" s="33"/>
      <c r="M34" s="34"/>
      <c r="N34" s="35">
        <f t="shared" si="0"/>
        <v>0</v>
      </c>
    </row>
    <row r="35" spans="1:14" x14ac:dyDescent="0.25">
      <c r="A35" s="35">
        <v>1000147</v>
      </c>
      <c r="B35" s="12" t="s">
        <v>52</v>
      </c>
      <c r="C35" s="62">
        <v>1</v>
      </c>
      <c r="D35" s="33"/>
      <c r="E35" s="34"/>
      <c r="F35" s="33"/>
      <c r="G35" s="34"/>
      <c r="H35" s="33">
        <v>3</v>
      </c>
      <c r="I35" s="34"/>
      <c r="J35" s="33"/>
      <c r="K35" s="34"/>
      <c r="L35" s="33"/>
      <c r="M35" s="34"/>
      <c r="N35" s="35">
        <f t="shared" si="0"/>
        <v>3</v>
      </c>
    </row>
    <row r="36" spans="1:14" x14ac:dyDescent="0.25">
      <c r="A36" s="35">
        <v>1000142</v>
      </c>
      <c r="B36" s="12" t="s">
        <v>54</v>
      </c>
      <c r="C36" s="62">
        <v>5</v>
      </c>
      <c r="D36" s="33"/>
      <c r="E36" s="34"/>
      <c r="F36" s="33"/>
      <c r="G36" s="34"/>
      <c r="H36" s="33"/>
      <c r="I36" s="34"/>
      <c r="J36" s="33"/>
      <c r="K36" s="34"/>
      <c r="L36" s="33"/>
      <c r="M36" s="34"/>
      <c r="N36" s="35">
        <f t="shared" si="0"/>
        <v>0</v>
      </c>
    </row>
    <row r="37" spans="1:14" x14ac:dyDescent="0.25">
      <c r="A37" s="35">
        <v>1000412</v>
      </c>
      <c r="B37" s="12" t="s">
        <v>195</v>
      </c>
      <c r="C37" s="62">
        <v>0</v>
      </c>
      <c r="D37" s="33"/>
      <c r="E37" s="34"/>
      <c r="F37" s="33"/>
      <c r="G37" s="34"/>
      <c r="H37" s="33"/>
      <c r="I37" s="34"/>
      <c r="J37" s="33"/>
      <c r="K37" s="34"/>
      <c r="L37" s="33"/>
      <c r="M37" s="34"/>
      <c r="N37" s="35">
        <f t="shared" si="0"/>
        <v>0</v>
      </c>
    </row>
    <row r="38" spans="1:14" x14ac:dyDescent="0.25">
      <c r="A38" s="35">
        <v>1000045</v>
      </c>
      <c r="B38" s="12" t="s">
        <v>23</v>
      </c>
      <c r="C38" s="62"/>
      <c r="D38" s="33"/>
      <c r="E38" s="34"/>
      <c r="F38" s="33"/>
      <c r="G38" s="34"/>
      <c r="H38" s="33"/>
      <c r="I38" s="34"/>
      <c r="J38" s="33"/>
      <c r="K38" s="34"/>
      <c r="L38" s="33"/>
      <c r="M38" s="34"/>
      <c r="N38" s="35">
        <f t="shared" si="0"/>
        <v>0</v>
      </c>
    </row>
    <row r="39" spans="1:14" x14ac:dyDescent="0.25">
      <c r="A39" s="35">
        <v>1000439</v>
      </c>
      <c r="B39" s="12" t="s">
        <v>193</v>
      </c>
      <c r="C39" s="62"/>
      <c r="D39" s="33"/>
      <c r="E39" s="34"/>
      <c r="F39" s="33"/>
      <c r="G39" s="34"/>
      <c r="H39" s="33"/>
      <c r="I39" s="34"/>
      <c r="J39" s="33"/>
      <c r="K39" s="34"/>
      <c r="L39" s="33"/>
      <c r="M39" s="34"/>
      <c r="N39" s="35">
        <f>SUM(D39:M39)</f>
        <v>0</v>
      </c>
    </row>
    <row r="40" spans="1:14" x14ac:dyDescent="0.25">
      <c r="A40" s="35">
        <v>1000084</v>
      </c>
      <c r="B40" s="12" t="s">
        <v>38</v>
      </c>
      <c r="C40" s="62"/>
      <c r="D40" s="33">
        <v>4</v>
      </c>
      <c r="E40" s="34"/>
      <c r="F40" s="33"/>
      <c r="G40" s="34"/>
      <c r="H40" s="33">
        <v>8</v>
      </c>
      <c r="I40" s="34"/>
      <c r="J40" s="33"/>
      <c r="K40" s="34"/>
      <c r="L40" s="33"/>
      <c r="M40" s="34"/>
      <c r="N40" s="415">
        <f t="shared" ref="N40:N48" si="1">SUM(D40:M40)</f>
        <v>12</v>
      </c>
    </row>
    <row r="41" spans="1:14" x14ac:dyDescent="0.25">
      <c r="A41" s="35">
        <v>1000036</v>
      </c>
      <c r="B41" s="12" t="s">
        <v>75</v>
      </c>
      <c r="C41" s="62"/>
      <c r="D41" s="33"/>
      <c r="E41" s="34"/>
      <c r="F41" s="33"/>
      <c r="G41" s="34"/>
      <c r="H41" s="33"/>
      <c r="I41" s="34"/>
      <c r="J41" s="33"/>
      <c r="K41" s="34"/>
      <c r="L41" s="33"/>
      <c r="M41" s="34"/>
      <c r="N41" s="35">
        <f t="shared" si="1"/>
        <v>0</v>
      </c>
    </row>
    <row r="42" spans="1:14" x14ac:dyDescent="0.25">
      <c r="A42" s="35">
        <v>1000214</v>
      </c>
      <c r="B42" s="12" t="s">
        <v>49</v>
      </c>
      <c r="C42" s="62"/>
      <c r="D42" s="33"/>
      <c r="E42" s="34"/>
      <c r="F42" s="33"/>
      <c r="G42" s="34"/>
      <c r="H42" s="33"/>
      <c r="I42" s="34"/>
      <c r="J42" s="33"/>
      <c r="K42" s="34"/>
      <c r="L42" s="33"/>
      <c r="M42" s="34"/>
      <c r="N42" s="35">
        <f t="shared" si="1"/>
        <v>0</v>
      </c>
    </row>
    <row r="43" spans="1:14" x14ac:dyDescent="0.25">
      <c r="A43" s="35">
        <v>10248</v>
      </c>
      <c r="B43" s="12" t="s">
        <v>183</v>
      </c>
      <c r="C43" s="62"/>
      <c r="D43" s="33">
        <v>6</v>
      </c>
      <c r="E43" s="34"/>
      <c r="F43" s="33"/>
      <c r="G43" s="34"/>
      <c r="H43" s="33"/>
      <c r="I43" s="34"/>
      <c r="J43" s="33"/>
      <c r="K43" s="34"/>
      <c r="L43" s="33"/>
      <c r="M43" s="34"/>
      <c r="N43" s="35">
        <f t="shared" si="1"/>
        <v>6</v>
      </c>
    </row>
    <row r="44" spans="1:14" x14ac:dyDescent="0.25">
      <c r="A44" s="35">
        <v>1000064</v>
      </c>
      <c r="B44" s="12" t="s">
        <v>64</v>
      </c>
      <c r="C44" s="62"/>
      <c r="D44" s="33"/>
      <c r="E44" s="34"/>
      <c r="F44" s="33"/>
      <c r="G44" s="34"/>
      <c r="H44" s="33"/>
      <c r="I44" s="34"/>
      <c r="J44" s="33"/>
      <c r="K44" s="34"/>
      <c r="L44" s="33"/>
      <c r="M44" s="34"/>
      <c r="N44" s="35">
        <f t="shared" si="1"/>
        <v>0</v>
      </c>
    </row>
    <row r="45" spans="1:14" x14ac:dyDescent="0.25">
      <c r="A45" s="35">
        <v>1000050</v>
      </c>
      <c r="B45" s="12" t="s">
        <v>22</v>
      </c>
      <c r="C45" s="62"/>
      <c r="D45" s="33"/>
      <c r="E45" s="34"/>
      <c r="F45" s="33"/>
      <c r="G45" s="34"/>
      <c r="H45" s="33"/>
      <c r="I45" s="34"/>
      <c r="J45" s="33"/>
      <c r="K45" s="34"/>
      <c r="L45" s="33"/>
      <c r="M45" s="34"/>
      <c r="N45" s="35">
        <f t="shared" si="1"/>
        <v>0</v>
      </c>
    </row>
    <row r="46" spans="1:14" x14ac:dyDescent="0.25">
      <c r="A46" s="35">
        <v>1000452</v>
      </c>
      <c r="B46" s="12" t="s">
        <v>425</v>
      </c>
      <c r="C46" s="62"/>
      <c r="D46" s="33"/>
      <c r="E46" s="34"/>
      <c r="F46" s="33"/>
      <c r="G46" s="34"/>
      <c r="H46" s="33"/>
      <c r="I46" s="34"/>
      <c r="J46" s="33"/>
      <c r="K46" s="34"/>
      <c r="L46" s="33"/>
      <c r="M46" s="34"/>
      <c r="N46" s="35">
        <f t="shared" si="1"/>
        <v>0</v>
      </c>
    </row>
    <row r="47" spans="1:14" x14ac:dyDescent="0.25">
      <c r="A47" s="35">
        <v>1000436</v>
      </c>
      <c r="B47" s="12" t="s">
        <v>276</v>
      </c>
      <c r="C47" s="62"/>
      <c r="D47" s="33"/>
      <c r="E47" s="34"/>
      <c r="F47" s="33"/>
      <c r="G47" s="34"/>
      <c r="H47" s="33"/>
      <c r="I47" s="34"/>
      <c r="J47" s="33"/>
      <c r="K47" s="34"/>
      <c r="L47" s="33"/>
      <c r="M47" s="34"/>
      <c r="N47" s="35">
        <f t="shared" si="1"/>
        <v>0</v>
      </c>
    </row>
    <row r="48" spans="1:14" x14ac:dyDescent="0.25">
      <c r="A48" s="35">
        <v>1000550</v>
      </c>
      <c r="B48" s="12" t="s">
        <v>277</v>
      </c>
      <c r="C48" s="62"/>
      <c r="D48" s="33"/>
      <c r="E48" s="34"/>
      <c r="F48" s="33"/>
      <c r="G48" s="34"/>
      <c r="H48" s="33"/>
      <c r="I48" s="34"/>
      <c r="J48" s="33"/>
      <c r="K48" s="34"/>
      <c r="L48" s="33"/>
      <c r="M48" s="34"/>
      <c r="N48" s="35">
        <f t="shared" si="1"/>
        <v>0</v>
      </c>
    </row>
    <row r="49" spans="1:14" ht="16.5" thickBot="1" x14ac:dyDescent="0.3">
      <c r="A49" s="38">
        <v>1000080</v>
      </c>
      <c r="B49" s="17" t="s">
        <v>275</v>
      </c>
      <c r="C49" s="46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</row>
    <row r="50" spans="1:14" ht="16.5" thickBot="1" x14ac:dyDescent="0.3">
      <c r="A50" s="542">
        <v>1000067</v>
      </c>
      <c r="B50" s="12" t="s">
        <v>11</v>
      </c>
      <c r="D50" s="39">
        <v>1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</row>
  </sheetData>
  <mergeCells count="2">
    <mergeCell ref="A1:B2"/>
    <mergeCell ref="D1:H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2E3D-97AD-4291-99FE-76B2B4F3BE2D}">
  <sheetPr>
    <tabColor theme="9" tint="-0.249977111117893"/>
  </sheetPr>
  <dimension ref="A1:R50"/>
  <sheetViews>
    <sheetView topLeftCell="A23" workbookViewId="0">
      <selection activeCell="R37" sqref="R37"/>
    </sheetView>
  </sheetViews>
  <sheetFormatPr baseColWidth="10" defaultColWidth="10.875" defaultRowHeight="15" x14ac:dyDescent="0.25"/>
  <cols>
    <col min="1" max="1" width="10.375" style="132" customWidth="1"/>
    <col min="2" max="2" width="39.375" style="132" customWidth="1"/>
    <col min="3" max="3" width="1.375" style="132" customWidth="1"/>
    <col min="4" max="4" width="8.125" style="132" bestFit="1" customWidth="1"/>
    <col min="5" max="5" width="2.125" style="132" customWidth="1"/>
    <col min="6" max="6" width="9.125" style="132" bestFit="1" customWidth="1"/>
    <col min="7" max="7" width="8.625" style="132" bestFit="1" customWidth="1"/>
    <col min="8" max="8" width="9.125" style="132" bestFit="1" customWidth="1"/>
    <col min="9" max="9" width="8.625" style="132" bestFit="1" customWidth="1"/>
    <col min="10" max="10" width="9.125" style="132" bestFit="1" customWidth="1"/>
    <col min="11" max="11" width="8.625" style="132" bestFit="1" customWidth="1"/>
    <col min="12" max="12" width="9.125" style="132" bestFit="1" customWidth="1"/>
    <col min="13" max="13" width="8.625" style="132" bestFit="1" customWidth="1"/>
    <col min="14" max="14" width="9.125" style="132" bestFit="1" customWidth="1"/>
    <col min="15" max="15" width="8.625" style="132" bestFit="1" customWidth="1"/>
    <col min="16" max="16384" width="10.875" style="132"/>
  </cols>
  <sheetData>
    <row r="1" spans="1:16" ht="15" customHeight="1" x14ac:dyDescent="0.45">
      <c r="A1" s="686" t="s">
        <v>221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</row>
    <row r="2" spans="1:16" s="3" customFormat="1" ht="16.5" customHeight="1" thickBot="1" x14ac:dyDescent="0.5">
      <c r="A2" s="688"/>
      <c r="B2" s="689"/>
      <c r="C2" s="18"/>
      <c r="D2" s="4"/>
      <c r="F2" s="754"/>
      <c r="G2" s="755"/>
      <c r="H2" s="755"/>
      <c r="I2" s="755"/>
      <c r="J2" s="756"/>
      <c r="K2" s="2"/>
      <c r="L2"/>
      <c r="M2"/>
    </row>
    <row r="3" spans="1:16" s="3" customFormat="1" ht="7.5" customHeight="1" thickBot="1" x14ac:dyDescent="0.3">
      <c r="A3" s="5"/>
      <c r="B3" s="5"/>
      <c r="C3" s="18"/>
      <c r="D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132"/>
      <c r="F4" s="19" t="s">
        <v>107</v>
      </c>
      <c r="G4" s="20" t="s">
        <v>113</v>
      </c>
      <c r="H4" s="19" t="s">
        <v>108</v>
      </c>
      <c r="I4" s="20" t="s">
        <v>114</v>
      </c>
      <c r="J4" s="19" t="s">
        <v>109</v>
      </c>
      <c r="K4" s="20" t="s">
        <v>115</v>
      </c>
      <c r="L4" s="19" t="s">
        <v>110</v>
      </c>
      <c r="M4" s="20" t="s">
        <v>116</v>
      </c>
      <c r="N4" s="19" t="s">
        <v>111</v>
      </c>
      <c r="O4" s="20" t="s">
        <v>117</v>
      </c>
      <c r="P4" s="21" t="s">
        <v>98</v>
      </c>
    </row>
    <row r="5" spans="1:16" ht="15.75" thickBot="1" x14ac:dyDescent="0.3">
      <c r="A5" s="133">
        <v>10000015</v>
      </c>
      <c r="B5" s="11" t="s">
        <v>1</v>
      </c>
      <c r="C5" s="134"/>
      <c r="D5" s="143"/>
      <c r="F5" s="136"/>
      <c r="G5" s="137"/>
      <c r="H5" s="136"/>
      <c r="I5" s="137"/>
      <c r="J5" s="136"/>
      <c r="K5" s="137"/>
      <c r="L5" s="136"/>
      <c r="M5" s="137"/>
      <c r="N5" s="136"/>
      <c r="O5" s="137"/>
      <c r="P5" s="133">
        <f t="shared" ref="P5:P50" si="0">SUM(F5:O5)</f>
        <v>0</v>
      </c>
    </row>
    <row r="6" spans="1:16" ht="15.75" thickBot="1" x14ac:dyDescent="0.3">
      <c r="A6" s="138">
        <v>10000102</v>
      </c>
      <c r="B6" s="12" t="s">
        <v>2</v>
      </c>
      <c r="C6" s="134"/>
      <c r="D6" s="144"/>
      <c r="F6" s="136">
        <v>2</v>
      </c>
      <c r="G6" s="141"/>
      <c r="H6" s="140"/>
      <c r="I6" s="141"/>
      <c r="J6" s="140"/>
      <c r="K6" s="141"/>
      <c r="L6" s="140"/>
      <c r="M6" s="141"/>
      <c r="N6" s="140"/>
      <c r="O6" s="141"/>
      <c r="P6" s="604">
        <f t="shared" si="0"/>
        <v>2</v>
      </c>
    </row>
    <row r="7" spans="1:16" ht="15.75" thickBot="1" x14ac:dyDescent="0.3">
      <c r="A7" s="138">
        <v>1000006</v>
      </c>
      <c r="B7" s="12" t="s">
        <v>4</v>
      </c>
      <c r="C7" s="134"/>
      <c r="D7" s="144"/>
      <c r="F7" s="136"/>
      <c r="G7" s="141"/>
      <c r="H7" s="140"/>
      <c r="I7" s="141"/>
      <c r="J7" s="145"/>
      <c r="K7" s="141"/>
      <c r="L7" s="140"/>
      <c r="M7" s="141"/>
      <c r="N7" s="140"/>
      <c r="O7" s="141"/>
      <c r="P7" s="138">
        <f t="shared" si="0"/>
        <v>0</v>
      </c>
    </row>
    <row r="8" spans="1:16" ht="15.75" thickBot="1" x14ac:dyDescent="0.3">
      <c r="A8" s="138">
        <v>1000007</v>
      </c>
      <c r="B8" s="12" t="s">
        <v>5</v>
      </c>
      <c r="C8" s="134"/>
      <c r="D8" s="144"/>
      <c r="F8" s="136">
        <v>50</v>
      </c>
      <c r="G8" s="141"/>
      <c r="H8" s="140"/>
      <c r="I8" s="141"/>
      <c r="J8" s="145"/>
      <c r="K8" s="141"/>
      <c r="L8" s="140"/>
      <c r="M8" s="141"/>
      <c r="N8" s="140"/>
      <c r="O8" s="141"/>
      <c r="P8" s="639">
        <f t="shared" si="0"/>
        <v>50</v>
      </c>
    </row>
    <row r="9" spans="1:16" ht="15.75" thickBot="1" x14ac:dyDescent="0.3">
      <c r="A9" s="138">
        <v>1000001</v>
      </c>
      <c r="B9" s="12" t="s">
        <v>8</v>
      </c>
      <c r="C9" s="134"/>
      <c r="D9" s="144"/>
      <c r="F9" s="136">
        <v>3</v>
      </c>
      <c r="G9" s="141"/>
      <c r="H9" s="140"/>
      <c r="I9" s="141"/>
      <c r="J9" s="145"/>
      <c r="K9" s="141"/>
      <c r="L9" s="140"/>
      <c r="M9" s="141"/>
      <c r="N9" s="140"/>
      <c r="O9" s="141"/>
      <c r="P9" s="639">
        <f t="shared" si="0"/>
        <v>3</v>
      </c>
    </row>
    <row r="10" spans="1:16" ht="15.75" thickBot="1" x14ac:dyDescent="0.3">
      <c r="A10" s="138">
        <v>1000002</v>
      </c>
      <c r="B10" s="12" t="s">
        <v>9</v>
      </c>
      <c r="C10" s="134"/>
      <c r="D10" s="144"/>
      <c r="F10" s="136"/>
      <c r="G10" s="141"/>
      <c r="H10" s="140"/>
      <c r="I10" s="141"/>
      <c r="J10" s="145"/>
      <c r="K10" s="141"/>
      <c r="L10" s="140"/>
      <c r="M10" s="141"/>
      <c r="N10" s="140"/>
      <c r="O10" s="141"/>
      <c r="P10" s="138">
        <f t="shared" si="0"/>
        <v>0</v>
      </c>
    </row>
    <row r="11" spans="1:16" ht="15.75" thickBot="1" x14ac:dyDescent="0.3">
      <c r="A11" s="138">
        <v>1000054</v>
      </c>
      <c r="B11" s="12" t="s">
        <v>12</v>
      </c>
      <c r="C11" s="134"/>
      <c r="D11" s="144"/>
      <c r="F11" s="136">
        <v>5</v>
      </c>
      <c r="G11" s="141"/>
      <c r="H11" s="140"/>
      <c r="I11" s="141"/>
      <c r="J11" s="145"/>
      <c r="K11" s="141"/>
      <c r="L11" s="140"/>
      <c r="M11" s="141"/>
      <c r="N11" s="140"/>
      <c r="O11" s="141"/>
      <c r="P11" s="639">
        <f t="shared" si="0"/>
        <v>5</v>
      </c>
    </row>
    <row r="12" spans="1:16" ht="15.75" thickBot="1" x14ac:dyDescent="0.3">
      <c r="A12" s="138">
        <v>1000472</v>
      </c>
      <c r="B12" s="12" t="s">
        <v>222</v>
      </c>
      <c r="C12" s="134"/>
      <c r="D12" s="144"/>
      <c r="F12" s="136"/>
      <c r="G12" s="141"/>
      <c r="H12" s="140"/>
      <c r="I12" s="141"/>
      <c r="J12" s="145"/>
      <c r="K12" s="141"/>
      <c r="L12" s="140"/>
      <c r="M12" s="141"/>
      <c r="N12" s="140"/>
      <c r="O12" s="141"/>
      <c r="P12" s="138">
        <f t="shared" si="0"/>
        <v>0</v>
      </c>
    </row>
    <row r="13" spans="1:16" ht="15.75" thickBot="1" x14ac:dyDescent="0.3">
      <c r="A13" s="138">
        <v>1000017</v>
      </c>
      <c r="B13" s="12" t="s">
        <v>14</v>
      </c>
      <c r="C13" s="134"/>
      <c r="D13" s="144"/>
      <c r="F13" s="136">
        <v>5</v>
      </c>
      <c r="G13" s="141"/>
      <c r="H13" s="140"/>
      <c r="I13" s="141"/>
      <c r="J13" s="145"/>
      <c r="K13" s="141"/>
      <c r="L13" s="140"/>
      <c r="M13" s="141"/>
      <c r="N13" s="140"/>
      <c r="O13" s="141"/>
      <c r="P13" s="639">
        <f t="shared" si="0"/>
        <v>5</v>
      </c>
    </row>
    <row r="14" spans="1:16" ht="15.75" thickBot="1" x14ac:dyDescent="0.3">
      <c r="A14" s="138">
        <v>1000016</v>
      </c>
      <c r="B14" s="12" t="s">
        <v>15</v>
      </c>
      <c r="C14" s="134"/>
      <c r="D14" s="144"/>
      <c r="F14" s="136">
        <v>5</v>
      </c>
      <c r="G14" s="141"/>
      <c r="H14" s="140"/>
      <c r="I14" s="141"/>
      <c r="J14" s="145"/>
      <c r="K14" s="141"/>
      <c r="L14" s="140"/>
      <c r="M14" s="141"/>
      <c r="N14" s="140"/>
      <c r="O14" s="141"/>
      <c r="P14" s="639">
        <f t="shared" si="0"/>
        <v>5</v>
      </c>
    </row>
    <row r="15" spans="1:16" ht="15.75" thickBot="1" x14ac:dyDescent="0.3">
      <c r="A15" s="138">
        <v>1000041</v>
      </c>
      <c r="B15" s="12" t="s">
        <v>16</v>
      </c>
      <c r="C15" s="134"/>
      <c r="D15" s="144"/>
      <c r="F15" s="136"/>
      <c r="G15" s="141"/>
      <c r="H15" s="140"/>
      <c r="I15" s="141"/>
      <c r="J15" s="145"/>
      <c r="K15" s="141"/>
      <c r="L15" s="140"/>
      <c r="M15" s="141"/>
      <c r="N15" s="140"/>
      <c r="O15" s="141"/>
      <c r="P15" s="138">
        <f t="shared" si="0"/>
        <v>0</v>
      </c>
    </row>
    <row r="16" spans="1:16" ht="15.75" thickBot="1" x14ac:dyDescent="0.3">
      <c r="A16" s="138">
        <v>1000049</v>
      </c>
      <c r="B16" s="12" t="s">
        <v>21</v>
      </c>
      <c r="C16" s="134"/>
      <c r="D16" s="144"/>
      <c r="F16" s="136"/>
      <c r="G16" s="141"/>
      <c r="H16" s="140"/>
      <c r="I16" s="141"/>
      <c r="J16" s="145"/>
      <c r="K16" s="141"/>
      <c r="L16" s="140"/>
      <c r="M16" s="141"/>
      <c r="N16" s="140"/>
      <c r="O16" s="141"/>
      <c r="P16" s="138">
        <f t="shared" si="0"/>
        <v>0</v>
      </c>
    </row>
    <row r="17" spans="1:16" ht="15.75" thickBot="1" x14ac:dyDescent="0.3">
      <c r="A17" s="138">
        <v>1000050</v>
      </c>
      <c r="B17" s="12" t="s">
        <v>22</v>
      </c>
      <c r="C17" s="134"/>
      <c r="D17" s="144"/>
      <c r="F17" s="136">
        <v>2</v>
      </c>
      <c r="G17" s="141"/>
      <c r="H17" s="140"/>
      <c r="I17" s="141"/>
      <c r="J17" s="145"/>
      <c r="K17" s="141"/>
      <c r="L17" s="140"/>
      <c r="M17" s="141"/>
      <c r="N17" s="140"/>
      <c r="O17" s="141"/>
      <c r="P17" s="639">
        <f t="shared" si="0"/>
        <v>2</v>
      </c>
    </row>
    <row r="18" spans="1:16" ht="15.75" thickBot="1" x14ac:dyDescent="0.3">
      <c r="A18" s="138">
        <v>1000031</v>
      </c>
      <c r="B18" s="12" t="s">
        <v>25</v>
      </c>
      <c r="C18" s="134"/>
      <c r="D18" s="144"/>
      <c r="F18" s="136"/>
      <c r="G18" s="141"/>
      <c r="H18" s="140"/>
      <c r="I18" s="141"/>
      <c r="J18" s="145"/>
      <c r="K18" s="141"/>
      <c r="L18" s="140"/>
      <c r="M18" s="141"/>
      <c r="N18" s="140"/>
      <c r="O18" s="141"/>
      <c r="P18" s="138">
        <f t="shared" si="0"/>
        <v>0</v>
      </c>
    </row>
    <row r="19" spans="1:16" ht="15.75" thickBot="1" x14ac:dyDescent="0.3">
      <c r="A19" s="138">
        <v>1000026</v>
      </c>
      <c r="B19" s="12" t="s">
        <v>31</v>
      </c>
      <c r="C19" s="134"/>
      <c r="D19" s="144"/>
      <c r="F19" s="136"/>
      <c r="G19" s="141"/>
      <c r="H19" s="140"/>
      <c r="I19" s="141"/>
      <c r="J19" s="145"/>
      <c r="K19" s="141"/>
      <c r="L19" s="140"/>
      <c r="M19" s="141"/>
      <c r="N19" s="140"/>
      <c r="O19" s="141"/>
      <c r="P19" s="138">
        <f t="shared" si="0"/>
        <v>0</v>
      </c>
    </row>
    <row r="20" spans="1:16" ht="15.75" thickBot="1" x14ac:dyDescent="0.3">
      <c r="A20" s="138">
        <v>1000025</v>
      </c>
      <c r="B20" s="12" t="s">
        <v>32</v>
      </c>
      <c r="C20" s="134"/>
      <c r="D20" s="144"/>
      <c r="F20" s="136"/>
      <c r="G20" s="141"/>
      <c r="H20" s="140"/>
      <c r="I20" s="141"/>
      <c r="J20" s="145"/>
      <c r="K20" s="141"/>
      <c r="L20" s="140"/>
      <c r="M20" s="141"/>
      <c r="N20" s="140"/>
      <c r="O20" s="141"/>
      <c r="P20" s="138">
        <f t="shared" si="0"/>
        <v>0</v>
      </c>
    </row>
    <row r="21" spans="1:16" ht="15.75" thickBot="1" x14ac:dyDescent="0.3">
      <c r="A21" s="138">
        <v>1000100</v>
      </c>
      <c r="B21" s="12" t="s">
        <v>34</v>
      </c>
      <c r="C21" s="134"/>
      <c r="D21" s="144"/>
      <c r="F21" s="136"/>
      <c r="G21" s="141"/>
      <c r="H21" s="140"/>
      <c r="I21" s="141"/>
      <c r="J21" s="145"/>
      <c r="K21" s="141"/>
      <c r="L21" s="140"/>
      <c r="M21" s="141"/>
      <c r="N21" s="140"/>
      <c r="O21" s="141"/>
      <c r="P21" s="138">
        <f t="shared" si="0"/>
        <v>0</v>
      </c>
    </row>
    <row r="22" spans="1:16" ht="15.75" thickBot="1" x14ac:dyDescent="0.3">
      <c r="A22" s="138">
        <v>1000073</v>
      </c>
      <c r="B22" s="12" t="s">
        <v>36</v>
      </c>
      <c r="C22" s="134"/>
      <c r="D22" s="144"/>
      <c r="F22" s="136"/>
      <c r="G22" s="141"/>
      <c r="H22" s="140"/>
      <c r="I22" s="141"/>
      <c r="J22" s="145"/>
      <c r="K22" s="141"/>
      <c r="L22" s="140"/>
      <c r="M22" s="141"/>
      <c r="N22" s="140"/>
      <c r="O22" s="141"/>
      <c r="P22" s="138">
        <f t="shared" si="0"/>
        <v>0</v>
      </c>
    </row>
    <row r="23" spans="1:16" ht="15.75" thickBot="1" x14ac:dyDescent="0.3">
      <c r="A23" s="138">
        <v>1000146</v>
      </c>
      <c r="B23" s="12" t="s">
        <v>39</v>
      </c>
      <c r="C23" s="134"/>
      <c r="D23" s="144"/>
      <c r="F23" s="136"/>
      <c r="G23" s="141"/>
      <c r="H23" s="140"/>
      <c r="I23" s="141"/>
      <c r="J23" s="145"/>
      <c r="K23" s="141"/>
      <c r="L23" s="140"/>
      <c r="M23" s="141"/>
      <c r="N23" s="140"/>
      <c r="O23" s="141"/>
      <c r="P23" s="138">
        <f t="shared" si="0"/>
        <v>0</v>
      </c>
    </row>
    <row r="24" spans="1:16" ht="15.75" thickBot="1" x14ac:dyDescent="0.3">
      <c r="A24" s="138">
        <v>10248</v>
      </c>
      <c r="B24" s="12" t="s">
        <v>183</v>
      </c>
      <c r="C24" s="134"/>
      <c r="D24" s="144"/>
      <c r="F24" s="136"/>
      <c r="G24" s="141"/>
      <c r="H24" s="140"/>
      <c r="I24" s="141"/>
      <c r="J24" s="145"/>
      <c r="K24" s="141"/>
      <c r="L24" s="140"/>
      <c r="M24" s="141"/>
      <c r="N24" s="140"/>
      <c r="O24" s="141"/>
      <c r="P24" s="138">
        <f t="shared" si="0"/>
        <v>0</v>
      </c>
    </row>
    <row r="25" spans="1:16" ht="15.75" thickBot="1" x14ac:dyDescent="0.3">
      <c r="A25" s="138">
        <v>1000052</v>
      </c>
      <c r="B25" s="12" t="s">
        <v>41</v>
      </c>
      <c r="C25" s="134"/>
      <c r="D25" s="144"/>
      <c r="F25" s="136">
        <v>2</v>
      </c>
      <c r="G25" s="141"/>
      <c r="H25" s="140"/>
      <c r="I25" s="141"/>
      <c r="J25" s="145"/>
      <c r="K25" s="141"/>
      <c r="L25" s="140"/>
      <c r="M25" s="141"/>
      <c r="N25" s="140"/>
      <c r="O25" s="141"/>
      <c r="P25" s="639">
        <f t="shared" si="0"/>
        <v>2</v>
      </c>
    </row>
    <row r="26" spans="1:16" ht="15.75" thickBot="1" x14ac:dyDescent="0.3">
      <c r="A26" s="138">
        <v>1000089</v>
      </c>
      <c r="B26" s="12" t="s">
        <v>42</v>
      </c>
      <c r="C26" s="134"/>
      <c r="D26" s="144"/>
      <c r="F26" s="136">
        <v>2</v>
      </c>
      <c r="G26" s="141"/>
      <c r="H26" s="140"/>
      <c r="I26" s="141"/>
      <c r="J26" s="145"/>
      <c r="K26" s="141"/>
      <c r="L26" s="140"/>
      <c r="M26" s="141"/>
      <c r="N26" s="140"/>
      <c r="O26" s="141"/>
      <c r="P26" s="639">
        <f t="shared" si="0"/>
        <v>2</v>
      </c>
    </row>
    <row r="27" spans="1:16" ht="15.75" thickBot="1" x14ac:dyDescent="0.3">
      <c r="A27" s="138">
        <v>1000051</v>
      </c>
      <c r="B27" s="12" t="s">
        <v>43</v>
      </c>
      <c r="C27" s="134"/>
      <c r="D27" s="144"/>
      <c r="F27" s="136"/>
      <c r="G27" s="141"/>
      <c r="H27" s="140"/>
      <c r="I27" s="141"/>
      <c r="J27" s="145"/>
      <c r="K27" s="141"/>
      <c r="L27" s="140"/>
      <c r="M27" s="141"/>
      <c r="N27" s="140"/>
      <c r="O27" s="141"/>
      <c r="P27" s="138">
        <f t="shared" si="0"/>
        <v>0</v>
      </c>
    </row>
    <row r="28" spans="1:16" ht="15.75" thickBot="1" x14ac:dyDescent="0.3">
      <c r="A28" s="138">
        <v>1000048</v>
      </c>
      <c r="B28" s="12" t="s">
        <v>45</v>
      </c>
      <c r="C28" s="134"/>
      <c r="D28" s="144"/>
      <c r="F28" s="136"/>
      <c r="G28" s="141"/>
      <c r="H28" s="140"/>
      <c r="I28" s="141"/>
      <c r="J28" s="145"/>
      <c r="K28" s="141"/>
      <c r="L28" s="140"/>
      <c r="M28" s="141"/>
      <c r="N28" s="140"/>
      <c r="O28" s="141"/>
      <c r="P28" s="138">
        <f t="shared" si="0"/>
        <v>0</v>
      </c>
    </row>
    <row r="29" spans="1:16" ht="15.75" thickBot="1" x14ac:dyDescent="0.3">
      <c r="A29" s="138">
        <v>1000076</v>
      </c>
      <c r="B29" s="12" t="s">
        <v>46</v>
      </c>
      <c r="C29" s="134"/>
      <c r="D29" s="144"/>
      <c r="F29" s="136"/>
      <c r="G29" s="141"/>
      <c r="H29" s="140"/>
      <c r="I29" s="141"/>
      <c r="J29" s="145"/>
      <c r="K29" s="141"/>
      <c r="L29" s="140"/>
      <c r="M29" s="141"/>
      <c r="N29" s="140"/>
      <c r="O29" s="141"/>
      <c r="P29" s="138">
        <f t="shared" si="0"/>
        <v>0</v>
      </c>
    </row>
    <row r="30" spans="1:16" ht="15.75" thickBot="1" x14ac:dyDescent="0.3">
      <c r="A30" s="138">
        <v>1000142</v>
      </c>
      <c r="B30" s="12" t="s">
        <v>54</v>
      </c>
      <c r="C30" s="134"/>
      <c r="D30" s="144"/>
      <c r="F30" s="136"/>
      <c r="G30" s="141"/>
      <c r="H30" s="140"/>
      <c r="I30" s="141"/>
      <c r="J30" s="145"/>
      <c r="K30" s="141"/>
      <c r="L30" s="140"/>
      <c r="M30" s="141"/>
      <c r="N30" s="140"/>
      <c r="O30" s="141"/>
      <c r="P30" s="138">
        <f t="shared" si="0"/>
        <v>0</v>
      </c>
    </row>
    <row r="31" spans="1:16" ht="15.75" thickBot="1" x14ac:dyDescent="0.3">
      <c r="A31" s="138">
        <v>1000008</v>
      </c>
      <c r="B31" s="12" t="s">
        <v>7</v>
      </c>
      <c r="C31" s="134"/>
      <c r="D31" s="144"/>
      <c r="F31" s="136"/>
      <c r="G31" s="141"/>
      <c r="H31" s="140"/>
      <c r="I31" s="141"/>
      <c r="J31" s="145"/>
      <c r="K31" s="141"/>
      <c r="L31" s="140"/>
      <c r="M31" s="141"/>
      <c r="N31" s="140"/>
      <c r="O31" s="141"/>
      <c r="P31" s="138">
        <f t="shared" si="0"/>
        <v>0</v>
      </c>
    </row>
    <row r="32" spans="1:16" ht="15.75" thickBot="1" x14ac:dyDescent="0.3">
      <c r="A32" s="138">
        <v>1000082</v>
      </c>
      <c r="B32" s="12" t="s">
        <v>37</v>
      </c>
      <c r="C32" s="134"/>
      <c r="D32" s="144"/>
      <c r="F32" s="136">
        <v>16</v>
      </c>
      <c r="G32" s="141"/>
      <c r="H32" s="140"/>
      <c r="I32" s="141"/>
      <c r="J32" s="145"/>
      <c r="K32" s="141"/>
      <c r="L32" s="140"/>
      <c r="M32" s="141"/>
      <c r="N32" s="140"/>
      <c r="O32" s="141"/>
      <c r="P32" s="639">
        <f t="shared" si="0"/>
        <v>16</v>
      </c>
    </row>
    <row r="33" spans="1:18" s="15" customFormat="1" ht="15.95" customHeight="1" thickBot="1" x14ac:dyDescent="0.3">
      <c r="A33" s="138">
        <v>1000084</v>
      </c>
      <c r="B33" s="12" t="s">
        <v>38</v>
      </c>
      <c r="C33" s="134"/>
      <c r="D33" s="144"/>
      <c r="E33" s="132"/>
      <c r="F33" s="136">
        <v>8</v>
      </c>
      <c r="G33" s="141"/>
      <c r="H33" s="140"/>
      <c r="I33" s="141"/>
      <c r="J33" s="145"/>
      <c r="K33" s="141"/>
      <c r="L33" s="140"/>
      <c r="M33" s="141"/>
      <c r="N33" s="140"/>
      <c r="O33" s="141"/>
      <c r="P33" s="639">
        <f t="shared" si="0"/>
        <v>8</v>
      </c>
    </row>
    <row r="34" spans="1:18" ht="15.75" thickBot="1" x14ac:dyDescent="0.3">
      <c r="A34" s="138">
        <v>1000033</v>
      </c>
      <c r="B34" s="12" t="s">
        <v>27</v>
      </c>
      <c r="C34" s="134"/>
      <c r="D34" s="144"/>
      <c r="F34" s="136"/>
      <c r="G34" s="141"/>
      <c r="H34" s="140"/>
      <c r="I34" s="141"/>
      <c r="J34" s="145"/>
      <c r="K34" s="141"/>
      <c r="L34" s="140"/>
      <c r="M34" s="141"/>
      <c r="N34" s="140"/>
      <c r="O34" s="141"/>
      <c r="P34" s="138">
        <f t="shared" si="0"/>
        <v>0</v>
      </c>
    </row>
    <row r="35" spans="1:18" ht="15.75" thickBot="1" x14ac:dyDescent="0.3">
      <c r="A35" s="138">
        <v>1000067</v>
      </c>
      <c r="B35" s="12" t="s">
        <v>11</v>
      </c>
      <c r="C35" s="134"/>
      <c r="D35" s="144"/>
      <c r="F35" s="136"/>
      <c r="G35" s="141"/>
      <c r="H35" s="140"/>
      <c r="I35" s="141"/>
      <c r="J35" s="145"/>
      <c r="K35" s="141"/>
      <c r="L35" s="140"/>
      <c r="M35" s="141"/>
      <c r="N35" s="140"/>
      <c r="O35" s="141"/>
      <c r="P35" s="138">
        <f t="shared" si="0"/>
        <v>0</v>
      </c>
    </row>
    <row r="36" spans="1:18" ht="15.75" thickBot="1" x14ac:dyDescent="0.3">
      <c r="A36" s="138">
        <v>1000147</v>
      </c>
      <c r="B36" s="12" t="s">
        <v>52</v>
      </c>
      <c r="C36" s="134"/>
      <c r="D36" s="144"/>
      <c r="F36" s="136"/>
      <c r="G36" s="141"/>
      <c r="H36" s="140"/>
      <c r="I36" s="141"/>
      <c r="J36" s="145"/>
      <c r="K36" s="141"/>
      <c r="L36" s="140"/>
      <c r="M36" s="141"/>
      <c r="N36" s="140"/>
      <c r="O36" s="141"/>
      <c r="P36" s="138">
        <f t="shared" si="0"/>
        <v>0</v>
      </c>
    </row>
    <row r="37" spans="1:18" ht="15.75" thickBot="1" x14ac:dyDescent="0.3">
      <c r="A37" s="138">
        <v>1000004</v>
      </c>
      <c r="B37" s="12" t="s">
        <v>10</v>
      </c>
      <c r="C37" s="134"/>
      <c r="D37" s="144"/>
      <c r="F37" s="136">
        <v>2</v>
      </c>
      <c r="G37" s="141"/>
      <c r="H37" s="140"/>
      <c r="I37" s="141"/>
      <c r="J37" s="145"/>
      <c r="K37" s="141"/>
      <c r="L37" s="140"/>
      <c r="M37" s="141"/>
      <c r="N37" s="140"/>
      <c r="O37" s="141"/>
      <c r="P37" s="639">
        <f t="shared" si="0"/>
        <v>2</v>
      </c>
      <c r="R37" s="685" t="s">
        <v>469</v>
      </c>
    </row>
    <row r="38" spans="1:18" ht="15.75" thickBot="1" x14ac:dyDescent="0.3">
      <c r="A38" s="138">
        <v>1000027</v>
      </c>
      <c r="B38" s="12" t="s">
        <v>33</v>
      </c>
      <c r="C38" s="134"/>
      <c r="D38" s="144"/>
      <c r="F38" s="136"/>
      <c r="G38" s="141"/>
      <c r="H38" s="140"/>
      <c r="I38" s="141"/>
      <c r="J38" s="145"/>
      <c r="K38" s="141"/>
      <c r="L38" s="140"/>
      <c r="M38" s="141"/>
      <c r="N38" s="140"/>
      <c r="O38" s="141"/>
      <c r="P38" s="138">
        <f t="shared" si="0"/>
        <v>0</v>
      </c>
    </row>
    <row r="39" spans="1:18" ht="15.75" thickBot="1" x14ac:dyDescent="0.3">
      <c r="A39" s="138">
        <v>1000034</v>
      </c>
      <c r="B39" s="12" t="s">
        <v>28</v>
      </c>
      <c r="C39" s="134"/>
      <c r="D39" s="144"/>
      <c r="F39" s="136"/>
      <c r="G39" s="141"/>
      <c r="H39" s="140"/>
      <c r="I39" s="141"/>
      <c r="J39" s="145"/>
      <c r="K39" s="141"/>
      <c r="L39" s="140"/>
      <c r="M39" s="141"/>
      <c r="N39" s="140"/>
      <c r="O39" s="141"/>
      <c r="P39" s="138">
        <f t="shared" si="0"/>
        <v>0</v>
      </c>
    </row>
    <row r="40" spans="1:18" ht="15.75" thickBot="1" x14ac:dyDescent="0.3">
      <c r="A40" s="138">
        <v>1000045</v>
      </c>
      <c r="B40" s="12" t="s">
        <v>23</v>
      </c>
      <c r="C40" s="134"/>
      <c r="D40" s="144"/>
      <c r="F40" s="136"/>
      <c r="G40" s="141"/>
      <c r="H40" s="140"/>
      <c r="I40" s="141"/>
      <c r="J40" s="145"/>
      <c r="K40" s="141"/>
      <c r="L40" s="140"/>
      <c r="M40" s="141"/>
      <c r="N40" s="140"/>
      <c r="O40" s="141"/>
      <c r="P40" s="138">
        <f t="shared" si="0"/>
        <v>0</v>
      </c>
    </row>
    <row r="41" spans="1:18" ht="15.75" thickBot="1" x14ac:dyDescent="0.3">
      <c r="A41" s="138">
        <v>1000070</v>
      </c>
      <c r="B41" s="12" t="s">
        <v>13</v>
      </c>
      <c r="C41" s="134"/>
      <c r="D41" s="144"/>
      <c r="F41" s="136"/>
      <c r="G41" s="141"/>
      <c r="H41" s="140"/>
      <c r="I41" s="141"/>
      <c r="J41" s="145"/>
      <c r="K41" s="141"/>
      <c r="L41" s="140"/>
      <c r="M41" s="141"/>
      <c r="N41" s="140"/>
      <c r="O41" s="141"/>
      <c r="P41" s="138">
        <f t="shared" si="0"/>
        <v>0</v>
      </c>
    </row>
    <row r="42" spans="1:18" ht="15.75" thickBot="1" x14ac:dyDescent="0.3">
      <c r="A42" s="138">
        <v>1000057</v>
      </c>
      <c r="B42" s="12" t="s">
        <v>70</v>
      </c>
      <c r="C42" s="134"/>
      <c r="D42" s="144"/>
      <c r="F42" s="136"/>
      <c r="G42" s="141"/>
      <c r="H42" s="140"/>
      <c r="I42" s="141"/>
      <c r="J42" s="145"/>
      <c r="K42" s="141"/>
      <c r="L42" s="140"/>
      <c r="M42" s="141"/>
      <c r="N42" s="140"/>
      <c r="O42" s="141"/>
      <c r="P42" s="138">
        <f t="shared" si="0"/>
        <v>0</v>
      </c>
    </row>
    <row r="43" spans="1:18" ht="15.75" thickBot="1" x14ac:dyDescent="0.3">
      <c r="A43" s="138">
        <v>10211</v>
      </c>
      <c r="B43" s="12" t="s">
        <v>3</v>
      </c>
      <c r="C43" s="134"/>
      <c r="D43" s="144"/>
      <c r="F43" s="136">
        <v>100</v>
      </c>
      <c r="G43" s="141"/>
      <c r="H43" s="140"/>
      <c r="I43" s="141"/>
      <c r="J43" s="145"/>
      <c r="K43" s="141"/>
      <c r="L43" s="140"/>
      <c r="M43" s="141"/>
      <c r="N43" s="140"/>
      <c r="O43" s="141"/>
      <c r="P43" s="639">
        <f t="shared" si="0"/>
        <v>100</v>
      </c>
    </row>
    <row r="44" spans="1:18" ht="15.75" thickBot="1" x14ac:dyDescent="0.3">
      <c r="A44" s="138">
        <v>1000534</v>
      </c>
      <c r="B44" s="12" t="s">
        <v>260</v>
      </c>
      <c r="C44" s="134"/>
      <c r="D44" s="144"/>
      <c r="F44" s="136"/>
      <c r="G44" s="141"/>
      <c r="H44" s="140"/>
      <c r="I44" s="141"/>
      <c r="J44" s="145"/>
      <c r="K44" s="141"/>
      <c r="L44" s="140"/>
      <c r="M44" s="141"/>
      <c r="N44" s="140"/>
      <c r="O44" s="141"/>
      <c r="P44" s="138">
        <f t="shared" si="0"/>
        <v>0</v>
      </c>
      <c r="Q44" s="142"/>
    </row>
    <row r="45" spans="1:18" ht="15.75" thickBot="1" x14ac:dyDescent="0.3">
      <c r="A45" s="138">
        <v>1000080</v>
      </c>
      <c r="B45" s="12" t="s">
        <v>275</v>
      </c>
      <c r="C45" s="134"/>
      <c r="D45" s="144"/>
      <c r="F45" s="136"/>
      <c r="G45" s="141"/>
      <c r="H45" s="140"/>
      <c r="I45" s="141"/>
      <c r="J45" s="145"/>
      <c r="K45" s="141"/>
      <c r="L45" s="140"/>
      <c r="M45" s="141"/>
      <c r="N45" s="140"/>
      <c r="O45" s="141"/>
      <c r="P45" s="138">
        <f t="shared" si="0"/>
        <v>0</v>
      </c>
    </row>
    <row r="46" spans="1:18" ht="15.75" thickBot="1" x14ac:dyDescent="0.3">
      <c r="A46" s="138">
        <v>1000436</v>
      </c>
      <c r="B46" s="12" t="s">
        <v>276</v>
      </c>
      <c r="C46" s="134"/>
      <c r="D46" s="144"/>
      <c r="F46" s="136"/>
      <c r="G46" s="141"/>
      <c r="H46" s="140"/>
      <c r="I46" s="141"/>
      <c r="J46" s="145"/>
      <c r="K46" s="141"/>
      <c r="L46" s="140"/>
      <c r="M46" s="141"/>
      <c r="N46" s="140"/>
      <c r="O46" s="141"/>
      <c r="P46" s="138">
        <f t="shared" si="0"/>
        <v>0</v>
      </c>
    </row>
    <row r="47" spans="1:18" ht="15.75" thickBot="1" x14ac:dyDescent="0.3">
      <c r="A47" s="138">
        <v>1000550</v>
      </c>
      <c r="B47" s="12" t="s">
        <v>277</v>
      </c>
      <c r="C47" s="134"/>
      <c r="D47" s="144"/>
      <c r="F47" s="136"/>
      <c r="G47" s="141"/>
      <c r="H47" s="140"/>
      <c r="I47" s="141"/>
      <c r="J47" s="145"/>
      <c r="K47" s="141"/>
      <c r="L47" s="140"/>
      <c r="M47" s="141"/>
      <c r="N47" s="140"/>
      <c r="O47" s="141"/>
      <c r="P47" s="138">
        <f t="shared" si="0"/>
        <v>0</v>
      </c>
    </row>
    <row r="48" spans="1:18" ht="15.75" thickBot="1" x14ac:dyDescent="0.3">
      <c r="A48" s="138">
        <v>1000551</v>
      </c>
      <c r="B48" s="12" t="s">
        <v>278</v>
      </c>
      <c r="C48" s="134"/>
      <c r="D48" s="144"/>
      <c r="F48" s="136"/>
      <c r="G48" s="141"/>
      <c r="H48" s="140"/>
      <c r="I48" s="141"/>
      <c r="J48" s="145"/>
      <c r="K48" s="141"/>
      <c r="L48" s="140"/>
      <c r="M48" s="141"/>
      <c r="N48" s="140"/>
      <c r="O48" s="141"/>
      <c r="P48" s="138">
        <f t="shared" si="0"/>
        <v>0</v>
      </c>
    </row>
    <row r="49" spans="1:16" ht="16.5" thickBot="1" x14ac:dyDescent="0.3">
      <c r="A49" s="207">
        <v>1000552</v>
      </c>
      <c r="B49" s="246" t="s">
        <v>279</v>
      </c>
      <c r="C49"/>
      <c r="D49" s="38"/>
      <c r="E49" s="215"/>
      <c r="F49" s="136"/>
      <c r="G49" s="40"/>
      <c r="H49" s="39"/>
      <c r="I49" s="40"/>
      <c r="J49" s="39"/>
      <c r="K49" s="40"/>
      <c r="L49" s="39"/>
      <c r="M49" s="40"/>
      <c r="N49" s="39"/>
      <c r="O49" s="40"/>
      <c r="P49" s="38">
        <f t="shared" si="0"/>
        <v>0</v>
      </c>
    </row>
    <row r="50" spans="1:16" ht="15.75" thickBot="1" x14ac:dyDescent="0.3">
      <c r="A50" s="35">
        <v>1000412</v>
      </c>
      <c r="B50" s="12" t="s">
        <v>195</v>
      </c>
      <c r="D50" s="38"/>
      <c r="F50" s="136"/>
      <c r="G50" s="40"/>
      <c r="H50" s="39"/>
      <c r="I50" s="40"/>
      <c r="J50" s="39"/>
      <c r="K50" s="40"/>
      <c r="L50" s="39"/>
      <c r="M50" s="40"/>
      <c r="N50" s="39"/>
      <c r="O50" s="40"/>
      <c r="P50" s="38">
        <f t="shared" si="0"/>
        <v>0</v>
      </c>
    </row>
  </sheetData>
  <mergeCells count="2">
    <mergeCell ref="A1:B2"/>
    <mergeCell ref="F1:J2"/>
  </mergeCells>
  <pageMargins left="0.7" right="0.7" top="0.75" bottom="0.75" header="0.3" footer="0.3"/>
  <pageSetup paperSize="8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E355-334B-406D-B7E0-792385E49D40}">
  <sheetPr>
    <pageSetUpPr fitToPage="1"/>
  </sheetPr>
  <dimension ref="A1:Q55"/>
  <sheetViews>
    <sheetView topLeftCell="A3" zoomScaleNormal="100" workbookViewId="0">
      <selection activeCell="S31" sqref="S31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625" style="27" customWidth="1"/>
    <col min="4" max="4" width="8.125" style="27" bestFit="1" customWidth="1"/>
    <col min="5" max="5" width="1.375" style="27" customWidth="1"/>
    <col min="6" max="6" width="9.125" style="27" bestFit="1" customWidth="1"/>
    <col min="7" max="7" width="5.375" style="27" customWidth="1"/>
    <col min="8" max="8" width="9.125" style="27" bestFit="1" customWidth="1"/>
    <col min="9" max="9" width="5.125" style="27" customWidth="1"/>
    <col min="10" max="10" width="9.125" style="27" bestFit="1" customWidth="1"/>
    <col min="11" max="11" width="4.625" style="27" customWidth="1"/>
    <col min="12" max="12" width="9.125" style="27" bestFit="1" customWidth="1"/>
    <col min="13" max="13" width="5.125" style="27" customWidth="1"/>
    <col min="14" max="14" width="9.125" style="27" bestFit="1" customWidth="1"/>
    <col min="15" max="15" width="5.375" style="27" customWidth="1"/>
    <col min="16" max="16384" width="10.875" style="27"/>
  </cols>
  <sheetData>
    <row r="1" spans="1:16" ht="15" customHeight="1" x14ac:dyDescent="0.45">
      <c r="A1" s="686" t="s">
        <v>118</v>
      </c>
      <c r="B1" s="687"/>
      <c r="F1" s="751" t="s">
        <v>474</v>
      </c>
      <c r="G1" s="752"/>
      <c r="H1" s="752"/>
      <c r="I1" s="752"/>
      <c r="J1" s="753"/>
      <c r="K1" s="2"/>
    </row>
    <row r="2" spans="1:16" s="3" customFormat="1" ht="16.5" customHeight="1" thickBot="1" x14ac:dyDescent="0.5">
      <c r="A2" s="688"/>
      <c r="B2" s="689"/>
      <c r="C2" s="4"/>
      <c r="F2" s="754"/>
      <c r="G2" s="755"/>
      <c r="H2" s="755"/>
      <c r="I2" s="755"/>
      <c r="J2" s="756"/>
      <c r="K2" s="2"/>
      <c r="P2" s="449" t="s">
        <v>414</v>
      </c>
    </row>
    <row r="3" spans="1:16" s="3" customFormat="1" ht="20.25" customHeight="1" thickBot="1" x14ac:dyDescent="0.3">
      <c r="A3" s="5"/>
      <c r="B3" s="5" t="s">
        <v>413</v>
      </c>
      <c r="C3" s="4"/>
    </row>
    <row r="4" spans="1:16" s="3" customFormat="1" ht="16.5" thickBot="1" x14ac:dyDescent="0.3">
      <c r="A4" s="6" t="s">
        <v>0</v>
      </c>
      <c r="B4" s="6" t="s">
        <v>105</v>
      </c>
      <c r="C4" s="4"/>
      <c r="D4" s="7" t="s">
        <v>106</v>
      </c>
      <c r="E4" s="8"/>
      <c r="F4" s="9" t="s">
        <v>308</v>
      </c>
      <c r="G4" s="10" t="s">
        <v>325</v>
      </c>
      <c r="H4" s="9" t="s">
        <v>310</v>
      </c>
      <c r="I4" s="10" t="s">
        <v>325</v>
      </c>
      <c r="J4" s="9" t="s">
        <v>311</v>
      </c>
      <c r="K4" s="10" t="s">
        <v>325</v>
      </c>
      <c r="L4" s="9" t="s">
        <v>312</v>
      </c>
      <c r="M4" s="10" t="s">
        <v>325</v>
      </c>
      <c r="N4" s="9" t="s">
        <v>313</v>
      </c>
      <c r="O4" s="10" t="s">
        <v>325</v>
      </c>
      <c r="P4" s="7" t="s">
        <v>98</v>
      </c>
    </row>
    <row r="5" spans="1:16" x14ac:dyDescent="0.25">
      <c r="A5" s="35">
        <v>1000006</v>
      </c>
      <c r="B5" s="12" t="s">
        <v>4</v>
      </c>
      <c r="C5" s="51"/>
      <c r="D5" s="62">
        <v>25</v>
      </c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35">
        <f t="shared" ref="P5:P55" si="0">SUM(F5:O5)</f>
        <v>0</v>
      </c>
    </row>
    <row r="6" spans="1:16" x14ac:dyDescent="0.25">
      <c r="A6" s="35">
        <v>1000007</v>
      </c>
      <c r="B6" s="12" t="s">
        <v>5</v>
      </c>
      <c r="C6" s="51"/>
      <c r="D6" s="62">
        <v>5</v>
      </c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35">
        <f t="shared" si="0"/>
        <v>0</v>
      </c>
    </row>
    <row r="7" spans="1:16" x14ac:dyDescent="0.25">
      <c r="A7" s="35">
        <v>1000001</v>
      </c>
      <c r="B7" s="12" t="s">
        <v>8</v>
      </c>
      <c r="C7" s="51"/>
      <c r="D7" s="62">
        <v>1</v>
      </c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415">
        <f t="shared" si="0"/>
        <v>0</v>
      </c>
    </row>
    <row r="8" spans="1:16" x14ac:dyDescent="0.25">
      <c r="A8" s="35">
        <v>1000002</v>
      </c>
      <c r="B8" s="12" t="s">
        <v>9</v>
      </c>
      <c r="C8" s="51"/>
      <c r="D8" s="62">
        <v>1</v>
      </c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35">
        <f t="shared" si="0"/>
        <v>0</v>
      </c>
    </row>
    <row r="9" spans="1:16" x14ac:dyDescent="0.25">
      <c r="A9" s="35">
        <v>1000004</v>
      </c>
      <c r="B9" s="12" t="s">
        <v>10</v>
      </c>
      <c r="C9" s="51"/>
      <c r="D9" s="62">
        <v>0</v>
      </c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35">
        <f t="shared" si="0"/>
        <v>0</v>
      </c>
    </row>
    <row r="10" spans="1:16" x14ac:dyDescent="0.25">
      <c r="A10" s="35">
        <v>1000067</v>
      </c>
      <c r="B10" s="12" t="s">
        <v>11</v>
      </c>
      <c r="C10" s="51"/>
      <c r="D10" s="62">
        <v>0</v>
      </c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35">
        <f t="shared" si="0"/>
        <v>0</v>
      </c>
    </row>
    <row r="11" spans="1:16" x14ac:dyDescent="0.25">
      <c r="A11" s="35">
        <v>1000054</v>
      </c>
      <c r="B11" s="12" t="s">
        <v>12</v>
      </c>
      <c r="C11" s="51"/>
      <c r="D11" s="62">
        <v>5</v>
      </c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415">
        <f t="shared" si="0"/>
        <v>0</v>
      </c>
    </row>
    <row r="12" spans="1:16" x14ac:dyDescent="0.25">
      <c r="A12" s="35">
        <v>1000070</v>
      </c>
      <c r="B12" s="12" t="s">
        <v>13</v>
      </c>
      <c r="C12" s="51"/>
      <c r="D12" s="62">
        <v>0</v>
      </c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415">
        <f t="shared" si="0"/>
        <v>0</v>
      </c>
    </row>
    <row r="13" spans="1:16" x14ac:dyDescent="0.25">
      <c r="A13" s="35">
        <v>1000017</v>
      </c>
      <c r="B13" s="12" t="s">
        <v>14</v>
      </c>
      <c r="C13" s="51"/>
      <c r="D13" s="62">
        <v>5</v>
      </c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415">
        <f t="shared" si="0"/>
        <v>0</v>
      </c>
    </row>
    <row r="14" spans="1:16" x14ac:dyDescent="0.25">
      <c r="A14" s="35">
        <v>1000016</v>
      </c>
      <c r="B14" s="12" t="s">
        <v>15</v>
      </c>
      <c r="C14" s="51"/>
      <c r="D14" s="62">
        <v>2.5</v>
      </c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35">
        <f t="shared" si="0"/>
        <v>0</v>
      </c>
    </row>
    <row r="15" spans="1:16" x14ac:dyDescent="0.25">
      <c r="A15" s="35">
        <v>1000101</v>
      </c>
      <c r="B15" s="12" t="s">
        <v>35</v>
      </c>
      <c r="C15" s="51"/>
      <c r="D15" s="62">
        <v>0</v>
      </c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35">
        <f t="shared" si="0"/>
        <v>0</v>
      </c>
    </row>
    <row r="16" spans="1:16" x14ac:dyDescent="0.25">
      <c r="A16" s="35">
        <v>1000073</v>
      </c>
      <c r="B16" s="12" t="s">
        <v>36</v>
      </c>
      <c r="C16" s="51"/>
      <c r="D16" s="62">
        <v>0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35">
        <f t="shared" si="0"/>
        <v>0</v>
      </c>
    </row>
    <row r="17" spans="1:17" x14ac:dyDescent="0.25">
      <c r="A17" s="35">
        <v>10248</v>
      </c>
      <c r="B17" s="12" t="s">
        <v>183</v>
      </c>
      <c r="C17" s="51"/>
      <c r="D17" s="62">
        <v>0</v>
      </c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35">
        <f t="shared" si="0"/>
        <v>0</v>
      </c>
    </row>
    <row r="18" spans="1:17" x14ac:dyDescent="0.25">
      <c r="A18" s="35">
        <v>1000052</v>
      </c>
      <c r="B18" s="12" t="s">
        <v>41</v>
      </c>
      <c r="C18" s="51"/>
      <c r="D18" s="62">
        <v>1</v>
      </c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415">
        <f t="shared" si="0"/>
        <v>0</v>
      </c>
    </row>
    <row r="19" spans="1:17" x14ac:dyDescent="0.25">
      <c r="A19" s="35">
        <v>1000089</v>
      </c>
      <c r="B19" s="12" t="s">
        <v>42</v>
      </c>
      <c r="C19" s="51"/>
      <c r="D19" s="62">
        <v>1</v>
      </c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415">
        <f t="shared" si="0"/>
        <v>0</v>
      </c>
    </row>
    <row r="20" spans="1:17" x14ac:dyDescent="0.25">
      <c r="A20" s="35">
        <v>1000051</v>
      </c>
      <c r="B20" s="12" t="s">
        <v>43</v>
      </c>
      <c r="C20" s="51"/>
      <c r="D20" s="62">
        <v>1</v>
      </c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35">
        <f t="shared" si="0"/>
        <v>0</v>
      </c>
    </row>
    <row r="21" spans="1:17" x14ac:dyDescent="0.25">
      <c r="A21" s="35">
        <v>1000076</v>
      </c>
      <c r="B21" s="12" t="s">
        <v>46</v>
      </c>
      <c r="C21" s="51"/>
      <c r="D21" s="62">
        <v>0</v>
      </c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35">
        <f t="shared" si="0"/>
        <v>0</v>
      </c>
    </row>
    <row r="22" spans="1:17" x14ac:dyDescent="0.25">
      <c r="A22" s="35">
        <v>1000214</v>
      </c>
      <c r="B22" s="12" t="s">
        <v>49</v>
      </c>
      <c r="C22" s="51"/>
      <c r="D22" s="62">
        <v>0</v>
      </c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35">
        <f t="shared" si="0"/>
        <v>0</v>
      </c>
    </row>
    <row r="23" spans="1:17" s="15" customFormat="1" ht="15.95" customHeight="1" x14ac:dyDescent="0.25">
      <c r="A23" s="35">
        <v>1000048</v>
      </c>
      <c r="B23" s="12" t="s">
        <v>45</v>
      </c>
      <c r="C23" s="51"/>
      <c r="D23" s="62"/>
      <c r="E23" s="27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35">
        <f t="shared" si="0"/>
        <v>0</v>
      </c>
      <c r="Q23" s="27"/>
    </row>
    <row r="24" spans="1:17" x14ac:dyDescent="0.25">
      <c r="A24" s="35">
        <v>10000015</v>
      </c>
      <c r="B24" s="12" t="s">
        <v>1</v>
      </c>
      <c r="C24" s="51"/>
      <c r="D24" s="6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415">
        <f t="shared" si="0"/>
        <v>0</v>
      </c>
    </row>
    <row r="25" spans="1:17" x14ac:dyDescent="0.25">
      <c r="A25" s="35">
        <v>1000090</v>
      </c>
      <c r="B25" s="12" t="s">
        <v>40</v>
      </c>
      <c r="C25" s="51"/>
      <c r="D25" s="6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35">
        <f t="shared" si="0"/>
        <v>0</v>
      </c>
    </row>
    <row r="26" spans="1:17" x14ac:dyDescent="0.25">
      <c r="A26" s="35">
        <v>1000146</v>
      </c>
      <c r="B26" s="12" t="s">
        <v>39</v>
      </c>
      <c r="C26" s="51"/>
      <c r="D26" s="6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35">
        <f t="shared" si="0"/>
        <v>0</v>
      </c>
    </row>
    <row r="27" spans="1:17" x14ac:dyDescent="0.25">
      <c r="A27" s="35">
        <v>1000050</v>
      </c>
      <c r="B27" s="12" t="s">
        <v>22</v>
      </c>
      <c r="C27" s="51"/>
      <c r="D27" s="6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35">
        <f t="shared" si="0"/>
        <v>0</v>
      </c>
    </row>
    <row r="28" spans="1:17" x14ac:dyDescent="0.25">
      <c r="A28" s="35">
        <v>1000041</v>
      </c>
      <c r="B28" s="12" t="s">
        <v>16</v>
      </c>
      <c r="C28" s="51"/>
      <c r="D28" s="6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35">
        <f t="shared" si="0"/>
        <v>0</v>
      </c>
    </row>
    <row r="29" spans="1:17" x14ac:dyDescent="0.25">
      <c r="A29" s="35">
        <v>10211</v>
      </c>
      <c r="B29" s="12" t="s">
        <v>3</v>
      </c>
      <c r="C29" s="51"/>
      <c r="D29" s="6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415">
        <f t="shared" si="0"/>
        <v>0</v>
      </c>
    </row>
    <row r="30" spans="1:17" x14ac:dyDescent="0.25">
      <c r="A30" s="35">
        <v>1000008</v>
      </c>
      <c r="B30" s="12" t="s">
        <v>7</v>
      </c>
      <c r="C30" s="51"/>
      <c r="D30" s="6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35">
        <f t="shared" si="0"/>
        <v>0</v>
      </c>
    </row>
    <row r="31" spans="1:17" x14ac:dyDescent="0.25">
      <c r="A31" s="35">
        <v>1000084</v>
      </c>
      <c r="B31" s="12" t="s">
        <v>38</v>
      </c>
      <c r="C31" s="51"/>
      <c r="D31" s="6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415">
        <f t="shared" si="0"/>
        <v>0</v>
      </c>
    </row>
    <row r="32" spans="1:17" x14ac:dyDescent="0.25">
      <c r="A32" s="35">
        <v>1000027</v>
      </c>
      <c r="B32" s="12" t="s">
        <v>33</v>
      </c>
      <c r="C32" s="51"/>
      <c r="D32" s="6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35">
        <f t="shared" si="0"/>
        <v>0</v>
      </c>
    </row>
    <row r="33" spans="1:17" x14ac:dyDescent="0.25">
      <c r="A33" s="35">
        <v>1000033</v>
      </c>
      <c r="B33" s="12" t="s">
        <v>27</v>
      </c>
      <c r="C33" s="51"/>
      <c r="D33" s="6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35">
        <f t="shared" si="0"/>
        <v>0</v>
      </c>
      <c r="Q33" s="15"/>
    </row>
    <row r="34" spans="1:17" x14ac:dyDescent="0.25">
      <c r="A34" s="35">
        <v>1000142</v>
      </c>
      <c r="B34" s="12" t="s">
        <v>54</v>
      </c>
      <c r="C34" s="51"/>
      <c r="D34" s="6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35">
        <f t="shared" si="0"/>
        <v>0</v>
      </c>
      <c r="Q34" s="15"/>
    </row>
    <row r="35" spans="1:17" x14ac:dyDescent="0.25">
      <c r="A35" s="35">
        <v>10000102</v>
      </c>
      <c r="B35" s="12" t="s">
        <v>2</v>
      </c>
      <c r="C35" s="51"/>
      <c r="D35" s="6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35">
        <f t="shared" si="0"/>
        <v>0</v>
      </c>
    </row>
    <row r="36" spans="1:17" x14ac:dyDescent="0.25">
      <c r="A36" s="35">
        <v>1000100</v>
      </c>
      <c r="B36" s="12" t="s">
        <v>34</v>
      </c>
      <c r="C36" s="51"/>
      <c r="D36" s="6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35">
        <f t="shared" si="0"/>
        <v>0</v>
      </c>
    </row>
    <row r="37" spans="1:17" x14ac:dyDescent="0.25">
      <c r="A37" s="35">
        <v>1000045</v>
      </c>
      <c r="B37" s="12" t="s">
        <v>23</v>
      </c>
      <c r="C37" s="51"/>
      <c r="D37" s="6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35">
        <f t="shared" si="0"/>
        <v>0</v>
      </c>
    </row>
    <row r="38" spans="1:17" x14ac:dyDescent="0.25">
      <c r="A38" s="35">
        <v>1000049</v>
      </c>
      <c r="B38" s="12" t="s">
        <v>21</v>
      </c>
      <c r="C38" s="51"/>
      <c r="D38" s="6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35">
        <f t="shared" si="0"/>
        <v>0</v>
      </c>
    </row>
    <row r="39" spans="1:17" x14ac:dyDescent="0.25">
      <c r="A39" s="35">
        <v>1000082</v>
      </c>
      <c r="B39" s="12" t="s">
        <v>37</v>
      </c>
      <c r="C39" s="51"/>
      <c r="D39" s="6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415">
        <f t="shared" si="0"/>
        <v>0</v>
      </c>
    </row>
    <row r="40" spans="1:17" x14ac:dyDescent="0.25">
      <c r="A40" s="35">
        <v>1000075</v>
      </c>
      <c r="B40" s="12" t="s">
        <v>47</v>
      </c>
      <c r="C40" s="51"/>
      <c r="D40" s="6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35">
        <f t="shared" si="0"/>
        <v>0</v>
      </c>
    </row>
    <row r="41" spans="1:17" x14ac:dyDescent="0.25">
      <c r="A41" s="35">
        <v>1000383</v>
      </c>
      <c r="B41" s="12" t="s">
        <v>264</v>
      </c>
      <c r="C41" s="51"/>
      <c r="D41" s="6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35">
        <f t="shared" si="0"/>
        <v>0</v>
      </c>
    </row>
    <row r="42" spans="1:17" x14ac:dyDescent="0.25">
      <c r="A42" s="35">
        <v>1000101</v>
      </c>
      <c r="B42" s="12" t="s">
        <v>35</v>
      </c>
      <c r="C42" s="51"/>
      <c r="D42" s="6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35">
        <f t="shared" si="0"/>
        <v>0</v>
      </c>
    </row>
    <row r="43" spans="1:17" x14ac:dyDescent="0.25">
      <c r="A43" s="35">
        <v>1000214</v>
      </c>
      <c r="B43" s="12" t="s">
        <v>49</v>
      </c>
      <c r="C43" s="51"/>
      <c r="D43" s="6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35">
        <f t="shared" si="0"/>
        <v>0</v>
      </c>
    </row>
    <row r="44" spans="1:17" x14ac:dyDescent="0.25">
      <c r="A44" s="35">
        <v>1000025</v>
      </c>
      <c r="B44" s="12" t="s">
        <v>32</v>
      </c>
      <c r="C44" s="51"/>
      <c r="D44" s="6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415">
        <f t="shared" si="0"/>
        <v>0</v>
      </c>
    </row>
    <row r="45" spans="1:17" x14ac:dyDescent="0.25">
      <c r="A45" s="35">
        <v>1000084</v>
      </c>
      <c r="B45" s="12" t="s">
        <v>38</v>
      </c>
      <c r="C45" s="51"/>
      <c r="D45" s="6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35">
        <f t="shared" si="0"/>
        <v>0</v>
      </c>
    </row>
    <row r="46" spans="1:17" x14ac:dyDescent="0.25">
      <c r="A46" s="35">
        <v>1000107</v>
      </c>
      <c r="B46" s="12" t="s">
        <v>60</v>
      </c>
      <c r="C46" s="51"/>
      <c r="D46" s="6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35">
        <f t="shared" si="0"/>
        <v>0</v>
      </c>
    </row>
    <row r="47" spans="1:17" x14ac:dyDescent="0.25">
      <c r="A47" s="35">
        <v>1000062</v>
      </c>
      <c r="B47" s="12" t="s">
        <v>66</v>
      </c>
      <c r="C47" s="51"/>
      <c r="D47" s="6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35">
        <f t="shared" si="0"/>
        <v>0</v>
      </c>
    </row>
    <row r="48" spans="1:17" x14ac:dyDescent="0.25">
      <c r="A48" s="35">
        <v>1000436</v>
      </c>
      <c r="B48" s="12" t="s">
        <v>276</v>
      </c>
      <c r="C48" s="51"/>
      <c r="D48" s="6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35">
        <f t="shared" si="0"/>
        <v>0</v>
      </c>
    </row>
    <row r="49" spans="1:16" x14ac:dyDescent="0.25">
      <c r="A49" s="35">
        <v>1000550</v>
      </c>
      <c r="B49" s="12" t="s">
        <v>277</v>
      </c>
      <c r="C49" s="51"/>
      <c r="D49" s="6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35">
        <f t="shared" si="0"/>
        <v>0</v>
      </c>
    </row>
    <row r="50" spans="1:16" x14ac:dyDescent="0.25">
      <c r="A50" s="35">
        <v>1000551</v>
      </c>
      <c r="B50" s="12" t="s">
        <v>278</v>
      </c>
      <c r="C50" s="51"/>
      <c r="D50" s="6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35">
        <f t="shared" si="0"/>
        <v>0</v>
      </c>
    </row>
    <row r="51" spans="1:16" x14ac:dyDescent="0.25">
      <c r="A51" s="35">
        <v>1000552</v>
      </c>
      <c r="B51" s="12" t="s">
        <v>279</v>
      </c>
      <c r="C51" s="51"/>
      <c r="D51" s="6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35">
        <f t="shared" si="0"/>
        <v>0</v>
      </c>
    </row>
    <row r="52" spans="1:16" ht="15.75" thickBot="1" x14ac:dyDescent="0.3">
      <c r="A52" s="243">
        <v>1000080</v>
      </c>
      <c r="B52" s="251" t="s">
        <v>275</v>
      </c>
      <c r="C52" s="215"/>
      <c r="D52" s="38"/>
      <c r="E52" s="215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35">
        <f t="shared" si="0"/>
        <v>0</v>
      </c>
    </row>
    <row r="53" spans="1:16" ht="15.75" thickBot="1" x14ac:dyDescent="0.3">
      <c r="A53" s="35">
        <v>1000034</v>
      </c>
      <c r="B53" s="12" t="s">
        <v>28</v>
      </c>
      <c r="D53" s="38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35">
        <f t="shared" si="0"/>
        <v>0</v>
      </c>
    </row>
    <row r="54" spans="1:16" ht="15.75" thickBot="1" x14ac:dyDescent="0.3">
      <c r="A54" s="12">
        <v>10212</v>
      </c>
      <c r="B54" s="12" t="s">
        <v>6</v>
      </c>
      <c r="D54" s="38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415">
        <f t="shared" si="0"/>
        <v>0</v>
      </c>
    </row>
    <row r="55" spans="1:16" ht="15.75" thickBot="1" x14ac:dyDescent="0.3">
      <c r="A55" s="12"/>
      <c r="B55" s="12" t="s">
        <v>455</v>
      </c>
      <c r="D55" s="38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415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63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8C44-E4A3-40CD-A630-24F8E1CF6553}">
  <dimension ref="A1:M57"/>
  <sheetViews>
    <sheetView workbookViewId="0">
      <selection activeCell="P3" sqref="P3"/>
    </sheetView>
  </sheetViews>
  <sheetFormatPr baseColWidth="10" defaultRowHeight="15.75" x14ac:dyDescent="0.25"/>
  <cols>
    <col min="2" max="2" width="32.875" bestFit="1" customWidth="1"/>
  </cols>
  <sheetData>
    <row r="1" spans="1:13" ht="28.5" x14ac:dyDescent="0.45">
      <c r="A1" s="686" t="s">
        <v>426</v>
      </c>
      <c r="B1" s="687"/>
      <c r="C1" s="796" t="s">
        <v>267</v>
      </c>
      <c r="D1" s="797"/>
      <c r="E1" s="797"/>
      <c r="F1" s="797"/>
      <c r="G1" s="798"/>
      <c r="H1" s="2"/>
      <c r="I1" s="747" t="s">
        <v>170</v>
      </c>
      <c r="J1" s="749" t="s">
        <v>171</v>
      </c>
      <c r="K1" s="27"/>
      <c r="L1" s="27"/>
      <c r="M1" s="27"/>
    </row>
    <row r="2" spans="1:13" ht="29.25" thickBot="1" x14ac:dyDescent="0.5">
      <c r="A2" s="688"/>
      <c r="B2" s="689"/>
      <c r="C2" s="799"/>
      <c r="D2" s="800"/>
      <c r="E2" s="800"/>
      <c r="F2" s="800"/>
      <c r="G2" s="801"/>
      <c r="H2" s="2"/>
      <c r="I2" s="748"/>
      <c r="J2" s="750"/>
      <c r="K2" s="3"/>
      <c r="L2" s="3"/>
      <c r="M2" s="3"/>
    </row>
    <row r="3" spans="1:13" ht="29.25" thickBot="1" x14ac:dyDescent="0.3">
      <c r="A3" s="5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6.5" thickBot="1" x14ac:dyDescent="0.3">
      <c r="A4" s="6" t="s">
        <v>0</v>
      </c>
      <c r="B4" s="6" t="s">
        <v>105</v>
      </c>
      <c r="C4" s="9" t="s">
        <v>107</v>
      </c>
      <c r="D4" s="10" t="s">
        <v>113</v>
      </c>
      <c r="E4" s="9" t="s">
        <v>108</v>
      </c>
      <c r="F4" s="10" t="s">
        <v>114</v>
      </c>
      <c r="G4" s="9" t="s">
        <v>109</v>
      </c>
      <c r="H4" s="10" t="s">
        <v>115</v>
      </c>
      <c r="I4" s="9" t="s">
        <v>110</v>
      </c>
      <c r="J4" s="10" t="s">
        <v>116</v>
      </c>
      <c r="K4" s="9" t="s">
        <v>111</v>
      </c>
      <c r="L4" s="10" t="s">
        <v>117</v>
      </c>
      <c r="M4" s="7" t="s">
        <v>98</v>
      </c>
    </row>
    <row r="5" spans="1:13" x14ac:dyDescent="0.25">
      <c r="A5" s="30">
        <v>10000015</v>
      </c>
      <c r="B5" s="11" t="s">
        <v>1</v>
      </c>
      <c r="C5" s="28"/>
      <c r="D5" s="29"/>
      <c r="E5" s="28"/>
      <c r="F5" s="29"/>
      <c r="G5" s="28"/>
      <c r="H5" s="29"/>
      <c r="I5" s="28"/>
      <c r="J5" s="29"/>
      <c r="K5" s="28"/>
      <c r="L5" s="29"/>
      <c r="M5" s="30">
        <f t="shared" ref="M5:M40" si="0">SUM(C5:L5)</f>
        <v>0</v>
      </c>
    </row>
    <row r="6" spans="1:13" x14ac:dyDescent="0.25">
      <c r="A6" s="35">
        <v>10000102</v>
      </c>
      <c r="B6" s="12" t="s">
        <v>2</v>
      </c>
      <c r="C6" s="33"/>
      <c r="D6" s="34"/>
      <c r="E6" s="33"/>
      <c r="F6" s="34"/>
      <c r="G6" s="33"/>
      <c r="H6" s="34"/>
      <c r="I6" s="33"/>
      <c r="J6" s="34"/>
      <c r="K6" s="33"/>
      <c r="L6" s="34"/>
      <c r="M6" s="35">
        <f t="shared" si="0"/>
        <v>0</v>
      </c>
    </row>
    <row r="7" spans="1:13" x14ac:dyDescent="0.25">
      <c r="A7" s="35">
        <v>10211</v>
      </c>
      <c r="B7" s="12" t="s">
        <v>3</v>
      </c>
      <c r="C7" s="33"/>
      <c r="D7" s="34"/>
      <c r="E7" s="33"/>
      <c r="F7" s="34"/>
      <c r="G7" s="33"/>
      <c r="H7" s="34"/>
      <c r="I7" s="33"/>
      <c r="J7" s="34"/>
      <c r="K7" s="33"/>
      <c r="L7" s="34"/>
      <c r="M7" s="35">
        <f t="shared" si="0"/>
        <v>0</v>
      </c>
    </row>
    <row r="8" spans="1:13" x14ac:dyDescent="0.25">
      <c r="A8" s="35">
        <v>1000007</v>
      </c>
      <c r="B8" s="12" t="s">
        <v>5</v>
      </c>
      <c r="C8" s="33"/>
      <c r="D8" s="34"/>
      <c r="E8" s="33"/>
      <c r="F8" s="34"/>
      <c r="G8" s="33"/>
      <c r="H8" s="34"/>
      <c r="I8" s="33"/>
      <c r="J8" s="34"/>
      <c r="K8" s="33"/>
      <c r="L8" s="34"/>
      <c r="M8" s="35">
        <f t="shared" si="0"/>
        <v>0</v>
      </c>
    </row>
    <row r="9" spans="1:13" x14ac:dyDescent="0.25">
      <c r="A9" s="35">
        <v>10212</v>
      </c>
      <c r="B9" s="12" t="s">
        <v>6</v>
      </c>
      <c r="C9" s="33"/>
      <c r="D9" s="34"/>
      <c r="E9" s="33"/>
      <c r="F9" s="34"/>
      <c r="G9" s="33"/>
      <c r="H9" s="34"/>
      <c r="I9" s="33"/>
      <c r="J9" s="34"/>
      <c r="K9" s="33"/>
      <c r="L9" s="34"/>
      <c r="M9" s="35">
        <f t="shared" si="0"/>
        <v>0</v>
      </c>
    </row>
    <row r="10" spans="1:13" x14ac:dyDescent="0.25">
      <c r="A10" s="35">
        <v>1000008</v>
      </c>
      <c r="B10" s="12" t="s">
        <v>7</v>
      </c>
      <c r="C10" s="33"/>
      <c r="D10" s="34"/>
      <c r="E10" s="33"/>
      <c r="F10" s="34"/>
      <c r="G10" s="33"/>
      <c r="H10" s="34"/>
      <c r="I10" s="33"/>
      <c r="J10" s="34"/>
      <c r="K10" s="33"/>
      <c r="L10" s="34"/>
      <c r="M10" s="35">
        <f t="shared" si="0"/>
        <v>0</v>
      </c>
    </row>
    <row r="11" spans="1:13" x14ac:dyDescent="0.25">
      <c r="A11" s="35">
        <v>1000001</v>
      </c>
      <c r="B11" s="12" t="s">
        <v>8</v>
      </c>
      <c r="C11" s="33"/>
      <c r="D11" s="34"/>
      <c r="E11" s="33"/>
      <c r="F11" s="34"/>
      <c r="G11" s="33"/>
      <c r="H11" s="34"/>
      <c r="I11" s="33"/>
      <c r="J11" s="34"/>
      <c r="K11" s="33"/>
      <c r="L11" s="34"/>
      <c r="M11" s="35">
        <f t="shared" si="0"/>
        <v>0</v>
      </c>
    </row>
    <row r="12" spans="1:13" x14ac:dyDescent="0.25">
      <c r="A12" s="35">
        <v>1000002</v>
      </c>
      <c r="B12" s="12" t="s">
        <v>9</v>
      </c>
      <c r="C12" s="33"/>
      <c r="D12" s="34"/>
      <c r="E12" s="33"/>
      <c r="F12" s="34"/>
      <c r="G12" s="33"/>
      <c r="H12" s="34"/>
      <c r="I12" s="33"/>
      <c r="J12" s="34"/>
      <c r="K12" s="33"/>
      <c r="L12" s="34"/>
      <c r="M12" s="35">
        <f t="shared" si="0"/>
        <v>0</v>
      </c>
    </row>
    <row r="13" spans="1:13" x14ac:dyDescent="0.25">
      <c r="A13" s="35">
        <v>1000004</v>
      </c>
      <c r="B13" s="12" t="s">
        <v>10</v>
      </c>
      <c r="C13" s="33"/>
      <c r="D13" s="34"/>
      <c r="E13" s="33"/>
      <c r="F13" s="34"/>
      <c r="G13" s="33"/>
      <c r="H13" s="34"/>
      <c r="I13" s="33"/>
      <c r="J13" s="34"/>
      <c r="K13" s="33"/>
      <c r="L13" s="34"/>
      <c r="M13" s="35">
        <f t="shared" si="0"/>
        <v>0</v>
      </c>
    </row>
    <row r="14" spans="1:13" x14ac:dyDescent="0.25">
      <c r="A14" s="35">
        <v>1000054</v>
      </c>
      <c r="B14" s="12" t="s">
        <v>12</v>
      </c>
      <c r="C14" s="33"/>
      <c r="D14" s="34"/>
      <c r="E14" s="33"/>
      <c r="F14" s="34"/>
      <c r="G14" s="33"/>
      <c r="H14" s="34"/>
      <c r="I14" s="33"/>
      <c r="J14" s="34"/>
      <c r="K14" s="33"/>
      <c r="L14" s="34"/>
      <c r="M14" s="35">
        <f t="shared" si="0"/>
        <v>0</v>
      </c>
    </row>
    <row r="15" spans="1:13" x14ac:dyDescent="0.25">
      <c r="A15" s="35">
        <v>1000070</v>
      </c>
      <c r="B15" s="12" t="s">
        <v>13</v>
      </c>
      <c r="C15" s="33"/>
      <c r="D15" s="34"/>
      <c r="E15" s="33"/>
      <c r="F15" s="34"/>
      <c r="G15" s="33"/>
      <c r="H15" s="34"/>
      <c r="I15" s="33"/>
      <c r="J15" s="34"/>
      <c r="K15" s="33"/>
      <c r="L15" s="34"/>
      <c r="M15" s="35">
        <f t="shared" si="0"/>
        <v>0</v>
      </c>
    </row>
    <row r="16" spans="1:13" x14ac:dyDescent="0.25">
      <c r="A16" s="35">
        <v>1000017</v>
      </c>
      <c r="B16" s="13" t="s">
        <v>14</v>
      </c>
      <c r="C16" s="33"/>
      <c r="D16" s="34"/>
      <c r="E16" s="33"/>
      <c r="F16" s="34"/>
      <c r="G16" s="33"/>
      <c r="H16" s="34"/>
      <c r="I16" s="33"/>
      <c r="J16" s="34"/>
      <c r="K16" s="33"/>
      <c r="L16" s="34"/>
      <c r="M16" s="35">
        <f t="shared" si="0"/>
        <v>0</v>
      </c>
    </row>
    <row r="17" spans="1:13" x14ac:dyDescent="0.25">
      <c r="A17" s="35">
        <v>1000010</v>
      </c>
      <c r="B17" s="12" t="s">
        <v>17</v>
      </c>
      <c r="C17" s="33"/>
      <c r="D17" s="34"/>
      <c r="E17" s="33"/>
      <c r="F17" s="34"/>
      <c r="G17" s="33"/>
      <c r="H17" s="34"/>
      <c r="I17" s="33"/>
      <c r="J17" s="34"/>
      <c r="K17" s="33"/>
      <c r="L17" s="34"/>
      <c r="M17" s="35">
        <f t="shared" si="0"/>
        <v>0</v>
      </c>
    </row>
    <row r="18" spans="1:13" x14ac:dyDescent="0.25">
      <c r="A18" s="35">
        <v>1000009</v>
      </c>
      <c r="B18" s="14" t="s">
        <v>19</v>
      </c>
      <c r="C18" s="33"/>
      <c r="D18" s="34"/>
      <c r="E18" s="33"/>
      <c r="F18" s="34"/>
      <c r="G18" s="33"/>
      <c r="H18" s="34"/>
      <c r="I18" s="33"/>
      <c r="J18" s="34"/>
      <c r="K18" s="33"/>
      <c r="L18" s="34"/>
      <c r="M18" s="35">
        <f t="shared" si="0"/>
        <v>0</v>
      </c>
    </row>
    <row r="19" spans="1:13" x14ac:dyDescent="0.25">
      <c r="A19" s="35">
        <v>1000049</v>
      </c>
      <c r="B19" s="12" t="s">
        <v>21</v>
      </c>
      <c r="C19" s="33"/>
      <c r="D19" s="34"/>
      <c r="E19" s="33"/>
      <c r="F19" s="34"/>
      <c r="G19" s="33"/>
      <c r="H19" s="34"/>
      <c r="I19" s="33"/>
      <c r="J19" s="34"/>
      <c r="K19" s="33"/>
      <c r="L19" s="34"/>
      <c r="M19" s="35">
        <f t="shared" si="0"/>
        <v>0</v>
      </c>
    </row>
    <row r="20" spans="1:13" x14ac:dyDescent="0.25">
      <c r="A20" s="35">
        <v>1000033</v>
      </c>
      <c r="B20" s="12" t="s">
        <v>27</v>
      </c>
      <c r="C20" s="33"/>
      <c r="D20" s="34"/>
      <c r="E20" s="33"/>
      <c r="F20" s="34"/>
      <c r="G20" s="33"/>
      <c r="H20" s="34"/>
      <c r="I20" s="33"/>
      <c r="J20" s="34"/>
      <c r="K20" s="33"/>
      <c r="L20" s="34"/>
      <c r="M20" s="35">
        <f t="shared" si="0"/>
        <v>0</v>
      </c>
    </row>
    <row r="21" spans="1:13" x14ac:dyDescent="0.25">
      <c r="A21" s="35">
        <v>1000034</v>
      </c>
      <c r="B21" s="12" t="s">
        <v>28</v>
      </c>
      <c r="C21" s="33"/>
      <c r="D21" s="34"/>
      <c r="E21" s="33"/>
      <c r="F21" s="34"/>
      <c r="G21" s="33"/>
      <c r="H21" s="34"/>
      <c r="I21" s="33"/>
      <c r="J21" s="34"/>
      <c r="K21" s="33"/>
      <c r="L21" s="34"/>
      <c r="M21" s="35">
        <f t="shared" si="0"/>
        <v>0</v>
      </c>
    </row>
    <row r="22" spans="1:13" x14ac:dyDescent="0.25">
      <c r="A22" s="35">
        <v>1000029</v>
      </c>
      <c r="B22" s="12" t="s">
        <v>30</v>
      </c>
      <c r="C22" s="33"/>
      <c r="D22" s="34"/>
      <c r="E22" s="33"/>
      <c r="F22" s="34"/>
      <c r="G22" s="33"/>
      <c r="H22" s="34"/>
      <c r="I22" s="33"/>
      <c r="J22" s="34"/>
      <c r="K22" s="33"/>
      <c r="L22" s="34"/>
      <c r="M22" s="35">
        <f t="shared" si="0"/>
        <v>0</v>
      </c>
    </row>
    <row r="23" spans="1:13" x14ac:dyDescent="0.25">
      <c r="A23" s="35">
        <v>1000025</v>
      </c>
      <c r="B23" s="12" t="s">
        <v>32</v>
      </c>
      <c r="C23" s="158"/>
      <c r="D23" s="34"/>
      <c r="E23" s="33"/>
      <c r="F23" s="34"/>
      <c r="G23" s="33"/>
      <c r="H23" s="34"/>
      <c r="I23" s="33"/>
      <c r="J23" s="34"/>
      <c r="K23" s="33"/>
      <c r="L23" s="34"/>
      <c r="M23" s="35">
        <f t="shared" si="0"/>
        <v>0</v>
      </c>
    </row>
    <row r="24" spans="1:13" x14ac:dyDescent="0.25">
      <c r="A24" s="35">
        <v>1000100</v>
      </c>
      <c r="B24" s="12" t="s">
        <v>34</v>
      </c>
      <c r="C24" s="33"/>
      <c r="D24" s="34"/>
      <c r="E24" s="33"/>
      <c r="F24" s="34"/>
      <c r="G24" s="33"/>
      <c r="H24" s="34"/>
      <c r="I24" s="33"/>
      <c r="J24" s="34"/>
      <c r="K24" s="33"/>
      <c r="L24" s="34"/>
      <c r="M24" s="35">
        <f t="shared" si="0"/>
        <v>0</v>
      </c>
    </row>
    <row r="25" spans="1:13" x14ac:dyDescent="0.25">
      <c r="A25" s="35">
        <v>1000101</v>
      </c>
      <c r="B25" s="12" t="s">
        <v>35</v>
      </c>
      <c r="C25" s="33"/>
      <c r="D25" s="34"/>
      <c r="E25" s="33"/>
      <c r="F25" s="34"/>
      <c r="G25" s="33"/>
      <c r="H25" s="34"/>
      <c r="I25" s="33"/>
      <c r="J25" s="34"/>
      <c r="K25" s="33"/>
      <c r="L25" s="34"/>
      <c r="M25" s="35">
        <f t="shared" si="0"/>
        <v>0</v>
      </c>
    </row>
    <row r="26" spans="1:13" x14ac:dyDescent="0.25">
      <c r="A26" s="35">
        <v>1000073</v>
      </c>
      <c r="B26" s="12" t="s">
        <v>36</v>
      </c>
      <c r="C26" s="33"/>
      <c r="D26" s="34"/>
      <c r="E26" s="33"/>
      <c r="F26" s="34"/>
      <c r="G26" s="33"/>
      <c r="H26" s="34"/>
      <c r="I26" s="33"/>
      <c r="J26" s="34"/>
      <c r="K26" s="33"/>
      <c r="L26" s="34"/>
      <c r="M26" s="35">
        <f t="shared" si="0"/>
        <v>0</v>
      </c>
    </row>
    <row r="27" spans="1:13" x14ac:dyDescent="0.25">
      <c r="A27" s="35">
        <v>1000082</v>
      </c>
      <c r="B27" s="12" t="s">
        <v>37</v>
      </c>
      <c r="C27" s="33"/>
      <c r="D27" s="34"/>
      <c r="E27" s="33"/>
      <c r="F27" s="34"/>
      <c r="G27" s="33"/>
      <c r="H27" s="34"/>
      <c r="I27" s="33"/>
      <c r="J27" s="34"/>
      <c r="K27" s="33"/>
      <c r="L27" s="34"/>
      <c r="M27" s="35">
        <f t="shared" si="0"/>
        <v>0</v>
      </c>
    </row>
    <row r="28" spans="1:13" x14ac:dyDescent="0.25">
      <c r="A28" s="35">
        <v>1000090</v>
      </c>
      <c r="B28" s="12" t="s">
        <v>40</v>
      </c>
      <c r="C28" s="33"/>
      <c r="D28" s="34"/>
      <c r="E28" s="33"/>
      <c r="F28" s="34"/>
      <c r="G28" s="33"/>
      <c r="H28" s="34"/>
      <c r="I28" s="33"/>
      <c r="J28" s="34"/>
      <c r="K28" s="33"/>
      <c r="L28" s="34"/>
      <c r="M28" s="35">
        <f t="shared" si="0"/>
        <v>0</v>
      </c>
    </row>
    <row r="29" spans="1:13" x14ac:dyDescent="0.25">
      <c r="A29" s="35">
        <v>10249</v>
      </c>
      <c r="B29" s="12" t="s">
        <v>181</v>
      </c>
      <c r="C29" s="33"/>
      <c r="D29" s="34"/>
      <c r="E29" s="33"/>
      <c r="F29" s="34"/>
      <c r="G29" s="33"/>
      <c r="H29" s="34"/>
      <c r="I29" s="33"/>
      <c r="J29" s="34"/>
      <c r="K29" s="33"/>
      <c r="L29" s="34"/>
      <c r="M29" s="35">
        <f t="shared" si="0"/>
        <v>0</v>
      </c>
    </row>
    <row r="30" spans="1:13" x14ac:dyDescent="0.25">
      <c r="A30" s="35">
        <v>1000052</v>
      </c>
      <c r="B30" s="12" t="s">
        <v>41</v>
      </c>
      <c r="C30" s="33"/>
      <c r="D30" s="34"/>
      <c r="E30" s="33"/>
      <c r="F30" s="34"/>
      <c r="G30" s="33"/>
      <c r="H30" s="34"/>
      <c r="I30" s="33"/>
      <c r="J30" s="34"/>
      <c r="K30" s="33"/>
      <c r="L30" s="34"/>
      <c r="M30" s="35">
        <f t="shared" si="0"/>
        <v>0</v>
      </c>
    </row>
    <row r="31" spans="1:13" x14ac:dyDescent="0.25">
      <c r="A31" s="35">
        <v>1000089</v>
      </c>
      <c r="B31" s="12" t="s">
        <v>42</v>
      </c>
      <c r="C31" s="33"/>
      <c r="D31" s="34"/>
      <c r="E31" s="33"/>
      <c r="F31" s="34"/>
      <c r="G31" s="33"/>
      <c r="H31" s="34"/>
      <c r="I31" s="33"/>
      <c r="J31" s="34"/>
      <c r="K31" s="33"/>
      <c r="L31" s="34"/>
      <c r="M31" s="35">
        <f t="shared" si="0"/>
        <v>0</v>
      </c>
    </row>
    <row r="32" spans="1:13" x14ac:dyDescent="0.25">
      <c r="A32" s="35">
        <v>1000051</v>
      </c>
      <c r="B32" s="12" t="s">
        <v>43</v>
      </c>
      <c r="C32" s="33"/>
      <c r="D32" s="34"/>
      <c r="E32" s="33"/>
      <c r="F32" s="34"/>
      <c r="G32" s="33"/>
      <c r="H32" s="34"/>
      <c r="I32" s="33"/>
      <c r="J32" s="34"/>
      <c r="K32" s="33"/>
      <c r="L32" s="34"/>
      <c r="M32" s="35">
        <f t="shared" si="0"/>
        <v>0</v>
      </c>
    </row>
    <row r="33" spans="1:13" x14ac:dyDescent="0.25">
      <c r="A33" s="35">
        <v>1000048</v>
      </c>
      <c r="B33" s="12" t="s">
        <v>45</v>
      </c>
      <c r="C33" s="33"/>
      <c r="D33" s="34"/>
      <c r="E33" s="33"/>
      <c r="F33" s="34"/>
      <c r="G33" s="33"/>
      <c r="H33" s="34"/>
      <c r="I33" s="33"/>
      <c r="J33" s="34"/>
      <c r="K33" s="33"/>
      <c r="L33" s="34"/>
      <c r="M33" s="35">
        <f t="shared" si="0"/>
        <v>0</v>
      </c>
    </row>
    <row r="34" spans="1:13" x14ac:dyDescent="0.25">
      <c r="A34" s="35">
        <v>1000075</v>
      </c>
      <c r="B34" s="12" t="s">
        <v>47</v>
      </c>
      <c r="C34" s="33"/>
      <c r="D34" s="34"/>
      <c r="E34" s="33"/>
      <c r="F34" s="34"/>
      <c r="G34" s="33"/>
      <c r="H34" s="34"/>
      <c r="I34" s="33"/>
      <c r="J34" s="34"/>
      <c r="K34" s="33"/>
      <c r="L34" s="34"/>
      <c r="M34" s="35">
        <f t="shared" si="0"/>
        <v>0</v>
      </c>
    </row>
    <row r="35" spans="1:13" x14ac:dyDescent="0.25">
      <c r="A35" s="35">
        <v>1000092</v>
      </c>
      <c r="B35" s="12" t="s">
        <v>51</v>
      </c>
      <c r="C35" s="33"/>
      <c r="D35" s="34"/>
      <c r="E35" s="33"/>
      <c r="F35" s="34"/>
      <c r="G35" s="33"/>
      <c r="H35" s="34"/>
      <c r="I35" s="33"/>
      <c r="J35" s="34"/>
      <c r="K35" s="33"/>
      <c r="L35" s="34"/>
      <c r="M35" s="35">
        <f t="shared" si="0"/>
        <v>0</v>
      </c>
    </row>
    <row r="36" spans="1:13" x14ac:dyDescent="0.25">
      <c r="A36" s="35">
        <v>1000147</v>
      </c>
      <c r="B36" s="12" t="s">
        <v>52</v>
      </c>
      <c r="C36" s="33"/>
      <c r="D36" s="34"/>
      <c r="E36" s="33"/>
      <c r="F36" s="34"/>
      <c r="G36" s="33"/>
      <c r="H36" s="34"/>
      <c r="I36" s="33"/>
      <c r="J36" s="34"/>
      <c r="K36" s="33"/>
      <c r="L36" s="34"/>
      <c r="M36" s="35">
        <f t="shared" si="0"/>
        <v>0</v>
      </c>
    </row>
    <row r="37" spans="1:13" x14ac:dyDescent="0.25">
      <c r="A37" s="35">
        <v>1000142</v>
      </c>
      <c r="B37" s="12" t="s">
        <v>54</v>
      </c>
      <c r="C37" s="33"/>
      <c r="D37" s="34"/>
      <c r="E37" s="33"/>
      <c r="F37" s="34"/>
      <c r="G37" s="33"/>
      <c r="H37" s="34"/>
      <c r="I37" s="33"/>
      <c r="J37" s="34"/>
      <c r="K37" s="33"/>
      <c r="L37" s="34"/>
      <c r="M37" s="35">
        <f t="shared" si="0"/>
        <v>0</v>
      </c>
    </row>
    <row r="38" spans="1:13" x14ac:dyDescent="0.25">
      <c r="A38" s="35">
        <v>1000412</v>
      </c>
      <c r="B38" s="12" t="s">
        <v>195</v>
      </c>
      <c r="C38" s="33"/>
      <c r="D38" s="34"/>
      <c r="E38" s="33"/>
      <c r="F38" s="34"/>
      <c r="G38" s="33"/>
      <c r="H38" s="34"/>
      <c r="I38" s="33"/>
      <c r="J38" s="34"/>
      <c r="K38" s="33"/>
      <c r="L38" s="34"/>
      <c r="M38" s="35">
        <f t="shared" si="0"/>
        <v>0</v>
      </c>
    </row>
    <row r="39" spans="1:13" x14ac:dyDescent="0.25">
      <c r="A39" s="35">
        <v>10202</v>
      </c>
      <c r="B39" s="12" t="s">
        <v>83</v>
      </c>
      <c r="C39" s="33"/>
      <c r="D39" s="34"/>
      <c r="E39" s="33"/>
      <c r="F39" s="34"/>
      <c r="G39" s="33"/>
      <c r="H39" s="34"/>
      <c r="I39" s="33"/>
      <c r="J39" s="34"/>
      <c r="K39" s="33"/>
      <c r="L39" s="34"/>
      <c r="M39" s="35">
        <f t="shared" si="0"/>
        <v>0</v>
      </c>
    </row>
    <row r="40" spans="1:13" x14ac:dyDescent="0.25">
      <c r="A40" s="35">
        <v>1000045</v>
      </c>
      <c r="B40" s="12" t="s">
        <v>23</v>
      </c>
      <c r="C40" s="33"/>
      <c r="D40" s="34"/>
      <c r="E40" s="33"/>
      <c r="F40" s="34"/>
      <c r="G40" s="33"/>
      <c r="H40" s="34"/>
      <c r="I40" s="33"/>
      <c r="J40" s="34"/>
      <c r="K40" s="33"/>
      <c r="L40" s="34"/>
      <c r="M40" s="35">
        <f t="shared" si="0"/>
        <v>0</v>
      </c>
    </row>
    <row r="41" spans="1:13" x14ac:dyDescent="0.25">
      <c r="A41" s="35">
        <v>1000439</v>
      </c>
      <c r="B41" s="12" t="s">
        <v>193</v>
      </c>
      <c r="C41" s="33"/>
      <c r="D41" s="34"/>
      <c r="E41" s="33"/>
      <c r="F41" s="34"/>
      <c r="G41" s="33"/>
      <c r="H41" s="34"/>
      <c r="I41" s="33"/>
      <c r="J41" s="34"/>
      <c r="K41" s="33"/>
      <c r="L41" s="34"/>
      <c r="M41" s="35">
        <f>SUM(C41:L41)</f>
        <v>0</v>
      </c>
    </row>
    <row r="42" spans="1:13" x14ac:dyDescent="0.25">
      <c r="A42" s="35">
        <v>1000084</v>
      </c>
      <c r="B42" s="12" t="s">
        <v>38</v>
      </c>
      <c r="C42" s="33"/>
      <c r="D42" s="34"/>
      <c r="E42" s="33"/>
      <c r="F42" s="34"/>
      <c r="G42" s="33"/>
      <c r="H42" s="34"/>
      <c r="I42" s="33"/>
      <c r="J42" s="34"/>
      <c r="K42" s="33"/>
      <c r="L42" s="34"/>
      <c r="M42" s="35">
        <f t="shared" ref="M42:M56" si="1">SUM(C42:L42)</f>
        <v>0</v>
      </c>
    </row>
    <row r="43" spans="1:13" x14ac:dyDescent="0.25">
      <c r="A43" s="35">
        <v>1000036</v>
      </c>
      <c r="B43" s="12" t="s">
        <v>75</v>
      </c>
      <c r="C43" s="33"/>
      <c r="D43" s="34"/>
      <c r="E43" s="33"/>
      <c r="F43" s="34"/>
      <c r="G43" s="33"/>
      <c r="H43" s="34"/>
      <c r="I43" s="33"/>
      <c r="J43" s="34"/>
      <c r="K43" s="33"/>
      <c r="L43" s="34"/>
      <c r="M43" s="35">
        <f t="shared" si="1"/>
        <v>0</v>
      </c>
    </row>
    <row r="44" spans="1:13" x14ac:dyDescent="0.25">
      <c r="A44" s="35">
        <v>1000227</v>
      </c>
      <c r="B44" s="12" t="s">
        <v>96</v>
      </c>
      <c r="C44" s="33"/>
      <c r="D44" s="34"/>
      <c r="E44" s="33"/>
      <c r="F44" s="34"/>
      <c r="G44" s="33"/>
      <c r="H44" s="34"/>
      <c r="I44" s="33"/>
      <c r="J44" s="34"/>
      <c r="K44" s="33"/>
      <c r="L44" s="34"/>
      <c r="M44" s="35">
        <f t="shared" si="1"/>
        <v>0</v>
      </c>
    </row>
    <row r="45" spans="1:13" x14ac:dyDescent="0.25">
      <c r="A45" s="35">
        <v>1000063</v>
      </c>
      <c r="B45" s="12" t="s">
        <v>65</v>
      </c>
      <c r="C45" s="33"/>
      <c r="D45" s="34"/>
      <c r="E45" s="33"/>
      <c r="F45" s="34"/>
      <c r="G45" s="33"/>
      <c r="H45" s="34"/>
      <c r="I45" s="33"/>
      <c r="J45" s="34"/>
      <c r="K45" s="33"/>
      <c r="L45" s="34"/>
      <c r="M45" s="35">
        <f t="shared" si="1"/>
        <v>0</v>
      </c>
    </row>
    <row r="46" spans="1:13" x14ac:dyDescent="0.25">
      <c r="A46" s="35">
        <v>1000214</v>
      </c>
      <c r="B46" s="12" t="s">
        <v>49</v>
      </c>
      <c r="C46" s="33"/>
      <c r="D46" s="34"/>
      <c r="E46" s="33"/>
      <c r="F46" s="34"/>
      <c r="G46" s="33"/>
      <c r="H46" s="34"/>
      <c r="I46" s="33"/>
      <c r="J46" s="34"/>
      <c r="K46" s="33"/>
      <c r="L46" s="34"/>
      <c r="M46" s="35">
        <f t="shared" si="1"/>
        <v>0</v>
      </c>
    </row>
    <row r="47" spans="1:13" x14ac:dyDescent="0.25">
      <c r="A47" s="35">
        <v>1000487</v>
      </c>
      <c r="B47" s="12" t="s">
        <v>229</v>
      </c>
      <c r="C47" s="33"/>
      <c r="D47" s="34"/>
      <c r="E47" s="33"/>
      <c r="F47" s="34"/>
      <c r="G47" s="33"/>
      <c r="H47" s="34"/>
      <c r="I47" s="33"/>
      <c r="J47" s="34"/>
      <c r="K47" s="33"/>
      <c r="L47" s="34"/>
      <c r="M47" s="35">
        <f t="shared" si="1"/>
        <v>0</v>
      </c>
    </row>
    <row r="48" spans="1:13" x14ac:dyDescent="0.25">
      <c r="A48" s="35">
        <v>10248</v>
      </c>
      <c r="B48" s="12" t="s">
        <v>183</v>
      </c>
      <c r="C48" s="33"/>
      <c r="D48" s="34"/>
      <c r="E48" s="33"/>
      <c r="F48" s="34"/>
      <c r="G48" s="33"/>
      <c r="H48" s="34"/>
      <c r="I48" s="33"/>
      <c r="J48" s="34"/>
      <c r="K48" s="33"/>
      <c r="L48" s="34"/>
      <c r="M48" s="35">
        <f t="shared" si="1"/>
        <v>0</v>
      </c>
    </row>
    <row r="49" spans="1:13" x14ac:dyDescent="0.25">
      <c r="A49" s="35">
        <v>1000064</v>
      </c>
      <c r="B49" s="12" t="s">
        <v>64</v>
      </c>
      <c r="C49" s="33"/>
      <c r="D49" s="34"/>
      <c r="E49" s="33"/>
      <c r="F49" s="34"/>
      <c r="G49" s="33"/>
      <c r="H49" s="34"/>
      <c r="I49" s="33"/>
      <c r="J49" s="34"/>
      <c r="K49" s="33"/>
      <c r="L49" s="34"/>
      <c r="M49" s="35">
        <f t="shared" si="1"/>
        <v>0</v>
      </c>
    </row>
    <row r="50" spans="1:13" x14ac:dyDescent="0.25">
      <c r="A50" s="35">
        <v>1000224</v>
      </c>
      <c r="B50" s="12" t="s">
        <v>268</v>
      </c>
      <c r="C50" s="33"/>
      <c r="D50" s="34"/>
      <c r="E50" s="33"/>
      <c r="F50" s="34"/>
      <c r="G50" s="33"/>
      <c r="H50" s="34"/>
      <c r="I50" s="33"/>
      <c r="J50" s="34"/>
      <c r="K50" s="33"/>
      <c r="L50" s="34"/>
      <c r="M50" s="35">
        <f t="shared" si="1"/>
        <v>0</v>
      </c>
    </row>
    <row r="51" spans="1:13" x14ac:dyDescent="0.25">
      <c r="A51" s="35">
        <v>1000050</v>
      </c>
      <c r="B51" s="12" t="s">
        <v>22</v>
      </c>
      <c r="C51" s="33"/>
      <c r="D51" s="34"/>
      <c r="E51" s="33"/>
      <c r="F51" s="34"/>
      <c r="G51" s="33"/>
      <c r="H51" s="34"/>
      <c r="I51" s="33"/>
      <c r="J51" s="34"/>
      <c r="K51" s="33"/>
      <c r="L51" s="34"/>
      <c r="M51" s="35">
        <f t="shared" si="1"/>
        <v>0</v>
      </c>
    </row>
    <row r="52" spans="1:13" x14ac:dyDescent="0.25">
      <c r="A52" s="35">
        <v>1000452</v>
      </c>
      <c r="B52" s="12" t="s">
        <v>425</v>
      </c>
      <c r="C52" s="33"/>
      <c r="D52" s="34"/>
      <c r="E52" s="33"/>
      <c r="F52" s="34"/>
      <c r="G52" s="33"/>
      <c r="H52" s="34"/>
      <c r="I52" s="33"/>
      <c r="J52" s="34"/>
      <c r="K52" s="33"/>
      <c r="L52" s="34"/>
      <c r="M52" s="35">
        <f t="shared" si="1"/>
        <v>0</v>
      </c>
    </row>
    <row r="53" spans="1:13" x14ac:dyDescent="0.25">
      <c r="A53" s="35">
        <v>1000436</v>
      </c>
      <c r="B53" s="12" t="s">
        <v>276</v>
      </c>
      <c r="C53" s="33"/>
      <c r="D53" s="34"/>
      <c r="E53" s="33"/>
      <c r="F53" s="34"/>
      <c r="G53" s="33"/>
      <c r="H53" s="34"/>
      <c r="I53" s="33"/>
      <c r="J53" s="34"/>
      <c r="K53" s="33"/>
      <c r="L53" s="34"/>
      <c r="M53" s="35">
        <f t="shared" si="1"/>
        <v>0</v>
      </c>
    </row>
    <row r="54" spans="1:13" x14ac:dyDescent="0.25">
      <c r="A54" s="35">
        <v>1000550</v>
      </c>
      <c r="B54" s="12" t="s">
        <v>277</v>
      </c>
      <c r="C54" s="33"/>
      <c r="D54" s="34"/>
      <c r="E54" s="33"/>
      <c r="F54" s="34"/>
      <c r="G54" s="33"/>
      <c r="H54" s="34"/>
      <c r="I54" s="33"/>
      <c r="J54" s="34"/>
      <c r="K54" s="33"/>
      <c r="L54" s="34"/>
      <c r="M54" s="35">
        <f t="shared" si="1"/>
        <v>0</v>
      </c>
    </row>
    <row r="55" spans="1:13" x14ac:dyDescent="0.25">
      <c r="A55" s="35">
        <v>1000551</v>
      </c>
      <c r="B55" s="12" t="s">
        <v>278</v>
      </c>
      <c r="C55" s="33"/>
      <c r="D55" s="34"/>
      <c r="E55" s="33"/>
      <c r="F55" s="34"/>
      <c r="G55" s="33"/>
      <c r="H55" s="34"/>
      <c r="I55" s="33"/>
      <c r="J55" s="34"/>
      <c r="K55" s="33"/>
      <c r="L55" s="34"/>
      <c r="M55" s="35">
        <f t="shared" si="1"/>
        <v>0</v>
      </c>
    </row>
    <row r="56" spans="1:13" x14ac:dyDescent="0.25">
      <c r="A56" s="35">
        <v>1000552</v>
      </c>
      <c r="B56" s="12" t="s">
        <v>279</v>
      </c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5">
        <f t="shared" si="1"/>
        <v>0</v>
      </c>
    </row>
    <row r="57" spans="1:13" ht="16.5" thickBot="1" x14ac:dyDescent="0.3">
      <c r="A57" s="38">
        <v>1000080</v>
      </c>
      <c r="B57" s="17" t="s">
        <v>275</v>
      </c>
      <c r="C57" s="39"/>
      <c r="D57" s="40"/>
      <c r="E57" s="113"/>
      <c r="F57" s="40"/>
      <c r="G57" s="39"/>
      <c r="H57" s="40"/>
      <c r="I57" s="39"/>
      <c r="J57" s="40"/>
      <c r="K57" s="39"/>
      <c r="L57" s="40"/>
      <c r="M57" s="38">
        <f>SUM(C57:L57)</f>
        <v>0</v>
      </c>
    </row>
  </sheetData>
  <mergeCells count="4">
    <mergeCell ref="A1:B2"/>
    <mergeCell ref="C1:G2"/>
    <mergeCell ref="I1:I2"/>
    <mergeCell ref="J1:J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CC38-0864-440C-AF83-B41E779A3BD8}">
  <dimension ref="A1:M57"/>
  <sheetViews>
    <sheetView workbookViewId="0">
      <selection activeCell="P12" sqref="P12"/>
    </sheetView>
  </sheetViews>
  <sheetFormatPr baseColWidth="10" defaultRowHeight="15.75" x14ac:dyDescent="0.25"/>
  <cols>
    <col min="2" max="2" width="32.875" bestFit="1" customWidth="1"/>
    <col min="4" max="4" width="7.25" customWidth="1"/>
    <col min="6" max="6" width="7.5" customWidth="1"/>
    <col min="8" max="8" width="8" customWidth="1"/>
    <col min="10" max="10" width="8.375" customWidth="1"/>
    <col min="11" max="11" width="10.875" customWidth="1"/>
    <col min="12" max="12" width="7.75" customWidth="1"/>
    <col min="13" max="13" width="9.125" customWidth="1"/>
  </cols>
  <sheetData>
    <row r="1" spans="1:13" ht="28.5" x14ac:dyDescent="0.45">
      <c r="A1" s="686" t="s">
        <v>428</v>
      </c>
      <c r="B1" s="687"/>
      <c r="C1" s="796" t="s">
        <v>267</v>
      </c>
      <c r="D1" s="797"/>
      <c r="E1" s="797"/>
      <c r="F1" s="797"/>
      <c r="G1" s="798"/>
      <c r="H1" s="2"/>
      <c r="I1" s="27"/>
      <c r="J1" s="27"/>
      <c r="K1" s="27"/>
    </row>
    <row r="2" spans="1:13" ht="29.25" thickBot="1" x14ac:dyDescent="0.5">
      <c r="A2" s="688"/>
      <c r="B2" s="689"/>
      <c r="C2" s="799"/>
      <c r="D2" s="800"/>
      <c r="E2" s="800"/>
      <c r="F2" s="800"/>
      <c r="G2" s="801"/>
      <c r="H2" s="2"/>
      <c r="I2" s="3"/>
      <c r="J2" s="3"/>
      <c r="K2" s="3"/>
    </row>
    <row r="3" spans="1:13" ht="29.25" thickBot="1" x14ac:dyDescent="0.3">
      <c r="A3" s="5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6.5" thickBot="1" x14ac:dyDescent="0.3">
      <c r="A4" s="6" t="s">
        <v>0</v>
      </c>
      <c r="B4" s="6" t="s">
        <v>105</v>
      </c>
      <c r="C4" s="9" t="s">
        <v>427</v>
      </c>
      <c r="D4" s="10" t="s">
        <v>325</v>
      </c>
      <c r="E4" s="9" t="s">
        <v>108</v>
      </c>
      <c r="F4" s="10" t="s">
        <v>325</v>
      </c>
      <c r="G4" s="9" t="s">
        <v>109</v>
      </c>
      <c r="H4" s="10" t="s">
        <v>325</v>
      </c>
      <c r="I4" s="9" t="s">
        <v>110</v>
      </c>
      <c r="J4" s="10" t="s">
        <v>325</v>
      </c>
      <c r="K4" s="9" t="s">
        <v>111</v>
      </c>
      <c r="L4" s="10" t="s">
        <v>325</v>
      </c>
      <c r="M4" s="7" t="s">
        <v>98</v>
      </c>
    </row>
    <row r="5" spans="1:13" x14ac:dyDescent="0.25">
      <c r="A5" s="30">
        <v>10000015</v>
      </c>
      <c r="B5" s="11" t="s">
        <v>1</v>
      </c>
      <c r="C5" s="28"/>
      <c r="D5" s="29"/>
      <c r="E5" s="28"/>
      <c r="F5" s="29"/>
      <c r="G5" s="28"/>
      <c r="H5" s="29"/>
      <c r="I5" s="28"/>
      <c r="J5" s="29"/>
      <c r="K5" s="28"/>
      <c r="L5" s="29"/>
      <c r="M5" s="30">
        <f t="shared" ref="M5:M40" si="0">SUM(C5:L5)</f>
        <v>0</v>
      </c>
    </row>
    <row r="6" spans="1:13" x14ac:dyDescent="0.25">
      <c r="A6" s="35">
        <v>10000102</v>
      </c>
      <c r="B6" s="12" t="s">
        <v>2</v>
      </c>
      <c r="C6" s="33"/>
      <c r="D6" s="34"/>
      <c r="E6" s="33"/>
      <c r="F6" s="34"/>
      <c r="G6" s="33"/>
      <c r="H6" s="34"/>
      <c r="I6" s="33"/>
      <c r="J6" s="34"/>
      <c r="K6" s="33"/>
      <c r="L6" s="34"/>
      <c r="M6" s="35">
        <f t="shared" si="0"/>
        <v>0</v>
      </c>
    </row>
    <row r="7" spans="1:13" x14ac:dyDescent="0.25">
      <c r="A7" s="35">
        <v>10211</v>
      </c>
      <c r="B7" s="12" t="s">
        <v>3</v>
      </c>
      <c r="C7" s="33"/>
      <c r="D7" s="34"/>
      <c r="E7" s="33"/>
      <c r="F7" s="34"/>
      <c r="G7" s="33"/>
      <c r="H7" s="34"/>
      <c r="I7" s="33"/>
      <c r="J7" s="34"/>
      <c r="K7" s="33"/>
      <c r="L7" s="34"/>
      <c r="M7" s="35">
        <f t="shared" si="0"/>
        <v>0</v>
      </c>
    </row>
    <row r="8" spans="1:13" x14ac:dyDescent="0.25">
      <c r="A8" s="35">
        <v>1000007</v>
      </c>
      <c r="B8" s="12" t="s">
        <v>5</v>
      </c>
      <c r="C8" s="33"/>
      <c r="D8" s="34"/>
      <c r="E8" s="33"/>
      <c r="F8" s="34"/>
      <c r="G8" s="33"/>
      <c r="H8" s="34"/>
      <c r="I8" s="33"/>
      <c r="J8" s="34"/>
      <c r="K8" s="33"/>
      <c r="L8" s="34"/>
      <c r="M8" s="35">
        <f t="shared" si="0"/>
        <v>0</v>
      </c>
    </row>
    <row r="9" spans="1:13" x14ac:dyDescent="0.25">
      <c r="A9" s="35">
        <v>10212</v>
      </c>
      <c r="B9" s="12" t="s">
        <v>6</v>
      </c>
      <c r="C9" s="33"/>
      <c r="D9" s="34"/>
      <c r="E9" s="33"/>
      <c r="F9" s="34"/>
      <c r="G9" s="33"/>
      <c r="H9" s="34"/>
      <c r="I9" s="33"/>
      <c r="J9" s="34"/>
      <c r="K9" s="33"/>
      <c r="L9" s="34"/>
      <c r="M9" s="35">
        <f t="shared" si="0"/>
        <v>0</v>
      </c>
    </row>
    <row r="10" spans="1:13" x14ac:dyDescent="0.25">
      <c r="A10" s="35">
        <v>1000008</v>
      </c>
      <c r="B10" s="12" t="s">
        <v>7</v>
      </c>
      <c r="C10" s="33"/>
      <c r="D10" s="34"/>
      <c r="E10" s="33"/>
      <c r="F10" s="34"/>
      <c r="G10" s="33"/>
      <c r="H10" s="34"/>
      <c r="I10" s="33"/>
      <c r="J10" s="34"/>
      <c r="K10" s="33"/>
      <c r="L10" s="34"/>
      <c r="M10" s="35">
        <f t="shared" si="0"/>
        <v>0</v>
      </c>
    </row>
    <row r="11" spans="1:13" x14ac:dyDescent="0.25">
      <c r="A11" s="35">
        <v>1000001</v>
      </c>
      <c r="B11" s="12" t="s">
        <v>8</v>
      </c>
      <c r="C11" s="33"/>
      <c r="D11" s="34"/>
      <c r="E11" s="33"/>
      <c r="F11" s="34"/>
      <c r="G11" s="33"/>
      <c r="H11" s="34"/>
      <c r="I11" s="33"/>
      <c r="J11" s="34"/>
      <c r="K11" s="33"/>
      <c r="L11" s="34"/>
      <c r="M11" s="35">
        <f t="shared" si="0"/>
        <v>0</v>
      </c>
    </row>
    <row r="12" spans="1:13" x14ac:dyDescent="0.25">
      <c r="A12" s="35">
        <v>1000002</v>
      </c>
      <c r="B12" s="12" t="s">
        <v>9</v>
      </c>
      <c r="C12" s="33"/>
      <c r="D12" s="34"/>
      <c r="E12" s="33"/>
      <c r="F12" s="34"/>
      <c r="G12" s="33"/>
      <c r="H12" s="34"/>
      <c r="I12" s="33"/>
      <c r="J12" s="34"/>
      <c r="K12" s="33"/>
      <c r="L12" s="34"/>
      <c r="M12" s="35">
        <f t="shared" si="0"/>
        <v>0</v>
      </c>
    </row>
    <row r="13" spans="1:13" x14ac:dyDescent="0.25">
      <c r="A13" s="35">
        <v>1000004</v>
      </c>
      <c r="B13" s="12" t="s">
        <v>10</v>
      </c>
      <c r="C13" s="33"/>
      <c r="D13" s="34"/>
      <c r="E13" s="33"/>
      <c r="F13" s="34"/>
      <c r="G13" s="33"/>
      <c r="H13" s="34"/>
      <c r="I13" s="33"/>
      <c r="J13" s="34"/>
      <c r="K13" s="33"/>
      <c r="L13" s="34"/>
      <c r="M13" s="35">
        <f t="shared" si="0"/>
        <v>0</v>
      </c>
    </row>
    <row r="14" spans="1:13" x14ac:dyDescent="0.25">
      <c r="A14" s="35">
        <v>1000054</v>
      </c>
      <c r="B14" s="12" t="s">
        <v>12</v>
      </c>
      <c r="C14" s="33"/>
      <c r="D14" s="34"/>
      <c r="E14" s="33"/>
      <c r="F14" s="34"/>
      <c r="G14" s="33"/>
      <c r="H14" s="34"/>
      <c r="I14" s="33"/>
      <c r="J14" s="34"/>
      <c r="K14" s="33"/>
      <c r="L14" s="34"/>
      <c r="M14" s="35">
        <f t="shared" si="0"/>
        <v>0</v>
      </c>
    </row>
    <row r="15" spans="1:13" x14ac:dyDescent="0.25">
      <c r="A15" s="35">
        <v>1000070</v>
      </c>
      <c r="B15" s="12" t="s">
        <v>13</v>
      </c>
      <c r="C15" s="33"/>
      <c r="D15" s="34"/>
      <c r="E15" s="33"/>
      <c r="F15" s="34"/>
      <c r="G15" s="33"/>
      <c r="H15" s="34"/>
      <c r="I15" s="33"/>
      <c r="J15" s="34"/>
      <c r="K15" s="33"/>
      <c r="L15" s="34"/>
      <c r="M15" s="35">
        <f t="shared" si="0"/>
        <v>0</v>
      </c>
    </row>
    <row r="16" spans="1:13" x14ac:dyDescent="0.25">
      <c r="A16" s="35">
        <v>1000017</v>
      </c>
      <c r="B16" s="13" t="s">
        <v>14</v>
      </c>
      <c r="C16" s="33"/>
      <c r="D16" s="34"/>
      <c r="E16" s="33"/>
      <c r="F16" s="34"/>
      <c r="G16" s="33"/>
      <c r="H16" s="34"/>
      <c r="I16" s="33"/>
      <c r="J16" s="34"/>
      <c r="K16" s="33"/>
      <c r="L16" s="34"/>
      <c r="M16" s="35">
        <f t="shared" si="0"/>
        <v>0</v>
      </c>
    </row>
    <row r="17" spans="1:13" x14ac:dyDescent="0.25">
      <c r="A17" s="35">
        <v>1000010</v>
      </c>
      <c r="B17" s="12" t="s">
        <v>17</v>
      </c>
      <c r="C17" s="33"/>
      <c r="D17" s="34"/>
      <c r="E17" s="33"/>
      <c r="F17" s="34"/>
      <c r="G17" s="33"/>
      <c r="H17" s="34"/>
      <c r="I17" s="33"/>
      <c r="J17" s="34"/>
      <c r="K17" s="33"/>
      <c r="L17" s="34"/>
      <c r="M17" s="35">
        <f t="shared" si="0"/>
        <v>0</v>
      </c>
    </row>
    <row r="18" spans="1:13" x14ac:dyDescent="0.25">
      <c r="A18" s="35">
        <v>1000009</v>
      </c>
      <c r="B18" s="14" t="s">
        <v>19</v>
      </c>
      <c r="C18" s="33"/>
      <c r="D18" s="34"/>
      <c r="E18" s="33"/>
      <c r="F18" s="34"/>
      <c r="G18" s="33"/>
      <c r="H18" s="34"/>
      <c r="I18" s="33"/>
      <c r="J18" s="34"/>
      <c r="K18" s="33"/>
      <c r="L18" s="34"/>
      <c r="M18" s="35">
        <f t="shared" si="0"/>
        <v>0</v>
      </c>
    </row>
    <row r="19" spans="1:13" x14ac:dyDescent="0.25">
      <c r="A19" s="35">
        <v>1000049</v>
      </c>
      <c r="B19" s="12" t="s">
        <v>21</v>
      </c>
      <c r="C19" s="33"/>
      <c r="D19" s="34"/>
      <c r="E19" s="33"/>
      <c r="F19" s="34"/>
      <c r="G19" s="33"/>
      <c r="H19" s="34"/>
      <c r="I19" s="33"/>
      <c r="J19" s="34"/>
      <c r="K19" s="33"/>
      <c r="L19" s="34"/>
      <c r="M19" s="35">
        <f t="shared" si="0"/>
        <v>0</v>
      </c>
    </row>
    <row r="20" spans="1:13" x14ac:dyDescent="0.25">
      <c r="A20" s="35">
        <v>1000033</v>
      </c>
      <c r="B20" s="12" t="s">
        <v>27</v>
      </c>
      <c r="C20" s="33"/>
      <c r="D20" s="34"/>
      <c r="E20" s="33"/>
      <c r="F20" s="34"/>
      <c r="G20" s="33"/>
      <c r="H20" s="34"/>
      <c r="I20" s="33"/>
      <c r="J20" s="34"/>
      <c r="K20" s="33"/>
      <c r="L20" s="34"/>
      <c r="M20" s="35">
        <f t="shared" si="0"/>
        <v>0</v>
      </c>
    </row>
    <row r="21" spans="1:13" x14ac:dyDescent="0.25">
      <c r="A21" s="35">
        <v>1000034</v>
      </c>
      <c r="B21" s="12" t="s">
        <v>28</v>
      </c>
      <c r="C21" s="33"/>
      <c r="D21" s="34"/>
      <c r="E21" s="33"/>
      <c r="F21" s="34"/>
      <c r="G21" s="33"/>
      <c r="H21" s="34"/>
      <c r="I21" s="33"/>
      <c r="J21" s="34"/>
      <c r="K21" s="33"/>
      <c r="L21" s="34"/>
      <c r="M21" s="35">
        <f t="shared" si="0"/>
        <v>0</v>
      </c>
    </row>
    <row r="22" spans="1:13" x14ac:dyDescent="0.25">
      <c r="A22" s="35">
        <v>1000029</v>
      </c>
      <c r="B22" s="12" t="s">
        <v>30</v>
      </c>
      <c r="C22" s="33"/>
      <c r="D22" s="34"/>
      <c r="E22" s="33"/>
      <c r="F22" s="34"/>
      <c r="G22" s="33"/>
      <c r="H22" s="34"/>
      <c r="I22" s="33"/>
      <c r="J22" s="34"/>
      <c r="K22" s="33"/>
      <c r="L22" s="34"/>
      <c r="M22" s="35">
        <f t="shared" si="0"/>
        <v>0</v>
      </c>
    </row>
    <row r="23" spans="1:13" x14ac:dyDescent="0.25">
      <c r="A23" s="35">
        <v>1000025</v>
      </c>
      <c r="B23" s="12" t="s">
        <v>32</v>
      </c>
      <c r="C23" s="158"/>
      <c r="D23" s="34"/>
      <c r="E23" s="33"/>
      <c r="F23" s="34"/>
      <c r="G23" s="33"/>
      <c r="H23" s="34"/>
      <c r="I23" s="33"/>
      <c r="J23" s="34"/>
      <c r="K23" s="33"/>
      <c r="L23" s="34"/>
      <c r="M23" s="35">
        <f t="shared" si="0"/>
        <v>0</v>
      </c>
    </row>
    <row r="24" spans="1:13" x14ac:dyDescent="0.25">
      <c r="A24" s="35">
        <v>1000100</v>
      </c>
      <c r="B24" s="12" t="s">
        <v>34</v>
      </c>
      <c r="C24" s="33"/>
      <c r="D24" s="34"/>
      <c r="E24" s="33"/>
      <c r="F24" s="34"/>
      <c r="G24" s="33"/>
      <c r="H24" s="34"/>
      <c r="I24" s="33"/>
      <c r="J24" s="34"/>
      <c r="K24" s="33"/>
      <c r="L24" s="34"/>
      <c r="M24" s="35">
        <f t="shared" si="0"/>
        <v>0</v>
      </c>
    </row>
    <row r="25" spans="1:13" x14ac:dyDescent="0.25">
      <c r="A25" s="35">
        <v>1000101</v>
      </c>
      <c r="B25" s="12" t="s">
        <v>35</v>
      </c>
      <c r="C25" s="33"/>
      <c r="D25" s="34"/>
      <c r="E25" s="33"/>
      <c r="F25" s="34"/>
      <c r="G25" s="33"/>
      <c r="H25" s="34"/>
      <c r="I25" s="33"/>
      <c r="J25" s="34"/>
      <c r="K25" s="33"/>
      <c r="L25" s="34"/>
      <c r="M25" s="35">
        <f t="shared" si="0"/>
        <v>0</v>
      </c>
    </row>
    <row r="26" spans="1:13" x14ac:dyDescent="0.25">
      <c r="A26" s="35">
        <v>1000073</v>
      </c>
      <c r="B26" s="12" t="s">
        <v>36</v>
      </c>
      <c r="C26" s="33"/>
      <c r="D26" s="34"/>
      <c r="E26" s="33"/>
      <c r="F26" s="34"/>
      <c r="G26" s="33"/>
      <c r="H26" s="34"/>
      <c r="I26" s="33"/>
      <c r="J26" s="34"/>
      <c r="K26" s="33"/>
      <c r="L26" s="34"/>
      <c r="M26" s="35">
        <f t="shared" si="0"/>
        <v>0</v>
      </c>
    </row>
    <row r="27" spans="1:13" x14ac:dyDescent="0.25">
      <c r="A27" s="35">
        <v>1000082</v>
      </c>
      <c r="B27" s="12" t="s">
        <v>37</v>
      </c>
      <c r="C27" s="33"/>
      <c r="D27" s="34"/>
      <c r="E27" s="33"/>
      <c r="F27" s="34"/>
      <c r="G27" s="33"/>
      <c r="H27" s="34"/>
      <c r="I27" s="33"/>
      <c r="J27" s="34"/>
      <c r="K27" s="33"/>
      <c r="L27" s="34"/>
      <c r="M27" s="35">
        <f t="shared" si="0"/>
        <v>0</v>
      </c>
    </row>
    <row r="28" spans="1:13" x14ac:dyDescent="0.25">
      <c r="A28" s="35">
        <v>1000090</v>
      </c>
      <c r="B28" s="12" t="s">
        <v>40</v>
      </c>
      <c r="C28" s="33"/>
      <c r="D28" s="34"/>
      <c r="E28" s="33"/>
      <c r="F28" s="34"/>
      <c r="G28" s="33"/>
      <c r="H28" s="34"/>
      <c r="I28" s="33"/>
      <c r="J28" s="34"/>
      <c r="K28" s="33"/>
      <c r="L28" s="34"/>
      <c r="M28" s="35">
        <f t="shared" si="0"/>
        <v>0</v>
      </c>
    </row>
    <row r="29" spans="1:13" x14ac:dyDescent="0.25">
      <c r="A29" s="35">
        <v>10249</v>
      </c>
      <c r="B29" s="12" t="s">
        <v>181</v>
      </c>
      <c r="C29" s="33"/>
      <c r="D29" s="34"/>
      <c r="E29" s="33"/>
      <c r="F29" s="34"/>
      <c r="G29" s="33"/>
      <c r="H29" s="34"/>
      <c r="I29" s="33"/>
      <c r="J29" s="34"/>
      <c r="K29" s="33"/>
      <c r="L29" s="34"/>
      <c r="M29" s="35">
        <f t="shared" si="0"/>
        <v>0</v>
      </c>
    </row>
    <row r="30" spans="1:13" x14ac:dyDescent="0.25">
      <c r="A30" s="35">
        <v>1000052</v>
      </c>
      <c r="B30" s="12" t="s">
        <v>41</v>
      </c>
      <c r="C30" s="33"/>
      <c r="D30" s="34"/>
      <c r="E30" s="33"/>
      <c r="F30" s="34"/>
      <c r="G30" s="33"/>
      <c r="H30" s="34"/>
      <c r="I30" s="33"/>
      <c r="J30" s="34"/>
      <c r="K30" s="33"/>
      <c r="L30" s="34"/>
      <c r="M30" s="35">
        <f t="shared" si="0"/>
        <v>0</v>
      </c>
    </row>
    <row r="31" spans="1:13" x14ac:dyDescent="0.25">
      <c r="A31" s="35">
        <v>1000089</v>
      </c>
      <c r="B31" s="12" t="s">
        <v>42</v>
      </c>
      <c r="C31" s="33"/>
      <c r="D31" s="34"/>
      <c r="E31" s="33"/>
      <c r="F31" s="34"/>
      <c r="G31" s="33"/>
      <c r="H31" s="34"/>
      <c r="I31" s="33"/>
      <c r="J31" s="34"/>
      <c r="K31" s="33"/>
      <c r="L31" s="34"/>
      <c r="M31" s="35">
        <f t="shared" si="0"/>
        <v>0</v>
      </c>
    </row>
    <row r="32" spans="1:13" x14ac:dyDescent="0.25">
      <c r="A32" s="35">
        <v>1000051</v>
      </c>
      <c r="B32" s="12" t="s">
        <v>43</v>
      </c>
      <c r="C32" s="33"/>
      <c r="D32" s="34"/>
      <c r="E32" s="33"/>
      <c r="F32" s="34"/>
      <c r="G32" s="33"/>
      <c r="H32" s="34"/>
      <c r="I32" s="33"/>
      <c r="J32" s="34"/>
      <c r="K32" s="33"/>
      <c r="L32" s="34"/>
      <c r="M32" s="35">
        <f t="shared" si="0"/>
        <v>0</v>
      </c>
    </row>
    <row r="33" spans="1:13" x14ac:dyDescent="0.25">
      <c r="A33" s="35">
        <v>1000048</v>
      </c>
      <c r="B33" s="12" t="s">
        <v>45</v>
      </c>
      <c r="C33" s="33"/>
      <c r="D33" s="34"/>
      <c r="E33" s="33"/>
      <c r="F33" s="34"/>
      <c r="G33" s="33"/>
      <c r="H33" s="34"/>
      <c r="I33" s="33"/>
      <c r="J33" s="34"/>
      <c r="K33" s="33"/>
      <c r="L33" s="34"/>
      <c r="M33" s="35">
        <f t="shared" si="0"/>
        <v>0</v>
      </c>
    </row>
    <row r="34" spans="1:13" x14ac:dyDescent="0.25">
      <c r="A34" s="35">
        <v>1000075</v>
      </c>
      <c r="B34" s="12" t="s">
        <v>47</v>
      </c>
      <c r="C34" s="33"/>
      <c r="D34" s="34"/>
      <c r="E34" s="33"/>
      <c r="F34" s="34"/>
      <c r="G34" s="33"/>
      <c r="H34" s="34"/>
      <c r="I34" s="33"/>
      <c r="J34" s="34"/>
      <c r="K34" s="33"/>
      <c r="L34" s="34"/>
      <c r="M34" s="35">
        <f t="shared" si="0"/>
        <v>0</v>
      </c>
    </row>
    <row r="35" spans="1:13" x14ac:dyDescent="0.25">
      <c r="A35" s="35">
        <v>1000092</v>
      </c>
      <c r="B35" s="12" t="s">
        <v>51</v>
      </c>
      <c r="C35" s="33"/>
      <c r="D35" s="34"/>
      <c r="E35" s="33"/>
      <c r="F35" s="34"/>
      <c r="G35" s="33"/>
      <c r="H35" s="34"/>
      <c r="I35" s="33"/>
      <c r="J35" s="34"/>
      <c r="K35" s="33"/>
      <c r="L35" s="34"/>
      <c r="M35" s="35">
        <f t="shared" si="0"/>
        <v>0</v>
      </c>
    </row>
    <row r="36" spans="1:13" x14ac:dyDescent="0.25">
      <c r="A36" s="35">
        <v>1000147</v>
      </c>
      <c r="B36" s="12" t="s">
        <v>52</v>
      </c>
      <c r="C36" s="33"/>
      <c r="D36" s="34"/>
      <c r="E36" s="33"/>
      <c r="F36" s="34"/>
      <c r="G36" s="33"/>
      <c r="H36" s="34"/>
      <c r="I36" s="33"/>
      <c r="J36" s="34"/>
      <c r="K36" s="33"/>
      <c r="L36" s="34"/>
      <c r="M36" s="35">
        <f t="shared" si="0"/>
        <v>0</v>
      </c>
    </row>
    <row r="37" spans="1:13" x14ac:dyDescent="0.25">
      <c r="A37" s="35">
        <v>1000142</v>
      </c>
      <c r="B37" s="12" t="s">
        <v>54</v>
      </c>
      <c r="C37" s="33"/>
      <c r="D37" s="34"/>
      <c r="E37" s="33"/>
      <c r="F37" s="34"/>
      <c r="G37" s="33"/>
      <c r="H37" s="34"/>
      <c r="I37" s="33"/>
      <c r="J37" s="34"/>
      <c r="K37" s="33"/>
      <c r="L37" s="34"/>
      <c r="M37" s="35">
        <f t="shared" si="0"/>
        <v>0</v>
      </c>
    </row>
    <row r="38" spans="1:13" x14ac:dyDescent="0.25">
      <c r="A38" s="35">
        <v>1000412</v>
      </c>
      <c r="B38" s="12" t="s">
        <v>195</v>
      </c>
      <c r="C38" s="33"/>
      <c r="D38" s="34"/>
      <c r="E38" s="33"/>
      <c r="F38" s="34"/>
      <c r="G38" s="33"/>
      <c r="H38" s="34"/>
      <c r="I38" s="33"/>
      <c r="J38" s="34"/>
      <c r="K38" s="33"/>
      <c r="L38" s="34"/>
      <c r="M38" s="35">
        <f t="shared" si="0"/>
        <v>0</v>
      </c>
    </row>
    <row r="39" spans="1:13" x14ac:dyDescent="0.25">
      <c r="A39" s="35">
        <v>10202</v>
      </c>
      <c r="B39" s="12" t="s">
        <v>83</v>
      </c>
      <c r="C39" s="33"/>
      <c r="D39" s="34"/>
      <c r="E39" s="33"/>
      <c r="F39" s="34"/>
      <c r="G39" s="33"/>
      <c r="H39" s="34"/>
      <c r="I39" s="33"/>
      <c r="J39" s="34"/>
      <c r="K39" s="33"/>
      <c r="L39" s="34"/>
      <c r="M39" s="35">
        <f t="shared" si="0"/>
        <v>0</v>
      </c>
    </row>
    <row r="40" spans="1:13" x14ac:dyDescent="0.25">
      <c r="A40" s="35">
        <v>1000045</v>
      </c>
      <c r="B40" s="12" t="s">
        <v>23</v>
      </c>
      <c r="C40" s="33"/>
      <c r="D40" s="34"/>
      <c r="E40" s="33"/>
      <c r="F40" s="34"/>
      <c r="G40" s="33"/>
      <c r="H40" s="34"/>
      <c r="I40" s="33"/>
      <c r="J40" s="34"/>
      <c r="K40" s="33"/>
      <c r="L40" s="34"/>
      <c r="M40" s="35">
        <f t="shared" si="0"/>
        <v>0</v>
      </c>
    </row>
    <row r="41" spans="1:13" x14ac:dyDescent="0.25">
      <c r="A41" s="35">
        <v>1000439</v>
      </c>
      <c r="B41" s="12" t="s">
        <v>193</v>
      </c>
      <c r="C41" s="33"/>
      <c r="D41" s="34"/>
      <c r="E41" s="33"/>
      <c r="F41" s="34"/>
      <c r="G41" s="33"/>
      <c r="H41" s="34"/>
      <c r="I41" s="33"/>
      <c r="J41" s="34"/>
      <c r="K41" s="33"/>
      <c r="L41" s="34"/>
      <c r="M41" s="35">
        <f>SUM(C41:L41)</f>
        <v>0</v>
      </c>
    </row>
    <row r="42" spans="1:13" x14ac:dyDescent="0.25">
      <c r="A42" s="35">
        <v>1000084</v>
      </c>
      <c r="B42" s="12" t="s">
        <v>38</v>
      </c>
      <c r="C42" s="33"/>
      <c r="D42" s="34"/>
      <c r="E42" s="33"/>
      <c r="F42" s="34"/>
      <c r="G42" s="33"/>
      <c r="H42" s="34"/>
      <c r="I42" s="33"/>
      <c r="J42" s="34"/>
      <c r="K42" s="33"/>
      <c r="L42" s="34"/>
      <c r="M42" s="35">
        <f t="shared" ref="M42:M56" si="1">SUM(C42:L42)</f>
        <v>0</v>
      </c>
    </row>
    <row r="43" spans="1:13" x14ac:dyDescent="0.25">
      <c r="A43" s="35">
        <v>1000036</v>
      </c>
      <c r="B43" s="12" t="s">
        <v>75</v>
      </c>
      <c r="C43" s="33"/>
      <c r="D43" s="34"/>
      <c r="E43" s="33"/>
      <c r="F43" s="34"/>
      <c r="G43" s="33"/>
      <c r="H43" s="34"/>
      <c r="I43" s="33"/>
      <c r="J43" s="34"/>
      <c r="K43" s="33"/>
      <c r="L43" s="34"/>
      <c r="M43" s="35">
        <f t="shared" si="1"/>
        <v>0</v>
      </c>
    </row>
    <row r="44" spans="1:13" x14ac:dyDescent="0.25">
      <c r="A44" s="35">
        <v>1000227</v>
      </c>
      <c r="B44" s="12" t="s">
        <v>96</v>
      </c>
      <c r="C44" s="33"/>
      <c r="D44" s="34"/>
      <c r="E44" s="33"/>
      <c r="F44" s="34"/>
      <c r="G44" s="33"/>
      <c r="H44" s="34"/>
      <c r="I44" s="33"/>
      <c r="J44" s="34"/>
      <c r="K44" s="33"/>
      <c r="L44" s="34"/>
      <c r="M44" s="35">
        <f t="shared" si="1"/>
        <v>0</v>
      </c>
    </row>
    <row r="45" spans="1:13" x14ac:dyDescent="0.25">
      <c r="A45" s="35">
        <v>1000063</v>
      </c>
      <c r="B45" s="12" t="s">
        <v>65</v>
      </c>
      <c r="C45" s="33"/>
      <c r="D45" s="34"/>
      <c r="E45" s="33"/>
      <c r="F45" s="34"/>
      <c r="G45" s="33"/>
      <c r="H45" s="34"/>
      <c r="I45" s="33"/>
      <c r="J45" s="34"/>
      <c r="K45" s="33"/>
      <c r="L45" s="34"/>
      <c r="M45" s="35">
        <f t="shared" si="1"/>
        <v>0</v>
      </c>
    </row>
    <row r="46" spans="1:13" x14ac:dyDescent="0.25">
      <c r="A46" s="35">
        <v>1000214</v>
      </c>
      <c r="B46" s="12" t="s">
        <v>49</v>
      </c>
      <c r="C46" s="33"/>
      <c r="D46" s="34"/>
      <c r="E46" s="33"/>
      <c r="F46" s="34"/>
      <c r="G46" s="33"/>
      <c r="H46" s="34"/>
      <c r="I46" s="33"/>
      <c r="J46" s="34"/>
      <c r="K46" s="33"/>
      <c r="L46" s="34"/>
      <c r="M46" s="35">
        <f t="shared" si="1"/>
        <v>0</v>
      </c>
    </row>
    <row r="47" spans="1:13" x14ac:dyDescent="0.25">
      <c r="A47" s="35">
        <v>1000487</v>
      </c>
      <c r="B47" s="12" t="s">
        <v>229</v>
      </c>
      <c r="C47" s="33"/>
      <c r="D47" s="34"/>
      <c r="E47" s="33"/>
      <c r="F47" s="34"/>
      <c r="G47" s="33"/>
      <c r="H47" s="34"/>
      <c r="I47" s="33"/>
      <c r="J47" s="34"/>
      <c r="K47" s="33"/>
      <c r="L47" s="34"/>
      <c r="M47" s="35">
        <f t="shared" si="1"/>
        <v>0</v>
      </c>
    </row>
    <row r="48" spans="1:13" x14ac:dyDescent="0.25">
      <c r="A48" s="35">
        <v>10248</v>
      </c>
      <c r="B48" s="12" t="s">
        <v>183</v>
      </c>
      <c r="C48" s="33"/>
      <c r="D48" s="34"/>
      <c r="E48" s="33"/>
      <c r="F48" s="34"/>
      <c r="G48" s="33"/>
      <c r="H48" s="34"/>
      <c r="I48" s="33"/>
      <c r="J48" s="34"/>
      <c r="K48" s="33"/>
      <c r="L48" s="34"/>
      <c r="M48" s="35">
        <f t="shared" si="1"/>
        <v>0</v>
      </c>
    </row>
    <row r="49" spans="1:13" x14ac:dyDescent="0.25">
      <c r="A49" s="35">
        <v>1000064</v>
      </c>
      <c r="B49" s="12" t="s">
        <v>64</v>
      </c>
      <c r="C49" s="33"/>
      <c r="D49" s="34"/>
      <c r="E49" s="33"/>
      <c r="F49" s="34"/>
      <c r="G49" s="33"/>
      <c r="H49" s="34"/>
      <c r="I49" s="33"/>
      <c r="J49" s="34"/>
      <c r="K49" s="33"/>
      <c r="L49" s="34"/>
      <c r="M49" s="35">
        <f t="shared" si="1"/>
        <v>0</v>
      </c>
    </row>
    <row r="50" spans="1:13" x14ac:dyDescent="0.25">
      <c r="A50" s="35">
        <v>1000224</v>
      </c>
      <c r="B50" s="12" t="s">
        <v>268</v>
      </c>
      <c r="C50" s="33"/>
      <c r="D50" s="34"/>
      <c r="E50" s="33"/>
      <c r="F50" s="34"/>
      <c r="G50" s="33"/>
      <c r="H50" s="34"/>
      <c r="I50" s="33"/>
      <c r="J50" s="34"/>
      <c r="K50" s="33"/>
      <c r="L50" s="34"/>
      <c r="M50" s="35">
        <f t="shared" si="1"/>
        <v>0</v>
      </c>
    </row>
    <row r="51" spans="1:13" x14ac:dyDescent="0.25">
      <c r="A51" s="35">
        <v>1000050</v>
      </c>
      <c r="B51" s="12" t="s">
        <v>22</v>
      </c>
      <c r="C51" s="33"/>
      <c r="D51" s="34"/>
      <c r="E51" s="33"/>
      <c r="F51" s="34"/>
      <c r="G51" s="33"/>
      <c r="H51" s="34"/>
      <c r="I51" s="33"/>
      <c r="J51" s="34"/>
      <c r="K51" s="33"/>
      <c r="L51" s="34"/>
      <c r="M51" s="35">
        <f t="shared" si="1"/>
        <v>0</v>
      </c>
    </row>
    <row r="52" spans="1:13" x14ac:dyDescent="0.25">
      <c r="A52" s="35">
        <v>1000452</v>
      </c>
      <c r="B52" s="12" t="s">
        <v>425</v>
      </c>
      <c r="C52" s="33"/>
      <c r="D52" s="34"/>
      <c r="E52" s="33"/>
      <c r="F52" s="34"/>
      <c r="G52" s="33"/>
      <c r="H52" s="34"/>
      <c r="I52" s="33"/>
      <c r="J52" s="34"/>
      <c r="K52" s="33"/>
      <c r="L52" s="34"/>
      <c r="M52" s="35">
        <f t="shared" si="1"/>
        <v>0</v>
      </c>
    </row>
    <row r="53" spans="1:13" x14ac:dyDescent="0.25">
      <c r="A53" s="35">
        <v>1000436</v>
      </c>
      <c r="B53" s="12" t="s">
        <v>276</v>
      </c>
      <c r="C53" s="33"/>
      <c r="D53" s="34"/>
      <c r="E53" s="33"/>
      <c r="F53" s="34"/>
      <c r="G53" s="33"/>
      <c r="H53" s="34"/>
      <c r="I53" s="33"/>
      <c r="J53" s="34"/>
      <c r="K53" s="33"/>
      <c r="L53" s="34"/>
      <c r="M53" s="35">
        <f t="shared" si="1"/>
        <v>0</v>
      </c>
    </row>
    <row r="54" spans="1:13" x14ac:dyDescent="0.25">
      <c r="A54" s="35">
        <v>1000550</v>
      </c>
      <c r="B54" s="12" t="s">
        <v>277</v>
      </c>
      <c r="C54" s="33"/>
      <c r="D54" s="34"/>
      <c r="E54" s="33"/>
      <c r="F54" s="34"/>
      <c r="G54" s="33"/>
      <c r="H54" s="34"/>
      <c r="I54" s="33"/>
      <c r="J54" s="34"/>
      <c r="K54" s="33"/>
      <c r="L54" s="34"/>
      <c r="M54" s="35">
        <f t="shared" si="1"/>
        <v>0</v>
      </c>
    </row>
    <row r="55" spans="1:13" x14ac:dyDescent="0.25">
      <c r="A55" s="35">
        <v>1000551</v>
      </c>
      <c r="B55" s="12" t="s">
        <v>278</v>
      </c>
      <c r="C55" s="33"/>
      <c r="D55" s="34"/>
      <c r="E55" s="33"/>
      <c r="F55" s="34"/>
      <c r="G55" s="33"/>
      <c r="H55" s="34"/>
      <c r="I55" s="33"/>
      <c r="J55" s="34"/>
      <c r="K55" s="33"/>
      <c r="L55" s="34"/>
      <c r="M55" s="35">
        <f t="shared" si="1"/>
        <v>0</v>
      </c>
    </row>
    <row r="56" spans="1:13" x14ac:dyDescent="0.25">
      <c r="A56" s="35">
        <v>1000552</v>
      </c>
      <c r="B56" s="12" t="s">
        <v>279</v>
      </c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5">
        <f t="shared" si="1"/>
        <v>0</v>
      </c>
    </row>
    <row r="57" spans="1:13" ht="16.5" thickBot="1" x14ac:dyDescent="0.3">
      <c r="A57" s="38">
        <v>1000080</v>
      </c>
      <c r="B57" s="17" t="s">
        <v>275</v>
      </c>
      <c r="C57" s="39"/>
      <c r="D57" s="40"/>
      <c r="E57" s="113"/>
      <c r="F57" s="40"/>
      <c r="G57" s="39"/>
      <c r="H57" s="40"/>
      <c r="I57" s="39"/>
      <c r="J57" s="40"/>
      <c r="K57" s="39"/>
      <c r="L57" s="40"/>
      <c r="M57" s="38">
        <f>SUM(C57:L57)</f>
        <v>0</v>
      </c>
    </row>
  </sheetData>
  <mergeCells count="2">
    <mergeCell ref="A1:B2"/>
    <mergeCell ref="C1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554F-E4C6-4F8F-8A67-231167384FCF}">
  <sheetPr>
    <pageSetUpPr fitToPage="1"/>
  </sheetPr>
  <dimension ref="A1:P56"/>
  <sheetViews>
    <sheetView zoomScaleNormal="100" workbookViewId="0">
      <selection activeCell="P16" sqref="P16"/>
    </sheetView>
  </sheetViews>
  <sheetFormatPr baseColWidth="10" defaultRowHeight="15.75" x14ac:dyDescent="0.25"/>
  <cols>
    <col min="2" max="2" width="32.875" bestFit="1" customWidth="1"/>
    <col min="3" max="3" width="0" hidden="1" customWidth="1"/>
    <col min="5" max="5" width="5" customWidth="1"/>
    <col min="7" max="7" width="6.125" customWidth="1"/>
    <col min="9" max="9" width="6.125" customWidth="1"/>
    <col min="11" max="11" width="6.25" customWidth="1"/>
    <col min="13" max="13" width="6.375" customWidth="1"/>
    <col min="14" max="14" width="12.125" customWidth="1"/>
  </cols>
  <sheetData>
    <row r="1" spans="1:16" ht="28.5" x14ac:dyDescent="0.45">
      <c r="A1" s="686" t="s">
        <v>330</v>
      </c>
      <c r="B1" s="687"/>
      <c r="C1" s="27"/>
      <c r="D1" s="796" t="s">
        <v>267</v>
      </c>
      <c r="E1" s="797"/>
      <c r="F1" s="797"/>
      <c r="G1" s="797"/>
      <c r="H1" s="798"/>
      <c r="I1" s="2"/>
      <c r="J1" s="27"/>
      <c r="K1" s="27"/>
      <c r="L1" s="27"/>
    </row>
    <row r="2" spans="1:16" ht="29.25" thickBot="1" x14ac:dyDescent="0.5">
      <c r="A2" s="688"/>
      <c r="B2" s="689"/>
      <c r="C2" s="3"/>
      <c r="D2" s="799"/>
      <c r="E2" s="800"/>
      <c r="F2" s="800"/>
      <c r="G2" s="800"/>
      <c r="H2" s="801"/>
      <c r="I2" s="2"/>
      <c r="J2" s="3"/>
      <c r="K2" s="3"/>
      <c r="L2" s="3"/>
    </row>
    <row r="3" spans="1:16" ht="29.25" thickBot="1" x14ac:dyDescent="0.3">
      <c r="A3" s="5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16.5" thickBot="1" x14ac:dyDescent="0.3">
      <c r="A4" s="6" t="s">
        <v>0</v>
      </c>
      <c r="B4" s="6" t="s">
        <v>105</v>
      </c>
      <c r="C4" s="7" t="s">
        <v>106</v>
      </c>
      <c r="D4" s="9" t="s">
        <v>107</v>
      </c>
      <c r="E4" s="10" t="s">
        <v>325</v>
      </c>
      <c r="F4" s="9" t="s">
        <v>108</v>
      </c>
      <c r="G4" s="10" t="s">
        <v>325</v>
      </c>
      <c r="H4" s="9" t="s">
        <v>109</v>
      </c>
      <c r="I4" s="10" t="s">
        <v>325</v>
      </c>
      <c r="J4" s="9" t="s">
        <v>110</v>
      </c>
      <c r="K4" s="10" t="s">
        <v>325</v>
      </c>
      <c r="L4" s="9" t="s">
        <v>111</v>
      </c>
      <c r="M4" s="10" t="s">
        <v>325</v>
      </c>
      <c r="N4" s="7" t="s">
        <v>98</v>
      </c>
    </row>
    <row r="5" spans="1:16" x14ac:dyDescent="0.25">
      <c r="A5" s="30">
        <v>10000015</v>
      </c>
      <c r="B5" s="11" t="s">
        <v>1</v>
      </c>
      <c r="C5" s="61">
        <v>20</v>
      </c>
      <c r="D5" s="28"/>
      <c r="E5" s="29"/>
      <c r="F5" s="28"/>
      <c r="G5" s="29"/>
      <c r="H5" s="28"/>
      <c r="I5" s="29"/>
      <c r="J5" s="28"/>
      <c r="K5" s="29"/>
      <c r="L5" s="28"/>
      <c r="M5" s="29"/>
      <c r="N5" s="30">
        <f t="shared" ref="N5:N40" si="0">SUM(D5:M5)</f>
        <v>0</v>
      </c>
    </row>
    <row r="6" spans="1:16" x14ac:dyDescent="0.25">
      <c r="A6" s="35">
        <v>10000102</v>
      </c>
      <c r="B6" s="12" t="s">
        <v>2</v>
      </c>
      <c r="C6" s="62">
        <v>2</v>
      </c>
      <c r="D6" s="33"/>
      <c r="E6" s="34"/>
      <c r="F6" s="33"/>
      <c r="G6" s="34"/>
      <c r="H6" s="33"/>
      <c r="I6" s="34"/>
      <c r="J6" s="33"/>
      <c r="K6" s="34"/>
      <c r="L6" s="33"/>
      <c r="M6" s="34"/>
      <c r="N6" s="35">
        <f t="shared" si="0"/>
        <v>0</v>
      </c>
    </row>
    <row r="7" spans="1:16" x14ac:dyDescent="0.25">
      <c r="A7" s="35">
        <v>10211</v>
      </c>
      <c r="B7" s="12" t="s">
        <v>3</v>
      </c>
      <c r="C7" s="62">
        <v>10000</v>
      </c>
      <c r="D7" s="33"/>
      <c r="E7" s="34"/>
      <c r="F7" s="33"/>
      <c r="G7" s="34"/>
      <c r="H7" s="33"/>
      <c r="I7" s="34"/>
      <c r="J7" s="33"/>
      <c r="K7" s="34"/>
      <c r="L7" s="33"/>
      <c r="M7" s="34"/>
      <c r="N7" s="35">
        <f t="shared" si="0"/>
        <v>0</v>
      </c>
    </row>
    <row r="8" spans="1:16" x14ac:dyDescent="0.25">
      <c r="A8" s="35">
        <v>1000007</v>
      </c>
      <c r="B8" s="12" t="s">
        <v>5</v>
      </c>
      <c r="C8" s="62">
        <v>4000</v>
      </c>
      <c r="D8" s="33"/>
      <c r="E8" s="34"/>
      <c r="F8" s="33"/>
      <c r="G8" s="34"/>
      <c r="H8" s="33"/>
      <c r="I8" s="34"/>
      <c r="J8" s="33"/>
      <c r="K8" s="34"/>
      <c r="L8" s="33"/>
      <c r="M8" s="34"/>
      <c r="N8" s="35">
        <f t="shared" si="0"/>
        <v>0</v>
      </c>
    </row>
    <row r="9" spans="1:16" x14ac:dyDescent="0.25">
      <c r="A9" s="35">
        <v>10212</v>
      </c>
      <c r="B9" s="12" t="s">
        <v>6</v>
      </c>
      <c r="C9" s="62">
        <v>4000</v>
      </c>
      <c r="D9" s="33"/>
      <c r="E9" s="34"/>
      <c r="F9" s="33"/>
      <c r="G9" s="34"/>
      <c r="H9" s="33"/>
      <c r="I9" s="34"/>
      <c r="J9" s="33"/>
      <c r="K9" s="34"/>
      <c r="L9" s="33"/>
      <c r="M9" s="34"/>
      <c r="N9" s="35">
        <f t="shared" si="0"/>
        <v>0</v>
      </c>
    </row>
    <row r="10" spans="1:16" x14ac:dyDescent="0.25">
      <c r="A10" s="35">
        <v>1000008</v>
      </c>
      <c r="B10" s="12" t="s">
        <v>7</v>
      </c>
      <c r="C10" s="62">
        <v>100</v>
      </c>
      <c r="D10" s="33"/>
      <c r="E10" s="34"/>
      <c r="F10" s="33"/>
      <c r="G10" s="34"/>
      <c r="H10" s="33"/>
      <c r="I10" s="34"/>
      <c r="J10" s="33"/>
      <c r="K10" s="34"/>
      <c r="L10" s="33"/>
      <c r="M10" s="34"/>
      <c r="N10" s="35">
        <f t="shared" si="0"/>
        <v>0</v>
      </c>
    </row>
    <row r="11" spans="1:16" x14ac:dyDescent="0.25">
      <c r="A11" s="35">
        <v>1000001</v>
      </c>
      <c r="B11" s="12" t="s">
        <v>8</v>
      </c>
      <c r="C11" s="62">
        <v>65</v>
      </c>
      <c r="D11" s="33"/>
      <c r="E11" s="34"/>
      <c r="F11" s="33"/>
      <c r="G11" s="34"/>
      <c r="H11" s="33"/>
      <c r="I11" s="34"/>
      <c r="J11" s="33"/>
      <c r="K11" s="34"/>
      <c r="L11" s="33"/>
      <c r="M11" s="34"/>
      <c r="N11" s="35">
        <f t="shared" si="0"/>
        <v>0</v>
      </c>
    </row>
    <row r="12" spans="1:16" x14ac:dyDescent="0.25">
      <c r="A12" s="35">
        <v>1000002</v>
      </c>
      <c r="B12" s="12" t="s">
        <v>9</v>
      </c>
      <c r="C12" s="62">
        <v>5</v>
      </c>
      <c r="D12" s="33"/>
      <c r="E12" s="34"/>
      <c r="F12" s="33"/>
      <c r="G12" s="34"/>
      <c r="H12" s="33"/>
      <c r="I12" s="34"/>
      <c r="J12" s="33"/>
      <c r="K12" s="34"/>
      <c r="L12" s="33"/>
      <c r="M12" s="34"/>
      <c r="N12" s="35">
        <f t="shared" si="0"/>
        <v>0</v>
      </c>
    </row>
    <row r="13" spans="1:16" x14ac:dyDescent="0.25">
      <c r="A13" s="35">
        <v>1000004</v>
      </c>
      <c r="B13" s="12" t="s">
        <v>10</v>
      </c>
      <c r="C13" s="62">
        <v>2</v>
      </c>
      <c r="D13" s="33"/>
      <c r="E13" s="34"/>
      <c r="F13" s="33"/>
      <c r="G13" s="34"/>
      <c r="H13" s="33"/>
      <c r="I13" s="34"/>
      <c r="J13" s="33"/>
      <c r="K13" s="34"/>
      <c r="L13" s="33"/>
      <c r="M13" s="34"/>
      <c r="N13" s="35">
        <f t="shared" si="0"/>
        <v>0</v>
      </c>
    </row>
    <row r="14" spans="1:16" x14ac:dyDescent="0.25">
      <c r="A14" s="35">
        <v>1000054</v>
      </c>
      <c r="B14" s="12" t="s">
        <v>12</v>
      </c>
      <c r="C14" s="62">
        <v>600</v>
      </c>
      <c r="D14" s="33"/>
      <c r="E14" s="34"/>
      <c r="F14" s="33"/>
      <c r="G14" s="34"/>
      <c r="H14" s="33"/>
      <c r="I14" s="34"/>
      <c r="J14" s="33"/>
      <c r="K14" s="34"/>
      <c r="L14" s="33"/>
      <c r="M14" s="34"/>
      <c r="N14" s="35">
        <f t="shared" si="0"/>
        <v>0</v>
      </c>
    </row>
    <row r="15" spans="1:16" x14ac:dyDescent="0.25">
      <c r="A15" s="35">
        <v>1000070</v>
      </c>
      <c r="B15" s="12" t="s">
        <v>13</v>
      </c>
      <c r="C15" s="62">
        <v>63</v>
      </c>
      <c r="D15" s="33"/>
      <c r="E15" s="34"/>
      <c r="F15" s="33"/>
      <c r="G15" s="34"/>
      <c r="H15" s="33"/>
      <c r="I15" s="34"/>
      <c r="J15" s="33"/>
      <c r="K15" s="34"/>
      <c r="L15" s="33"/>
      <c r="M15" s="34"/>
      <c r="N15" s="35">
        <f t="shared" si="0"/>
        <v>0</v>
      </c>
    </row>
    <row r="16" spans="1:16" x14ac:dyDescent="0.25">
      <c r="A16" s="35">
        <v>1000017</v>
      </c>
      <c r="B16" s="13" t="s">
        <v>14</v>
      </c>
      <c r="C16" s="62">
        <v>0</v>
      </c>
      <c r="D16" s="33"/>
      <c r="E16" s="34"/>
      <c r="F16" s="33"/>
      <c r="G16" s="34"/>
      <c r="H16" s="33"/>
      <c r="I16" s="34"/>
      <c r="J16" s="33"/>
      <c r="K16" s="34"/>
      <c r="L16" s="33"/>
      <c r="M16" s="34"/>
      <c r="N16" s="35">
        <f t="shared" si="0"/>
        <v>0</v>
      </c>
      <c r="P16" t="s">
        <v>336</v>
      </c>
    </row>
    <row r="17" spans="1:14" x14ac:dyDescent="0.25">
      <c r="A17" s="35">
        <v>1000010</v>
      </c>
      <c r="B17" s="12" t="s">
        <v>17</v>
      </c>
      <c r="C17" s="62">
        <v>3</v>
      </c>
      <c r="D17" s="33"/>
      <c r="E17" s="34"/>
      <c r="F17" s="33"/>
      <c r="G17" s="34"/>
      <c r="H17" s="33"/>
      <c r="I17" s="34"/>
      <c r="J17" s="33"/>
      <c r="K17" s="34"/>
      <c r="L17" s="33"/>
      <c r="M17" s="34"/>
      <c r="N17" s="35">
        <f t="shared" si="0"/>
        <v>0</v>
      </c>
    </row>
    <row r="18" spans="1:14" x14ac:dyDescent="0.25">
      <c r="A18" s="35">
        <v>1000009</v>
      </c>
      <c r="B18" s="14" t="s">
        <v>19</v>
      </c>
      <c r="C18" s="62">
        <v>3</v>
      </c>
      <c r="D18" s="33"/>
      <c r="E18" s="34"/>
      <c r="F18" s="33"/>
      <c r="G18" s="34"/>
      <c r="H18" s="33"/>
      <c r="I18" s="34"/>
      <c r="J18" s="33"/>
      <c r="K18" s="34"/>
      <c r="L18" s="33"/>
      <c r="M18" s="34"/>
      <c r="N18" s="35">
        <f t="shared" si="0"/>
        <v>0</v>
      </c>
    </row>
    <row r="19" spans="1:14" x14ac:dyDescent="0.25">
      <c r="A19" s="35">
        <v>1000049</v>
      </c>
      <c r="B19" s="12" t="s">
        <v>21</v>
      </c>
      <c r="C19" s="62">
        <v>10</v>
      </c>
      <c r="D19" s="33"/>
      <c r="E19" s="34"/>
      <c r="F19" s="33"/>
      <c r="G19" s="34"/>
      <c r="H19" s="33"/>
      <c r="I19" s="34"/>
      <c r="J19" s="33"/>
      <c r="K19" s="34"/>
      <c r="L19" s="33"/>
      <c r="M19" s="34"/>
      <c r="N19" s="35">
        <f t="shared" si="0"/>
        <v>0</v>
      </c>
    </row>
    <row r="20" spans="1:14" x14ac:dyDescent="0.25">
      <c r="A20" s="35">
        <v>1000033</v>
      </c>
      <c r="B20" s="12" t="s">
        <v>27</v>
      </c>
      <c r="C20" s="62">
        <v>240</v>
      </c>
      <c r="D20" s="33"/>
      <c r="E20" s="34"/>
      <c r="F20" s="33"/>
      <c r="G20" s="34"/>
      <c r="H20" s="33"/>
      <c r="I20" s="34"/>
      <c r="J20" s="33"/>
      <c r="K20" s="34"/>
      <c r="L20" s="33"/>
      <c r="M20" s="34"/>
      <c r="N20" s="35">
        <f t="shared" si="0"/>
        <v>0</v>
      </c>
    </row>
    <row r="21" spans="1:14" x14ac:dyDescent="0.25">
      <c r="A21" s="35">
        <v>1000034</v>
      </c>
      <c r="B21" s="12" t="s">
        <v>28</v>
      </c>
      <c r="C21" s="62">
        <v>30</v>
      </c>
      <c r="D21" s="33"/>
      <c r="E21" s="34"/>
      <c r="F21" s="33"/>
      <c r="G21" s="34"/>
      <c r="H21" s="33"/>
      <c r="I21" s="34"/>
      <c r="J21" s="33"/>
      <c r="K21" s="34"/>
      <c r="L21" s="33"/>
      <c r="M21" s="34"/>
      <c r="N21" s="35">
        <f t="shared" si="0"/>
        <v>0</v>
      </c>
    </row>
    <row r="22" spans="1:14" x14ac:dyDescent="0.25">
      <c r="A22" s="35">
        <v>1000029</v>
      </c>
      <c r="B22" s="12" t="s">
        <v>30</v>
      </c>
      <c r="C22" s="62">
        <v>1</v>
      </c>
      <c r="D22" s="33"/>
      <c r="E22" s="34"/>
      <c r="F22" s="33"/>
      <c r="G22" s="34"/>
      <c r="H22" s="33"/>
      <c r="I22" s="34"/>
      <c r="J22" s="33"/>
      <c r="K22" s="34"/>
      <c r="L22" s="33"/>
      <c r="M22" s="34"/>
      <c r="N22" s="35">
        <f t="shared" si="0"/>
        <v>0</v>
      </c>
    </row>
    <row r="23" spans="1:14" x14ac:dyDescent="0.25">
      <c r="A23" s="35">
        <v>1000025</v>
      </c>
      <c r="B23" s="12" t="s">
        <v>32</v>
      </c>
      <c r="C23" s="62">
        <v>150</v>
      </c>
      <c r="D23" s="158"/>
      <c r="E23" s="34"/>
      <c r="F23" s="33"/>
      <c r="G23" s="34"/>
      <c r="H23" s="33"/>
      <c r="I23" s="34"/>
      <c r="J23" s="33"/>
      <c r="K23" s="34"/>
      <c r="L23" s="33"/>
      <c r="M23" s="34"/>
      <c r="N23" s="35">
        <f t="shared" si="0"/>
        <v>0</v>
      </c>
    </row>
    <row r="24" spans="1:14" x14ac:dyDescent="0.25">
      <c r="A24" s="35">
        <v>1000100</v>
      </c>
      <c r="B24" s="12" t="s">
        <v>34</v>
      </c>
      <c r="C24" s="62">
        <v>6</v>
      </c>
      <c r="D24" s="33"/>
      <c r="E24" s="34"/>
      <c r="F24" s="33"/>
      <c r="G24" s="34"/>
      <c r="H24" s="33"/>
      <c r="I24" s="34"/>
      <c r="J24" s="33"/>
      <c r="K24" s="34"/>
      <c r="L24" s="33"/>
      <c r="M24" s="34"/>
      <c r="N24" s="35">
        <f t="shared" si="0"/>
        <v>0</v>
      </c>
    </row>
    <row r="25" spans="1:14" x14ac:dyDescent="0.25">
      <c r="A25" s="35">
        <v>1000101</v>
      </c>
      <c r="B25" s="12" t="s">
        <v>35</v>
      </c>
      <c r="C25" s="62">
        <v>6</v>
      </c>
      <c r="D25" s="33"/>
      <c r="E25" s="34"/>
      <c r="F25" s="33"/>
      <c r="G25" s="34"/>
      <c r="H25" s="33"/>
      <c r="I25" s="34"/>
      <c r="J25" s="33"/>
      <c r="K25" s="34"/>
      <c r="L25" s="33"/>
      <c r="M25" s="34"/>
      <c r="N25" s="35">
        <f t="shared" si="0"/>
        <v>0</v>
      </c>
    </row>
    <row r="26" spans="1:14" x14ac:dyDescent="0.25">
      <c r="A26" s="35">
        <v>1000073</v>
      </c>
      <c r="B26" s="12" t="s">
        <v>36</v>
      </c>
      <c r="C26" s="62">
        <v>1</v>
      </c>
      <c r="D26" s="33"/>
      <c r="E26" s="34"/>
      <c r="F26" s="33"/>
      <c r="G26" s="34"/>
      <c r="H26" s="33"/>
      <c r="I26" s="34"/>
      <c r="J26" s="33"/>
      <c r="K26" s="34"/>
      <c r="L26" s="33"/>
      <c r="M26" s="34"/>
      <c r="N26" s="35">
        <f t="shared" si="0"/>
        <v>0</v>
      </c>
    </row>
    <row r="27" spans="1:14" x14ac:dyDescent="0.25">
      <c r="A27" s="35">
        <v>1000082</v>
      </c>
      <c r="B27" s="12" t="s">
        <v>37</v>
      </c>
      <c r="C27" s="62">
        <v>1200</v>
      </c>
      <c r="D27" s="33"/>
      <c r="E27" s="34"/>
      <c r="F27" s="33"/>
      <c r="G27" s="34"/>
      <c r="H27" s="33"/>
      <c r="I27" s="34"/>
      <c r="J27" s="33"/>
      <c r="K27" s="34"/>
      <c r="L27" s="33"/>
      <c r="M27" s="34"/>
      <c r="N27" s="35">
        <f t="shared" si="0"/>
        <v>0</v>
      </c>
    </row>
    <row r="28" spans="1:14" x14ac:dyDescent="0.25">
      <c r="A28" s="35">
        <v>1000090</v>
      </c>
      <c r="B28" s="12" t="s">
        <v>40</v>
      </c>
      <c r="C28" s="62">
        <v>1</v>
      </c>
      <c r="D28" s="33"/>
      <c r="E28" s="34"/>
      <c r="F28" s="33"/>
      <c r="G28" s="34"/>
      <c r="H28" s="33"/>
      <c r="I28" s="34"/>
      <c r="J28" s="33"/>
      <c r="K28" s="34"/>
      <c r="L28" s="33"/>
      <c r="M28" s="34"/>
      <c r="N28" s="35">
        <f t="shared" si="0"/>
        <v>0</v>
      </c>
    </row>
    <row r="29" spans="1:14" x14ac:dyDescent="0.25">
      <c r="A29" s="35">
        <v>10249</v>
      </c>
      <c r="B29" s="12" t="s">
        <v>181</v>
      </c>
      <c r="C29" s="62">
        <v>400</v>
      </c>
      <c r="D29" s="33"/>
      <c r="E29" s="34"/>
      <c r="F29" s="33"/>
      <c r="G29" s="34"/>
      <c r="H29" s="33"/>
      <c r="I29" s="34"/>
      <c r="J29" s="33"/>
      <c r="K29" s="34"/>
      <c r="L29" s="33"/>
      <c r="M29" s="34"/>
      <c r="N29" s="35">
        <f t="shared" si="0"/>
        <v>0</v>
      </c>
    </row>
    <row r="30" spans="1:14" x14ac:dyDescent="0.25">
      <c r="A30" s="35">
        <v>1000052</v>
      </c>
      <c r="B30" s="12" t="s">
        <v>41</v>
      </c>
      <c r="C30" s="62">
        <v>100</v>
      </c>
      <c r="D30" s="33"/>
      <c r="E30" s="34"/>
      <c r="F30" s="33"/>
      <c r="G30" s="34"/>
      <c r="H30" s="33"/>
      <c r="I30" s="34"/>
      <c r="J30" s="33"/>
      <c r="K30" s="34"/>
      <c r="L30" s="33"/>
      <c r="M30" s="34"/>
      <c r="N30" s="35">
        <f t="shared" si="0"/>
        <v>0</v>
      </c>
    </row>
    <row r="31" spans="1:14" x14ac:dyDescent="0.25">
      <c r="A31" s="35">
        <v>1000089</v>
      </c>
      <c r="B31" s="12" t="s">
        <v>42</v>
      </c>
      <c r="C31" s="62">
        <v>100</v>
      </c>
      <c r="D31" s="33"/>
      <c r="E31" s="34"/>
      <c r="F31" s="33"/>
      <c r="G31" s="34"/>
      <c r="H31" s="33"/>
      <c r="I31" s="34"/>
      <c r="J31" s="33"/>
      <c r="K31" s="34"/>
      <c r="L31" s="33"/>
      <c r="M31" s="34"/>
      <c r="N31" s="35">
        <f t="shared" si="0"/>
        <v>0</v>
      </c>
    </row>
    <row r="32" spans="1:14" x14ac:dyDescent="0.25">
      <c r="A32" s="35">
        <v>1000051</v>
      </c>
      <c r="B32" s="12" t="s">
        <v>43</v>
      </c>
      <c r="C32" s="62">
        <v>3</v>
      </c>
      <c r="D32" s="33"/>
      <c r="E32" s="34"/>
      <c r="F32" s="33"/>
      <c r="G32" s="34"/>
      <c r="H32" s="33"/>
      <c r="I32" s="34"/>
      <c r="J32" s="33"/>
      <c r="K32" s="34"/>
      <c r="L32" s="33"/>
      <c r="M32" s="34"/>
      <c r="N32" s="35">
        <f t="shared" si="0"/>
        <v>0</v>
      </c>
    </row>
    <row r="33" spans="1:14" x14ac:dyDescent="0.25">
      <c r="A33" s="35">
        <v>1000048</v>
      </c>
      <c r="B33" s="12" t="s">
        <v>45</v>
      </c>
      <c r="C33" s="62">
        <v>2</v>
      </c>
      <c r="D33" s="33"/>
      <c r="E33" s="34"/>
      <c r="F33" s="33"/>
      <c r="G33" s="34"/>
      <c r="H33" s="33"/>
      <c r="I33" s="34"/>
      <c r="J33" s="33"/>
      <c r="K33" s="34"/>
      <c r="L33" s="33"/>
      <c r="M33" s="34"/>
      <c r="N33" s="35">
        <f t="shared" si="0"/>
        <v>0</v>
      </c>
    </row>
    <row r="34" spans="1:14" x14ac:dyDescent="0.25">
      <c r="A34" s="35">
        <v>1000075</v>
      </c>
      <c r="B34" s="12" t="s">
        <v>47</v>
      </c>
      <c r="C34" s="62">
        <v>1</v>
      </c>
      <c r="D34" s="33"/>
      <c r="E34" s="34"/>
      <c r="F34" s="33"/>
      <c r="G34" s="34"/>
      <c r="H34" s="33"/>
      <c r="I34" s="34"/>
      <c r="J34" s="33"/>
      <c r="K34" s="34"/>
      <c r="L34" s="33"/>
      <c r="M34" s="34"/>
      <c r="N34" s="35">
        <f t="shared" si="0"/>
        <v>0</v>
      </c>
    </row>
    <row r="35" spans="1:14" x14ac:dyDescent="0.25">
      <c r="A35" s="35">
        <v>1000092</v>
      </c>
      <c r="B35" s="12" t="s">
        <v>51</v>
      </c>
      <c r="C35" s="62">
        <v>0</v>
      </c>
      <c r="D35" s="33"/>
      <c r="E35" s="34"/>
      <c r="F35" s="33"/>
      <c r="G35" s="34"/>
      <c r="H35" s="33"/>
      <c r="I35" s="34"/>
      <c r="J35" s="33"/>
      <c r="K35" s="34"/>
      <c r="L35" s="33"/>
      <c r="M35" s="34"/>
      <c r="N35" s="35">
        <f t="shared" si="0"/>
        <v>0</v>
      </c>
    </row>
    <row r="36" spans="1:14" x14ac:dyDescent="0.25">
      <c r="A36" s="35">
        <v>1000147</v>
      </c>
      <c r="B36" s="12" t="s">
        <v>52</v>
      </c>
      <c r="C36" s="62">
        <v>1</v>
      </c>
      <c r="D36" s="33"/>
      <c r="E36" s="34"/>
      <c r="F36" s="33"/>
      <c r="G36" s="34"/>
      <c r="H36" s="33"/>
      <c r="I36" s="34"/>
      <c r="J36" s="33"/>
      <c r="K36" s="34"/>
      <c r="L36" s="33"/>
      <c r="M36" s="34"/>
      <c r="N36" s="35">
        <f t="shared" si="0"/>
        <v>0</v>
      </c>
    </row>
    <row r="37" spans="1:14" x14ac:dyDescent="0.25">
      <c r="A37" s="35">
        <v>1000142</v>
      </c>
      <c r="B37" s="12" t="s">
        <v>54</v>
      </c>
      <c r="C37" s="62">
        <v>5</v>
      </c>
      <c r="D37" s="33"/>
      <c r="E37" s="34"/>
      <c r="F37" s="33"/>
      <c r="G37" s="34"/>
      <c r="H37" s="33"/>
      <c r="I37" s="34"/>
      <c r="J37" s="33"/>
      <c r="K37" s="34"/>
      <c r="L37" s="33"/>
      <c r="M37" s="34"/>
      <c r="N37" s="35">
        <f t="shared" si="0"/>
        <v>0</v>
      </c>
    </row>
    <row r="38" spans="1:14" x14ac:dyDescent="0.25">
      <c r="A38" s="35">
        <v>1000412</v>
      </c>
      <c r="B38" s="12" t="s">
        <v>195</v>
      </c>
      <c r="C38" s="62">
        <v>0</v>
      </c>
      <c r="D38" s="33"/>
      <c r="E38" s="34"/>
      <c r="F38" s="33"/>
      <c r="G38" s="34"/>
      <c r="H38" s="33"/>
      <c r="I38" s="34"/>
      <c r="J38" s="33"/>
      <c r="K38" s="34"/>
      <c r="L38" s="33"/>
      <c r="M38" s="34"/>
      <c r="N38" s="35">
        <f t="shared" si="0"/>
        <v>0</v>
      </c>
    </row>
    <row r="39" spans="1:14" x14ac:dyDescent="0.25">
      <c r="A39" s="35">
        <v>10202</v>
      </c>
      <c r="B39" s="12" t="s">
        <v>83</v>
      </c>
      <c r="C39" s="62">
        <v>30</v>
      </c>
      <c r="D39" s="33"/>
      <c r="E39" s="34"/>
      <c r="F39" s="33"/>
      <c r="G39" s="34"/>
      <c r="H39" s="33"/>
      <c r="I39" s="34"/>
      <c r="J39" s="33"/>
      <c r="K39" s="34"/>
      <c r="L39" s="33"/>
      <c r="M39" s="34"/>
      <c r="N39" s="35">
        <f t="shared" si="0"/>
        <v>0</v>
      </c>
    </row>
    <row r="40" spans="1:14" x14ac:dyDescent="0.25">
      <c r="A40" s="35">
        <v>1000045</v>
      </c>
      <c r="B40" s="12" t="s">
        <v>23</v>
      </c>
      <c r="C40" s="62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5">
        <f t="shared" si="0"/>
        <v>0</v>
      </c>
    </row>
    <row r="41" spans="1:14" x14ac:dyDescent="0.25">
      <c r="A41" s="35">
        <v>1000439</v>
      </c>
      <c r="B41" s="12" t="s">
        <v>193</v>
      </c>
      <c r="C41" s="62"/>
      <c r="D41" s="33"/>
      <c r="E41" s="34"/>
      <c r="F41" s="33"/>
      <c r="G41" s="34"/>
      <c r="H41" s="33"/>
      <c r="I41" s="34"/>
      <c r="J41" s="33"/>
      <c r="K41" s="34"/>
      <c r="L41" s="33"/>
      <c r="M41" s="34"/>
      <c r="N41" s="35">
        <f>SUM(D41:M41)</f>
        <v>0</v>
      </c>
    </row>
    <row r="42" spans="1:14" x14ac:dyDescent="0.25">
      <c r="A42" s="35">
        <v>1000084</v>
      </c>
      <c r="B42" s="12" t="s">
        <v>38</v>
      </c>
      <c r="C42" s="62"/>
      <c r="D42" s="33"/>
      <c r="E42" s="34"/>
      <c r="F42" s="33"/>
      <c r="G42" s="34"/>
      <c r="H42" s="33"/>
      <c r="I42" s="34"/>
      <c r="J42" s="33"/>
      <c r="K42" s="34"/>
      <c r="L42" s="33"/>
      <c r="M42" s="34"/>
      <c r="N42" s="35">
        <f t="shared" ref="N42:N55" si="1">SUM(D42:M42)</f>
        <v>0</v>
      </c>
    </row>
    <row r="43" spans="1:14" x14ac:dyDescent="0.25">
      <c r="A43" s="35">
        <v>1000036</v>
      </c>
      <c r="B43" s="12" t="s">
        <v>75</v>
      </c>
      <c r="C43" s="62"/>
      <c r="D43" s="33"/>
      <c r="E43" s="34"/>
      <c r="F43" s="33"/>
      <c r="G43" s="34"/>
      <c r="H43" s="33"/>
      <c r="I43" s="34"/>
      <c r="J43" s="33"/>
      <c r="K43" s="34"/>
      <c r="L43" s="33"/>
      <c r="M43" s="34"/>
      <c r="N43" s="35">
        <f t="shared" si="1"/>
        <v>0</v>
      </c>
    </row>
    <row r="44" spans="1:14" x14ac:dyDescent="0.25">
      <c r="A44" s="35">
        <v>1000227</v>
      </c>
      <c r="B44" s="12" t="s">
        <v>96</v>
      </c>
      <c r="C44" s="62"/>
      <c r="D44" s="33"/>
      <c r="E44" s="34"/>
      <c r="F44" s="33"/>
      <c r="G44" s="34"/>
      <c r="H44" s="33"/>
      <c r="I44" s="34"/>
      <c r="J44" s="33"/>
      <c r="K44" s="34"/>
      <c r="L44" s="33"/>
      <c r="M44" s="34"/>
      <c r="N44" s="35">
        <f t="shared" si="1"/>
        <v>0</v>
      </c>
    </row>
    <row r="45" spans="1:14" x14ac:dyDescent="0.25">
      <c r="A45" s="35">
        <v>1000063</v>
      </c>
      <c r="B45" s="12" t="s">
        <v>65</v>
      </c>
      <c r="C45" s="62"/>
      <c r="D45" s="33"/>
      <c r="E45" s="34"/>
      <c r="F45" s="33"/>
      <c r="G45" s="34"/>
      <c r="H45" s="33"/>
      <c r="I45" s="34"/>
      <c r="J45" s="33"/>
      <c r="K45" s="34"/>
      <c r="L45" s="33"/>
      <c r="M45" s="34"/>
      <c r="N45" s="35">
        <f t="shared" si="1"/>
        <v>0</v>
      </c>
    </row>
    <row r="46" spans="1:14" x14ac:dyDescent="0.25">
      <c r="A46" s="35">
        <v>1000214</v>
      </c>
      <c r="B46" s="12" t="s">
        <v>49</v>
      </c>
      <c r="C46" s="62"/>
      <c r="D46" s="33"/>
      <c r="E46" s="34"/>
      <c r="F46" s="33"/>
      <c r="G46" s="34"/>
      <c r="H46" s="33"/>
      <c r="I46" s="34"/>
      <c r="J46" s="33"/>
      <c r="K46" s="34"/>
      <c r="L46" s="33"/>
      <c r="M46" s="34"/>
      <c r="N46" s="35">
        <f t="shared" si="1"/>
        <v>0</v>
      </c>
    </row>
    <row r="47" spans="1:14" x14ac:dyDescent="0.25">
      <c r="A47" s="35">
        <v>1000487</v>
      </c>
      <c r="B47" s="12" t="s">
        <v>229</v>
      </c>
      <c r="C47" s="62"/>
      <c r="D47" s="33"/>
      <c r="E47" s="34"/>
      <c r="F47" s="33"/>
      <c r="G47" s="34"/>
      <c r="H47" s="33"/>
      <c r="I47" s="34"/>
      <c r="J47" s="33"/>
      <c r="K47" s="34"/>
      <c r="L47" s="33"/>
      <c r="M47" s="34"/>
      <c r="N47" s="35">
        <f t="shared" si="1"/>
        <v>0</v>
      </c>
    </row>
    <row r="48" spans="1:14" x14ac:dyDescent="0.25">
      <c r="A48" s="35">
        <v>10248</v>
      </c>
      <c r="B48" s="12" t="s">
        <v>183</v>
      </c>
      <c r="C48" s="62"/>
      <c r="D48" s="33"/>
      <c r="E48" s="34"/>
      <c r="F48" s="33"/>
      <c r="G48" s="34"/>
      <c r="H48" s="33"/>
      <c r="I48" s="34"/>
      <c r="J48" s="33"/>
      <c r="K48" s="34"/>
      <c r="L48" s="33"/>
      <c r="M48" s="34"/>
      <c r="N48" s="35">
        <f t="shared" si="1"/>
        <v>0</v>
      </c>
    </row>
    <row r="49" spans="1:14" x14ac:dyDescent="0.25">
      <c r="A49" s="35">
        <v>1000064</v>
      </c>
      <c r="B49" s="12" t="s">
        <v>64</v>
      </c>
      <c r="C49" s="62"/>
      <c r="D49" s="33"/>
      <c r="E49" s="34"/>
      <c r="F49" s="33"/>
      <c r="G49" s="34"/>
      <c r="H49" s="33"/>
      <c r="I49" s="34"/>
      <c r="J49" s="33"/>
      <c r="K49" s="34"/>
      <c r="L49" s="33"/>
      <c r="M49" s="34"/>
      <c r="N49" s="35">
        <f t="shared" si="1"/>
        <v>0</v>
      </c>
    </row>
    <row r="50" spans="1:14" x14ac:dyDescent="0.25">
      <c r="A50" s="35">
        <v>1000050</v>
      </c>
      <c r="B50" s="12" t="s">
        <v>22</v>
      </c>
      <c r="C50" s="62"/>
      <c r="D50" s="33"/>
      <c r="E50" s="34"/>
      <c r="F50" s="33"/>
      <c r="G50" s="34"/>
      <c r="H50" s="33"/>
      <c r="I50" s="34"/>
      <c r="J50" s="33"/>
      <c r="K50" s="34"/>
      <c r="L50" s="33"/>
      <c r="M50" s="34"/>
      <c r="N50" s="35">
        <f t="shared" si="1"/>
        <v>0</v>
      </c>
    </row>
    <row r="51" spans="1:14" x14ac:dyDescent="0.25">
      <c r="A51" s="35">
        <v>1000452</v>
      </c>
      <c r="B51" s="12" t="s">
        <v>425</v>
      </c>
      <c r="C51" s="62"/>
      <c r="D51" s="33"/>
      <c r="E51" s="34"/>
      <c r="F51" s="33"/>
      <c r="G51" s="34"/>
      <c r="H51" s="33"/>
      <c r="I51" s="34"/>
      <c r="J51" s="33"/>
      <c r="K51" s="34"/>
      <c r="L51" s="33"/>
      <c r="M51" s="34"/>
      <c r="N51" s="35">
        <f t="shared" si="1"/>
        <v>0</v>
      </c>
    </row>
    <row r="52" spans="1:14" x14ac:dyDescent="0.25">
      <c r="A52" s="35">
        <v>1000436</v>
      </c>
      <c r="B52" s="12" t="s">
        <v>276</v>
      </c>
      <c r="C52" s="62"/>
      <c r="D52" s="33"/>
      <c r="E52" s="34"/>
      <c r="F52" s="33"/>
      <c r="G52" s="34"/>
      <c r="H52" s="33"/>
      <c r="I52" s="34"/>
      <c r="J52" s="33"/>
      <c r="K52" s="34"/>
      <c r="L52" s="33"/>
      <c r="M52" s="34"/>
      <c r="N52" s="35">
        <f t="shared" si="1"/>
        <v>0</v>
      </c>
    </row>
    <row r="53" spans="1:14" x14ac:dyDescent="0.25">
      <c r="A53" s="35">
        <v>1000550</v>
      </c>
      <c r="B53" s="12" t="s">
        <v>277</v>
      </c>
      <c r="C53" s="62"/>
      <c r="D53" s="33"/>
      <c r="E53" s="34"/>
      <c r="F53" s="33"/>
      <c r="G53" s="34"/>
      <c r="H53" s="33"/>
      <c r="I53" s="34"/>
      <c r="J53" s="33"/>
      <c r="K53" s="34"/>
      <c r="L53" s="33"/>
      <c r="M53" s="34"/>
      <c r="N53" s="35">
        <f t="shared" si="1"/>
        <v>0</v>
      </c>
    </row>
    <row r="54" spans="1:14" x14ac:dyDescent="0.25">
      <c r="A54" s="35">
        <v>1000551</v>
      </c>
      <c r="B54" s="12" t="s">
        <v>278</v>
      </c>
      <c r="C54" s="62"/>
      <c r="D54" s="33"/>
      <c r="E54" s="34"/>
      <c r="F54" s="33"/>
      <c r="G54" s="34"/>
      <c r="H54" s="33"/>
      <c r="I54" s="34"/>
      <c r="J54" s="33"/>
      <c r="K54" s="34"/>
      <c r="L54" s="33"/>
      <c r="M54" s="34"/>
      <c r="N54" s="35">
        <f t="shared" si="1"/>
        <v>0</v>
      </c>
    </row>
    <row r="55" spans="1:14" x14ac:dyDescent="0.25">
      <c r="A55" s="35">
        <v>1000552</v>
      </c>
      <c r="B55" s="12" t="s">
        <v>279</v>
      </c>
      <c r="C55" s="62"/>
      <c r="D55" s="33"/>
      <c r="E55" s="34"/>
      <c r="F55" s="33"/>
      <c r="G55" s="34"/>
      <c r="H55" s="33"/>
      <c r="I55" s="34"/>
      <c r="J55" s="33"/>
      <c r="K55" s="34"/>
      <c r="L55" s="33"/>
      <c r="M55" s="34"/>
      <c r="N55" s="35">
        <f t="shared" si="1"/>
        <v>0</v>
      </c>
    </row>
    <row r="56" spans="1:14" ht="16.5" thickBot="1" x14ac:dyDescent="0.3">
      <c r="A56" s="38">
        <v>1000080</v>
      </c>
      <c r="B56" s="17" t="s">
        <v>275</v>
      </c>
      <c r="C56" s="46"/>
      <c r="D56" s="39"/>
      <c r="E56" s="40"/>
      <c r="F56" s="113"/>
      <c r="G56" s="40"/>
      <c r="H56" s="39"/>
      <c r="I56" s="40"/>
      <c r="J56" s="39"/>
      <c r="K56" s="40"/>
      <c r="L56" s="39"/>
      <c r="M56" s="40"/>
      <c r="N56" s="38">
        <f>SUM(D56:M56)</f>
        <v>0</v>
      </c>
    </row>
  </sheetData>
  <mergeCells count="2">
    <mergeCell ref="A1:B2"/>
    <mergeCell ref="D1:H2"/>
  </mergeCells>
  <pageMargins left="0.25" right="0.25" top="0.75" bottom="0.75" header="0.3" footer="0.3"/>
  <pageSetup paperSize="9" scale="53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F06E-BE2B-4408-B346-212D3CD689E1}">
  <sheetPr>
    <pageSetUpPr fitToPage="1"/>
  </sheetPr>
  <dimension ref="A1:R58"/>
  <sheetViews>
    <sheetView workbookViewId="0">
      <selection activeCell="R15" sqref="R15"/>
    </sheetView>
  </sheetViews>
  <sheetFormatPr baseColWidth="10" defaultColWidth="10.875" defaultRowHeight="15" x14ac:dyDescent="0.25"/>
  <cols>
    <col min="1" max="1" width="7.875" style="132" bestFit="1" customWidth="1"/>
    <col min="2" max="2" width="40.125" style="132" bestFit="1" customWidth="1"/>
    <col min="3" max="3" width="0.875" style="132" customWidth="1"/>
    <col min="4" max="4" width="8.5" style="132" bestFit="1" customWidth="1"/>
    <col min="5" max="5" width="1" style="132" customWidth="1"/>
    <col min="6" max="6" width="9.125" style="132" bestFit="1" customWidth="1"/>
    <col min="7" max="7" width="8.625" style="132" bestFit="1" customWidth="1"/>
    <col min="8" max="8" width="9.125" style="132" bestFit="1" customWidth="1"/>
    <col min="9" max="9" width="8.625" style="132" bestFit="1" customWidth="1"/>
    <col min="10" max="10" width="9.125" style="132" bestFit="1" customWidth="1"/>
    <col min="11" max="11" width="8.625" style="132" bestFit="1" customWidth="1"/>
    <col min="12" max="12" width="9.125" style="132" bestFit="1" customWidth="1"/>
    <col min="13" max="13" width="8.625" style="132" bestFit="1" customWidth="1"/>
    <col min="14" max="14" width="9.125" style="132" bestFit="1" customWidth="1"/>
    <col min="15" max="15" width="8.625" style="132" bestFit="1" customWidth="1"/>
    <col min="16" max="16384" width="10.875" style="132"/>
  </cols>
  <sheetData>
    <row r="1" spans="1:18" ht="17.25" customHeight="1" x14ac:dyDescent="0.45">
      <c r="A1" s="686" t="s">
        <v>261</v>
      </c>
      <c r="B1" s="687"/>
      <c r="C1" s="18"/>
      <c r="D1" s="18"/>
      <c r="F1" s="796" t="s">
        <v>267</v>
      </c>
      <c r="G1" s="797"/>
      <c r="H1" s="797"/>
      <c r="I1" s="797"/>
      <c r="J1" s="798"/>
      <c r="K1" s="2"/>
    </row>
    <row r="2" spans="1:18" s="3" customFormat="1" ht="17.25" customHeight="1" thickBot="1" x14ac:dyDescent="0.5">
      <c r="A2" s="688"/>
      <c r="B2" s="689"/>
      <c r="C2" s="18"/>
      <c r="D2" s="18"/>
      <c r="F2" s="799"/>
      <c r="G2" s="800"/>
      <c r="H2" s="800"/>
      <c r="I2" s="800"/>
      <c r="J2" s="801"/>
      <c r="K2" s="2"/>
    </row>
    <row r="3" spans="1:18" s="3" customFormat="1" ht="17.25" customHeight="1" thickBot="1" x14ac:dyDescent="0.3">
      <c r="A3" s="5"/>
      <c r="B3" s="5"/>
      <c r="C3" s="18"/>
      <c r="D3" s="18"/>
    </row>
    <row r="4" spans="1:18" s="3" customFormat="1" ht="17.25" customHeight="1" thickBot="1" x14ac:dyDescent="0.3">
      <c r="A4" s="6" t="s">
        <v>0</v>
      </c>
      <c r="B4" s="6" t="s">
        <v>105</v>
      </c>
      <c r="C4" s="4"/>
      <c r="D4" s="21" t="s">
        <v>106</v>
      </c>
      <c r="E4" s="132"/>
      <c r="F4" s="19" t="s">
        <v>107</v>
      </c>
      <c r="G4" s="20" t="s">
        <v>113</v>
      </c>
      <c r="H4" s="19" t="s">
        <v>108</v>
      </c>
      <c r="I4" s="20" t="s">
        <v>114</v>
      </c>
      <c r="J4" s="19" t="s">
        <v>109</v>
      </c>
      <c r="K4" s="20" t="s">
        <v>115</v>
      </c>
      <c r="L4" s="19" t="s">
        <v>110</v>
      </c>
      <c r="M4" s="20" t="s">
        <v>116</v>
      </c>
      <c r="N4" s="19" t="s">
        <v>111</v>
      </c>
      <c r="O4" s="20" t="s">
        <v>117</v>
      </c>
      <c r="P4" s="21" t="s">
        <v>98</v>
      </c>
    </row>
    <row r="5" spans="1:18" x14ac:dyDescent="0.25">
      <c r="A5" s="133">
        <v>10000015</v>
      </c>
      <c r="B5" s="11" t="s">
        <v>1</v>
      </c>
      <c r="C5" s="134"/>
      <c r="D5" s="135">
        <v>1</v>
      </c>
      <c r="F5" s="136"/>
      <c r="G5" s="137"/>
      <c r="H5" s="136"/>
      <c r="I5" s="137"/>
      <c r="J5" s="136"/>
      <c r="K5" s="137"/>
      <c r="L5" s="136"/>
      <c r="M5" s="137"/>
      <c r="N5" s="136"/>
      <c r="O5" s="137"/>
      <c r="P5" s="133">
        <f t="shared" ref="P5:P58" si="0">SUM(F5:O5)</f>
        <v>0</v>
      </c>
    </row>
    <row r="6" spans="1:18" x14ac:dyDescent="0.25">
      <c r="A6" s="138">
        <v>1000006</v>
      </c>
      <c r="B6" s="12" t="s">
        <v>4</v>
      </c>
      <c r="C6" s="134"/>
      <c r="D6" s="139">
        <v>500</v>
      </c>
      <c r="F6" s="140"/>
      <c r="G6" s="141"/>
      <c r="H6" s="140"/>
      <c r="I6" s="141"/>
      <c r="J6" s="140"/>
      <c r="K6" s="141"/>
      <c r="L6" s="140"/>
      <c r="M6" s="141"/>
      <c r="N6" s="140"/>
      <c r="O6" s="141"/>
      <c r="P6" s="138">
        <f t="shared" si="0"/>
        <v>0</v>
      </c>
    </row>
    <row r="7" spans="1:18" x14ac:dyDescent="0.25">
      <c r="A7" s="138">
        <v>1000008</v>
      </c>
      <c r="B7" s="12" t="s">
        <v>7</v>
      </c>
      <c r="C7" s="134"/>
      <c r="D7" s="139">
        <v>100</v>
      </c>
      <c r="F7" s="140"/>
      <c r="G7" s="141"/>
      <c r="H7" s="140"/>
      <c r="I7" s="141"/>
      <c r="J7" s="140"/>
      <c r="K7" s="141"/>
      <c r="L7" s="140"/>
      <c r="M7" s="141"/>
      <c r="N7" s="140"/>
      <c r="O7" s="141"/>
      <c r="P7" s="138">
        <f t="shared" si="0"/>
        <v>0</v>
      </c>
    </row>
    <row r="8" spans="1:18" x14ac:dyDescent="0.25">
      <c r="A8" s="138">
        <v>1000001</v>
      </c>
      <c r="B8" s="12" t="s">
        <v>8</v>
      </c>
      <c r="C8" s="134"/>
      <c r="D8" s="139">
        <v>3</v>
      </c>
      <c r="F8" s="140"/>
      <c r="G8" s="141"/>
      <c r="H8" s="140"/>
      <c r="I8" s="141"/>
      <c r="J8" s="140"/>
      <c r="K8" s="141"/>
      <c r="L8" s="140"/>
      <c r="M8" s="141"/>
      <c r="N8" s="140"/>
      <c r="O8" s="141"/>
      <c r="P8" s="138">
        <f t="shared" si="0"/>
        <v>0</v>
      </c>
    </row>
    <row r="9" spans="1:18" x14ac:dyDescent="0.25">
      <c r="A9" s="138">
        <v>1000002</v>
      </c>
      <c r="B9" s="12" t="s">
        <v>9</v>
      </c>
      <c r="C9" s="134"/>
      <c r="D9" s="139">
        <v>1</v>
      </c>
      <c r="F9" s="140"/>
      <c r="G9" s="141"/>
      <c r="H9" s="140"/>
      <c r="I9" s="141"/>
      <c r="J9" s="140"/>
      <c r="K9" s="141"/>
      <c r="L9" s="140"/>
      <c r="M9" s="141"/>
      <c r="N9" s="140"/>
      <c r="O9" s="141"/>
      <c r="P9" s="138">
        <f t="shared" si="0"/>
        <v>0</v>
      </c>
    </row>
    <row r="10" spans="1:18" x14ac:dyDescent="0.25">
      <c r="A10" s="138">
        <v>1000004</v>
      </c>
      <c r="B10" s="12" t="s">
        <v>10</v>
      </c>
      <c r="C10" s="134"/>
      <c r="D10" s="139">
        <v>2</v>
      </c>
      <c r="F10" s="140"/>
      <c r="G10" s="141"/>
      <c r="H10" s="140"/>
      <c r="I10" s="141"/>
      <c r="J10" s="140"/>
      <c r="K10" s="141"/>
      <c r="L10" s="140"/>
      <c r="M10" s="141"/>
      <c r="N10" s="140"/>
      <c r="O10" s="141"/>
      <c r="P10" s="138">
        <f t="shared" si="0"/>
        <v>0</v>
      </c>
    </row>
    <row r="11" spans="1:18" x14ac:dyDescent="0.25">
      <c r="A11" s="138">
        <v>1000054</v>
      </c>
      <c r="B11" s="12" t="s">
        <v>12</v>
      </c>
      <c r="C11" s="134"/>
      <c r="D11" s="139">
        <v>60</v>
      </c>
      <c r="F11" s="140"/>
      <c r="G11" s="141"/>
      <c r="H11" s="140"/>
      <c r="I11" s="141"/>
      <c r="J11" s="140"/>
      <c r="K11" s="141"/>
      <c r="L11" s="140"/>
      <c r="M11" s="141"/>
      <c r="N11" s="140"/>
      <c r="O11" s="141"/>
      <c r="P11" s="138">
        <f t="shared" si="0"/>
        <v>0</v>
      </c>
    </row>
    <row r="12" spans="1:18" x14ac:dyDescent="0.25">
      <c r="A12" s="138">
        <v>1000017</v>
      </c>
      <c r="B12" s="12" t="s">
        <v>14</v>
      </c>
      <c r="C12" s="134"/>
      <c r="D12" s="139">
        <v>20</v>
      </c>
      <c r="F12" s="140"/>
      <c r="G12" s="141"/>
      <c r="H12" s="140"/>
      <c r="I12" s="141"/>
      <c r="J12" s="140"/>
      <c r="K12" s="141"/>
      <c r="L12" s="140"/>
      <c r="M12" s="141"/>
      <c r="N12" s="140"/>
      <c r="O12" s="141"/>
      <c r="P12" s="138">
        <f t="shared" si="0"/>
        <v>0</v>
      </c>
    </row>
    <row r="13" spans="1:18" x14ac:dyDescent="0.25">
      <c r="A13" s="138">
        <v>1000016</v>
      </c>
      <c r="B13" s="12" t="s">
        <v>15</v>
      </c>
      <c r="C13" s="134"/>
      <c r="D13" s="139">
        <v>5</v>
      </c>
      <c r="F13" s="140"/>
      <c r="G13" s="141"/>
      <c r="H13" s="140"/>
      <c r="I13" s="141"/>
      <c r="J13" s="140"/>
      <c r="K13" s="141"/>
      <c r="L13" s="140"/>
      <c r="M13" s="141"/>
      <c r="N13" s="140"/>
      <c r="O13" s="141"/>
      <c r="P13" s="138">
        <f t="shared" si="0"/>
        <v>0</v>
      </c>
    </row>
    <row r="14" spans="1:18" ht="15.75" x14ac:dyDescent="0.25">
      <c r="A14" s="138">
        <v>1000041</v>
      </c>
      <c r="B14" s="12" t="s">
        <v>16</v>
      </c>
      <c r="C14" s="134"/>
      <c r="D14" s="139">
        <v>10</v>
      </c>
      <c r="F14" s="140"/>
      <c r="G14" s="141"/>
      <c r="H14" s="140"/>
      <c r="I14" s="141"/>
      <c r="J14" s="140"/>
      <c r="K14" s="141"/>
      <c r="L14" s="140"/>
      <c r="M14" s="141"/>
      <c r="N14" s="140"/>
      <c r="O14" s="141"/>
      <c r="P14" s="138">
        <f t="shared" si="0"/>
        <v>0</v>
      </c>
      <c r="R14" s="3"/>
    </row>
    <row r="15" spans="1:18" ht="15.75" x14ac:dyDescent="0.25">
      <c r="A15" s="138">
        <v>1000049</v>
      </c>
      <c r="B15" s="13" t="s">
        <v>21</v>
      </c>
      <c r="C15" s="134"/>
      <c r="D15" s="139">
        <v>1</v>
      </c>
      <c r="F15" s="140"/>
      <c r="G15" s="141"/>
      <c r="H15" s="140"/>
      <c r="I15" s="141"/>
      <c r="J15" s="140"/>
      <c r="K15" s="141"/>
      <c r="L15" s="140"/>
      <c r="M15" s="141"/>
      <c r="N15" s="140"/>
      <c r="O15" s="141"/>
      <c r="P15" s="138">
        <f t="shared" si="0"/>
        <v>0</v>
      </c>
      <c r="R15" s="3"/>
    </row>
    <row r="16" spans="1:18" x14ac:dyDescent="0.25">
      <c r="A16" s="138">
        <v>1000050</v>
      </c>
      <c r="B16" s="12" t="s">
        <v>22</v>
      </c>
      <c r="C16" s="134"/>
      <c r="D16" s="139">
        <v>1</v>
      </c>
      <c r="F16" s="140"/>
      <c r="G16" s="141"/>
      <c r="H16" s="140"/>
      <c r="I16" s="141"/>
      <c r="J16" s="140"/>
      <c r="K16" s="141"/>
      <c r="L16" s="140"/>
      <c r="M16" s="141"/>
      <c r="N16" s="140"/>
      <c r="O16" s="141"/>
      <c r="P16" s="138">
        <f t="shared" si="0"/>
        <v>0</v>
      </c>
    </row>
    <row r="17" spans="1:16" x14ac:dyDescent="0.25">
      <c r="A17" s="138">
        <v>1000045</v>
      </c>
      <c r="B17" s="12" t="s">
        <v>23</v>
      </c>
      <c r="C17" s="134"/>
      <c r="D17" s="139">
        <v>1</v>
      </c>
      <c r="F17" s="140"/>
      <c r="G17" s="141"/>
      <c r="H17" s="140"/>
      <c r="I17" s="141"/>
      <c r="J17" s="140"/>
      <c r="K17" s="141"/>
      <c r="L17" s="140"/>
      <c r="M17" s="141"/>
      <c r="N17" s="140"/>
      <c r="O17" s="141"/>
      <c r="P17" s="138">
        <f t="shared" si="0"/>
        <v>0</v>
      </c>
    </row>
    <row r="18" spans="1:16" x14ac:dyDescent="0.25">
      <c r="A18" s="138">
        <v>1000030</v>
      </c>
      <c r="B18" s="12" t="s">
        <v>24</v>
      </c>
      <c r="C18" s="134"/>
      <c r="D18" s="139">
        <v>4</v>
      </c>
      <c r="F18" s="140"/>
      <c r="G18" s="141"/>
      <c r="H18" s="140"/>
      <c r="I18" s="141"/>
      <c r="J18" s="140"/>
      <c r="K18" s="141"/>
      <c r="L18" s="140"/>
      <c r="M18" s="141"/>
      <c r="N18" s="140"/>
      <c r="O18" s="141"/>
      <c r="P18" s="138">
        <f t="shared" si="0"/>
        <v>0</v>
      </c>
    </row>
    <row r="19" spans="1:16" x14ac:dyDescent="0.25">
      <c r="A19" s="138">
        <v>1000031</v>
      </c>
      <c r="B19" s="12" t="s">
        <v>25</v>
      </c>
      <c r="C19" s="134"/>
      <c r="D19" s="139">
        <v>4</v>
      </c>
      <c r="F19" s="140"/>
      <c r="G19" s="141"/>
      <c r="H19" s="140"/>
      <c r="I19" s="141"/>
      <c r="J19" s="140"/>
      <c r="K19" s="141"/>
      <c r="L19" s="140"/>
      <c r="M19" s="141"/>
      <c r="N19" s="140"/>
      <c r="O19" s="141"/>
      <c r="P19" s="138">
        <f t="shared" si="0"/>
        <v>0</v>
      </c>
    </row>
    <row r="20" spans="1:16" x14ac:dyDescent="0.25">
      <c r="A20" s="138">
        <v>1000026</v>
      </c>
      <c r="B20" s="12" t="s">
        <v>31</v>
      </c>
      <c r="C20" s="134"/>
      <c r="D20" s="139">
        <v>4</v>
      </c>
      <c r="F20" s="140"/>
      <c r="G20" s="141"/>
      <c r="H20" s="140"/>
      <c r="I20" s="141"/>
      <c r="J20" s="140"/>
      <c r="K20" s="141"/>
      <c r="L20" s="140"/>
      <c r="M20" s="141"/>
      <c r="N20" s="140"/>
      <c r="O20" s="141"/>
      <c r="P20" s="138">
        <f t="shared" si="0"/>
        <v>0</v>
      </c>
    </row>
    <row r="21" spans="1:16" x14ac:dyDescent="0.25">
      <c r="A21" s="138">
        <v>1000027</v>
      </c>
      <c r="B21" s="12" t="s">
        <v>33</v>
      </c>
      <c r="C21" s="134"/>
      <c r="D21" s="139">
        <v>12</v>
      </c>
      <c r="F21" s="140"/>
      <c r="G21" s="141"/>
      <c r="H21" s="140"/>
      <c r="I21" s="141"/>
      <c r="J21" s="140"/>
      <c r="K21" s="141"/>
      <c r="L21" s="140"/>
      <c r="M21" s="141"/>
      <c r="N21" s="140"/>
      <c r="O21" s="141"/>
      <c r="P21" s="138">
        <f t="shared" si="0"/>
        <v>0</v>
      </c>
    </row>
    <row r="22" spans="1:16" x14ac:dyDescent="0.25">
      <c r="A22" s="138">
        <v>1000100</v>
      </c>
      <c r="B22" s="12" t="s">
        <v>34</v>
      </c>
      <c r="C22" s="134"/>
      <c r="D22" s="139">
        <v>1</v>
      </c>
      <c r="F22" s="140"/>
      <c r="G22" s="141"/>
      <c r="H22" s="140"/>
      <c r="I22" s="141"/>
      <c r="J22" s="140"/>
      <c r="K22" s="141"/>
      <c r="L22" s="140"/>
      <c r="M22" s="141"/>
      <c r="N22" s="140"/>
      <c r="O22" s="141"/>
      <c r="P22" s="138">
        <f t="shared" si="0"/>
        <v>0</v>
      </c>
    </row>
    <row r="23" spans="1:16" x14ac:dyDescent="0.25">
      <c r="A23" s="138">
        <v>1000082</v>
      </c>
      <c r="B23" s="12" t="s">
        <v>37</v>
      </c>
      <c r="C23" s="134"/>
      <c r="D23" s="139">
        <v>60</v>
      </c>
      <c r="F23" s="140"/>
      <c r="G23" s="141"/>
      <c r="H23" s="140"/>
      <c r="I23" s="141"/>
      <c r="J23" s="140"/>
      <c r="K23" s="141"/>
      <c r="L23" s="140"/>
      <c r="M23" s="141"/>
      <c r="N23" s="140"/>
      <c r="O23" s="141"/>
      <c r="P23" s="138">
        <f t="shared" si="0"/>
        <v>0</v>
      </c>
    </row>
    <row r="24" spans="1:16" x14ac:dyDescent="0.25">
      <c r="A24" s="138">
        <v>1000084</v>
      </c>
      <c r="B24" s="12" t="s">
        <v>38</v>
      </c>
      <c r="C24" s="134"/>
      <c r="D24" s="139">
        <v>30</v>
      </c>
      <c r="F24" s="140"/>
      <c r="G24" s="141"/>
      <c r="H24" s="140"/>
      <c r="I24" s="141"/>
      <c r="J24" s="140"/>
      <c r="K24" s="141"/>
      <c r="L24" s="140"/>
      <c r="M24" s="141"/>
      <c r="N24" s="140"/>
      <c r="O24" s="141"/>
      <c r="P24" s="138">
        <f t="shared" si="0"/>
        <v>0</v>
      </c>
    </row>
    <row r="25" spans="1:16" x14ac:dyDescent="0.25">
      <c r="A25" s="138">
        <v>1000052</v>
      </c>
      <c r="B25" s="12" t="s">
        <v>41</v>
      </c>
      <c r="C25" s="134"/>
      <c r="D25" s="139">
        <v>6</v>
      </c>
      <c r="F25" s="140"/>
      <c r="G25" s="141"/>
      <c r="H25" s="140"/>
      <c r="I25" s="141"/>
      <c r="J25" s="140"/>
      <c r="K25" s="141"/>
      <c r="L25" s="140"/>
      <c r="M25" s="141"/>
      <c r="N25" s="140"/>
      <c r="O25" s="141"/>
      <c r="P25" s="138">
        <f t="shared" si="0"/>
        <v>0</v>
      </c>
    </row>
    <row r="26" spans="1:16" x14ac:dyDescent="0.25">
      <c r="A26" s="138">
        <v>1000089</v>
      </c>
      <c r="B26" s="12" t="s">
        <v>42</v>
      </c>
      <c r="C26" s="134"/>
      <c r="D26" s="139">
        <v>6</v>
      </c>
      <c r="F26" s="140"/>
      <c r="G26" s="141"/>
      <c r="H26" s="140"/>
      <c r="I26" s="141"/>
      <c r="J26" s="140"/>
      <c r="K26" s="141"/>
      <c r="L26" s="140"/>
      <c r="M26" s="141"/>
      <c r="N26" s="140"/>
      <c r="O26" s="141"/>
      <c r="P26" s="138">
        <f t="shared" si="0"/>
        <v>0</v>
      </c>
    </row>
    <row r="27" spans="1:16" x14ac:dyDescent="0.25">
      <c r="A27" s="138">
        <v>1000051</v>
      </c>
      <c r="B27" s="12" t="s">
        <v>43</v>
      </c>
      <c r="C27" s="134"/>
      <c r="D27" s="139">
        <v>1</v>
      </c>
      <c r="F27" s="140"/>
      <c r="G27" s="141"/>
      <c r="H27" s="140"/>
      <c r="I27" s="141"/>
      <c r="J27" s="140"/>
      <c r="K27" s="141"/>
      <c r="L27" s="140"/>
      <c r="M27" s="141"/>
      <c r="N27" s="140"/>
      <c r="O27" s="141"/>
      <c r="P27" s="138">
        <f t="shared" si="0"/>
        <v>0</v>
      </c>
    </row>
    <row r="28" spans="1:16" x14ac:dyDescent="0.25">
      <c r="A28" s="138">
        <v>1000048</v>
      </c>
      <c r="B28" s="12" t="s">
        <v>45</v>
      </c>
      <c r="C28" s="134"/>
      <c r="D28" s="139">
        <v>1</v>
      </c>
      <c r="F28" s="140"/>
      <c r="G28" s="141"/>
      <c r="H28" s="140"/>
      <c r="I28" s="141"/>
      <c r="J28" s="140"/>
      <c r="K28" s="141"/>
      <c r="L28" s="140"/>
      <c r="M28" s="141"/>
      <c r="N28" s="140"/>
      <c r="O28" s="141"/>
      <c r="P28" s="138">
        <f t="shared" si="0"/>
        <v>0</v>
      </c>
    </row>
    <row r="29" spans="1:16" x14ac:dyDescent="0.25">
      <c r="A29" s="138">
        <v>1000142</v>
      </c>
      <c r="B29" s="12" t="s">
        <v>54</v>
      </c>
      <c r="C29" s="134"/>
      <c r="D29" s="139">
        <v>1</v>
      </c>
      <c r="F29" s="140"/>
      <c r="G29" s="141"/>
      <c r="H29" s="140"/>
      <c r="I29" s="141"/>
      <c r="J29" s="140"/>
      <c r="K29" s="141"/>
      <c r="L29" s="140"/>
      <c r="M29" s="141"/>
      <c r="N29" s="140"/>
      <c r="O29" s="141"/>
      <c r="P29" s="138">
        <f t="shared" si="0"/>
        <v>0</v>
      </c>
    </row>
    <row r="30" spans="1:16" x14ac:dyDescent="0.25">
      <c r="A30" s="138">
        <v>1000205</v>
      </c>
      <c r="B30" s="12" t="s">
        <v>82</v>
      </c>
      <c r="C30" s="134"/>
      <c r="D30" s="139">
        <v>1</v>
      </c>
      <c r="F30" s="140"/>
      <c r="G30" s="141"/>
      <c r="H30" s="140"/>
      <c r="I30" s="141"/>
      <c r="J30" s="140"/>
      <c r="K30" s="141"/>
      <c r="L30" s="140"/>
      <c r="M30" s="141"/>
      <c r="N30" s="140"/>
      <c r="O30" s="141"/>
      <c r="P30" s="138">
        <f t="shared" si="0"/>
        <v>0</v>
      </c>
    </row>
    <row r="31" spans="1:16" x14ac:dyDescent="0.25">
      <c r="A31" s="138">
        <v>1000070</v>
      </c>
      <c r="B31" s="12" t="s">
        <v>13</v>
      </c>
      <c r="C31" s="134"/>
      <c r="D31" s="139">
        <v>1</v>
      </c>
      <c r="F31" s="140"/>
      <c r="G31" s="141"/>
      <c r="H31" s="140"/>
      <c r="I31" s="141"/>
      <c r="J31" s="140"/>
      <c r="K31" s="141"/>
      <c r="L31" s="140"/>
      <c r="M31" s="141"/>
      <c r="N31" s="140"/>
      <c r="O31" s="141"/>
      <c r="P31" s="138">
        <f t="shared" si="0"/>
        <v>0</v>
      </c>
    </row>
    <row r="32" spans="1:16" s="15" customFormat="1" ht="15.95" customHeight="1" x14ac:dyDescent="0.25">
      <c r="A32" s="138">
        <v>1000067</v>
      </c>
      <c r="B32" s="12" t="s">
        <v>11</v>
      </c>
      <c r="C32" s="134"/>
      <c r="D32" s="139"/>
      <c r="E32" s="132"/>
      <c r="F32" s="140"/>
      <c r="G32" s="141"/>
      <c r="H32" s="140"/>
      <c r="I32" s="141"/>
      <c r="J32" s="140"/>
      <c r="K32" s="141"/>
      <c r="L32" s="140"/>
      <c r="M32" s="141"/>
      <c r="N32" s="140"/>
      <c r="O32" s="141"/>
      <c r="P32" s="138">
        <f t="shared" si="0"/>
        <v>0</v>
      </c>
    </row>
    <row r="33" spans="1:16" x14ac:dyDescent="0.25">
      <c r="A33" s="138">
        <v>1000146</v>
      </c>
      <c r="B33" s="12" t="s">
        <v>39</v>
      </c>
      <c r="C33" s="134"/>
      <c r="D33" s="139"/>
      <c r="F33" s="140"/>
      <c r="G33" s="141"/>
      <c r="H33" s="140"/>
      <c r="I33" s="141"/>
      <c r="J33" s="140"/>
      <c r="K33" s="141"/>
      <c r="L33" s="140"/>
      <c r="M33" s="141"/>
      <c r="N33" s="140"/>
      <c r="O33" s="141"/>
      <c r="P33" s="138">
        <f t="shared" si="0"/>
        <v>0</v>
      </c>
    </row>
    <row r="34" spans="1:16" x14ac:dyDescent="0.25">
      <c r="A34" s="138">
        <v>1000032</v>
      </c>
      <c r="B34" s="12" t="s">
        <v>26</v>
      </c>
      <c r="C34" s="134"/>
      <c r="D34" s="139"/>
      <c r="F34" s="140"/>
      <c r="G34" s="141"/>
      <c r="H34" s="140"/>
      <c r="I34" s="141"/>
      <c r="J34" s="140"/>
      <c r="K34" s="141"/>
      <c r="L34" s="140"/>
      <c r="M34" s="141"/>
      <c r="N34" s="140"/>
      <c r="O34" s="141"/>
      <c r="P34" s="138">
        <f t="shared" si="0"/>
        <v>0</v>
      </c>
    </row>
    <row r="35" spans="1:16" x14ac:dyDescent="0.25">
      <c r="A35" s="138">
        <v>1000087</v>
      </c>
      <c r="B35" s="12" t="s">
        <v>197</v>
      </c>
      <c r="C35" s="134"/>
      <c r="D35" s="139"/>
      <c r="F35" s="140"/>
      <c r="G35" s="141"/>
      <c r="H35" s="140"/>
      <c r="I35" s="141"/>
      <c r="J35" s="140"/>
      <c r="K35" s="141"/>
      <c r="L35" s="140"/>
      <c r="M35" s="141"/>
      <c r="N35" s="140"/>
      <c r="O35" s="141"/>
      <c r="P35" s="138">
        <f t="shared" si="0"/>
        <v>0</v>
      </c>
    </row>
    <row r="36" spans="1:16" x14ac:dyDescent="0.25">
      <c r="A36" s="138">
        <v>1000011</v>
      </c>
      <c r="B36" s="12" t="s">
        <v>18</v>
      </c>
      <c r="C36" s="134"/>
      <c r="D36" s="139"/>
      <c r="F36" s="140"/>
      <c r="G36" s="141"/>
      <c r="H36" s="140"/>
      <c r="I36" s="141"/>
      <c r="J36" s="140"/>
      <c r="K36" s="141"/>
      <c r="L36" s="140"/>
      <c r="M36" s="141"/>
      <c r="N36" s="140"/>
      <c r="O36" s="141"/>
      <c r="P36" s="138">
        <f t="shared" si="0"/>
        <v>0</v>
      </c>
    </row>
    <row r="37" spans="1:16" x14ac:dyDescent="0.25">
      <c r="A37" s="138">
        <v>1000075</v>
      </c>
      <c r="B37" s="12" t="s">
        <v>47</v>
      </c>
      <c r="C37" s="134"/>
      <c r="D37" s="139"/>
      <c r="F37" s="140"/>
      <c r="G37" s="141"/>
      <c r="H37" s="140"/>
      <c r="I37" s="141"/>
      <c r="J37" s="140"/>
      <c r="K37" s="141"/>
      <c r="L37" s="140"/>
      <c r="M37" s="141"/>
      <c r="N37" s="140"/>
      <c r="O37" s="141"/>
      <c r="P37" s="138">
        <f t="shared" si="0"/>
        <v>0</v>
      </c>
    </row>
    <row r="38" spans="1:16" x14ac:dyDescent="0.25">
      <c r="A38" s="138">
        <v>1000147</v>
      </c>
      <c r="B38" s="12" t="s">
        <v>52</v>
      </c>
      <c r="C38" s="134"/>
      <c r="D38" s="139"/>
      <c r="F38" s="140"/>
      <c r="G38" s="141"/>
      <c r="H38" s="140"/>
      <c r="I38" s="141"/>
      <c r="J38" s="140"/>
      <c r="K38" s="141"/>
      <c r="L38" s="140"/>
      <c r="M38" s="141"/>
      <c r="N38" s="140"/>
      <c r="O38" s="141"/>
      <c r="P38" s="138">
        <f t="shared" si="0"/>
        <v>0</v>
      </c>
    </row>
    <row r="39" spans="1:16" x14ac:dyDescent="0.25">
      <c r="A39" s="138">
        <v>10000102</v>
      </c>
      <c r="B39" s="12" t="s">
        <v>2</v>
      </c>
      <c r="C39" s="134"/>
      <c r="D39" s="139"/>
      <c r="F39" s="140"/>
      <c r="G39" s="141"/>
      <c r="H39" s="140"/>
      <c r="I39" s="141"/>
      <c r="J39" s="140"/>
      <c r="K39" s="141"/>
      <c r="L39" s="140"/>
      <c r="M39" s="141"/>
      <c r="N39" s="140"/>
      <c r="O39" s="141"/>
      <c r="P39" s="138">
        <f t="shared" si="0"/>
        <v>0</v>
      </c>
    </row>
    <row r="40" spans="1:16" x14ac:dyDescent="0.25">
      <c r="A40" s="138">
        <v>1000029</v>
      </c>
      <c r="B40" s="12" t="s">
        <v>30</v>
      </c>
      <c r="C40" s="134"/>
      <c r="D40" s="139"/>
      <c r="F40" s="140"/>
      <c r="G40" s="141"/>
      <c r="H40" s="140"/>
      <c r="I40" s="141"/>
      <c r="J40" s="140"/>
      <c r="K40" s="141"/>
      <c r="L40" s="140"/>
      <c r="M40" s="141"/>
      <c r="N40" s="140"/>
      <c r="O40" s="141"/>
      <c r="P40" s="138">
        <f t="shared" si="0"/>
        <v>0</v>
      </c>
    </row>
    <row r="41" spans="1:16" x14ac:dyDescent="0.25">
      <c r="A41" s="138">
        <v>1000073</v>
      </c>
      <c r="B41" s="12" t="s">
        <v>36</v>
      </c>
      <c r="C41" s="134"/>
      <c r="D41" s="139"/>
      <c r="F41" s="140"/>
      <c r="G41" s="141"/>
      <c r="H41" s="140"/>
      <c r="I41" s="141"/>
      <c r="J41" s="140"/>
      <c r="K41" s="141"/>
      <c r="L41" s="140"/>
      <c r="M41" s="141"/>
      <c r="N41" s="140"/>
      <c r="O41" s="141"/>
      <c r="P41" s="138">
        <f t="shared" si="0"/>
        <v>0</v>
      </c>
    </row>
    <row r="42" spans="1:16" x14ac:dyDescent="0.25">
      <c r="A42" s="138">
        <v>1000076</v>
      </c>
      <c r="B42" s="12" t="s">
        <v>46</v>
      </c>
      <c r="C42" s="134"/>
      <c r="D42" s="139"/>
      <c r="F42" s="140"/>
      <c r="G42" s="141"/>
      <c r="H42" s="140"/>
      <c r="I42" s="141"/>
      <c r="J42" s="140"/>
      <c r="K42" s="141"/>
      <c r="L42" s="140"/>
      <c r="M42" s="141"/>
      <c r="N42" s="140"/>
      <c r="O42" s="141"/>
      <c r="P42" s="138">
        <f t="shared" si="0"/>
        <v>0</v>
      </c>
    </row>
    <row r="43" spans="1:16" x14ac:dyDescent="0.25">
      <c r="A43" s="138">
        <v>10211</v>
      </c>
      <c r="B43" s="12" t="s">
        <v>3</v>
      </c>
      <c r="C43" s="134"/>
      <c r="D43" s="139"/>
      <c r="F43" s="140"/>
      <c r="G43" s="141"/>
      <c r="H43" s="140"/>
      <c r="I43" s="141"/>
      <c r="J43" s="140"/>
      <c r="K43" s="141"/>
      <c r="L43" s="140"/>
      <c r="M43" s="141"/>
      <c r="N43" s="140"/>
      <c r="O43" s="141"/>
      <c r="P43" s="138">
        <f t="shared" si="0"/>
        <v>0</v>
      </c>
    </row>
    <row r="44" spans="1:16" x14ac:dyDescent="0.25">
      <c r="A44" s="138">
        <v>1000007</v>
      </c>
      <c r="B44" s="12" t="s">
        <v>5</v>
      </c>
      <c r="C44" s="134"/>
      <c r="D44" s="139"/>
      <c r="F44" s="140"/>
      <c r="G44" s="141"/>
      <c r="H44" s="140"/>
      <c r="I44" s="141"/>
      <c r="J44" s="140"/>
      <c r="K44" s="141"/>
      <c r="L44" s="140"/>
      <c r="M44" s="141"/>
      <c r="N44" s="140"/>
      <c r="O44" s="141"/>
      <c r="P44" s="138">
        <f t="shared" si="0"/>
        <v>0</v>
      </c>
    </row>
    <row r="45" spans="1:16" x14ac:dyDescent="0.25">
      <c r="A45" s="138">
        <v>1000033</v>
      </c>
      <c r="B45" s="12" t="s">
        <v>27</v>
      </c>
      <c r="C45" s="134"/>
      <c r="D45" s="139"/>
      <c r="F45" s="140"/>
      <c r="G45" s="141"/>
      <c r="H45" s="140"/>
      <c r="I45" s="141"/>
      <c r="J45" s="140"/>
      <c r="K45" s="141"/>
      <c r="L45" s="140"/>
      <c r="M45" s="141"/>
      <c r="N45" s="140"/>
      <c r="O45" s="141"/>
      <c r="P45" s="138">
        <f t="shared" si="0"/>
        <v>0</v>
      </c>
    </row>
    <row r="46" spans="1:16" x14ac:dyDescent="0.25">
      <c r="A46" s="138">
        <v>10248</v>
      </c>
      <c r="B46" s="12" t="s">
        <v>183</v>
      </c>
      <c r="C46" s="134"/>
      <c r="D46" s="139"/>
      <c r="F46" s="140"/>
      <c r="G46" s="141"/>
      <c r="H46" s="140"/>
      <c r="I46" s="141"/>
      <c r="J46" s="140"/>
      <c r="K46" s="141"/>
      <c r="L46" s="140"/>
      <c r="M46" s="141"/>
      <c r="N46" s="140"/>
      <c r="O46" s="141"/>
      <c r="P46" s="138">
        <f t="shared" si="0"/>
        <v>0</v>
      </c>
    </row>
    <row r="47" spans="1:16" x14ac:dyDescent="0.25">
      <c r="A47" s="138">
        <v>1000061</v>
      </c>
      <c r="B47" s="12" t="s">
        <v>217</v>
      </c>
      <c r="C47" s="134"/>
      <c r="D47" s="139"/>
      <c r="F47" s="140"/>
      <c r="G47" s="141"/>
      <c r="H47" s="140"/>
      <c r="I47" s="141"/>
      <c r="J47" s="140"/>
      <c r="K47" s="141"/>
      <c r="L47" s="140"/>
      <c r="M47" s="141"/>
      <c r="N47" s="140"/>
      <c r="O47" s="141"/>
      <c r="P47" s="138">
        <f t="shared" si="0"/>
        <v>0</v>
      </c>
    </row>
    <row r="48" spans="1:16" x14ac:dyDescent="0.25">
      <c r="A48" s="138">
        <v>1000025</v>
      </c>
      <c r="B48" s="12" t="s">
        <v>32</v>
      </c>
      <c r="C48" s="134"/>
      <c r="D48" s="139"/>
      <c r="F48" s="140"/>
      <c r="G48" s="141"/>
      <c r="H48" s="140"/>
      <c r="I48" s="141"/>
      <c r="J48" s="140"/>
      <c r="K48" s="141"/>
      <c r="L48" s="140"/>
      <c r="M48" s="141"/>
      <c r="N48" s="140"/>
      <c r="O48" s="141"/>
      <c r="P48" s="138">
        <f t="shared" si="0"/>
        <v>0</v>
      </c>
    </row>
    <row r="49" spans="1:16" x14ac:dyDescent="0.25">
      <c r="A49" s="138">
        <v>1000067</v>
      </c>
      <c r="B49" s="12" t="s">
        <v>11</v>
      </c>
      <c r="C49" s="134"/>
      <c r="D49" s="139"/>
      <c r="F49" s="140"/>
      <c r="G49" s="141"/>
      <c r="H49" s="140"/>
      <c r="I49" s="141"/>
      <c r="J49" s="140"/>
      <c r="K49" s="141"/>
      <c r="L49" s="140"/>
      <c r="M49" s="141"/>
      <c r="N49" s="140"/>
      <c r="O49" s="141"/>
      <c r="P49" s="138">
        <f t="shared" si="0"/>
        <v>0</v>
      </c>
    </row>
    <row r="50" spans="1:16" x14ac:dyDescent="0.25">
      <c r="A50" s="138">
        <v>1000472</v>
      </c>
      <c r="B50" s="12" t="s">
        <v>222</v>
      </c>
      <c r="C50" s="134"/>
      <c r="D50" s="139"/>
      <c r="F50" s="140"/>
      <c r="G50" s="141"/>
      <c r="H50" s="140"/>
      <c r="I50" s="141"/>
      <c r="J50" s="140"/>
      <c r="K50" s="141"/>
      <c r="L50" s="140"/>
      <c r="M50" s="141"/>
      <c r="N50" s="140"/>
      <c r="O50" s="141"/>
      <c r="P50" s="138">
        <f t="shared" si="0"/>
        <v>0</v>
      </c>
    </row>
    <row r="51" spans="1:16" x14ac:dyDescent="0.25">
      <c r="A51" s="138">
        <v>1000090</v>
      </c>
      <c r="B51" s="12" t="s">
        <v>40</v>
      </c>
      <c r="C51" s="134"/>
      <c r="D51" s="139"/>
      <c r="F51" s="140"/>
      <c r="G51" s="141"/>
      <c r="H51" s="140"/>
      <c r="I51" s="141"/>
      <c r="J51" s="140"/>
      <c r="K51" s="141"/>
      <c r="L51" s="140"/>
      <c r="M51" s="141"/>
      <c r="N51" s="140"/>
      <c r="O51" s="141"/>
      <c r="P51" s="138">
        <f t="shared" si="0"/>
        <v>0</v>
      </c>
    </row>
    <row r="52" spans="1:16" x14ac:dyDescent="0.25">
      <c r="A52" s="138">
        <v>1000383</v>
      </c>
      <c r="B52" s="12" t="s">
        <v>264</v>
      </c>
      <c r="C52" s="134"/>
      <c r="D52" s="139"/>
      <c r="F52" s="140"/>
      <c r="G52" s="141"/>
      <c r="H52" s="140"/>
      <c r="I52" s="141"/>
      <c r="J52" s="140"/>
      <c r="K52" s="141"/>
      <c r="L52" s="140"/>
      <c r="M52" s="141"/>
      <c r="N52" s="140"/>
      <c r="O52" s="141"/>
      <c r="P52" s="138">
        <f t="shared" si="0"/>
        <v>0</v>
      </c>
    </row>
    <row r="53" spans="1:16" x14ac:dyDescent="0.25">
      <c r="A53" s="138">
        <v>1000486</v>
      </c>
      <c r="B53" s="12" t="s">
        <v>263</v>
      </c>
      <c r="C53" s="134"/>
      <c r="D53" s="139"/>
      <c r="F53" s="140"/>
      <c r="G53" s="141"/>
      <c r="H53" s="140"/>
      <c r="I53" s="141"/>
      <c r="J53" s="140"/>
      <c r="K53" s="141"/>
      <c r="L53" s="140"/>
      <c r="M53" s="141"/>
      <c r="N53" s="140"/>
      <c r="O53" s="141"/>
      <c r="P53" s="138">
        <f t="shared" si="0"/>
        <v>0</v>
      </c>
    </row>
    <row r="54" spans="1:16" x14ac:dyDescent="0.25">
      <c r="A54" s="138">
        <v>1000080</v>
      </c>
      <c r="B54" s="12" t="s">
        <v>275</v>
      </c>
      <c r="C54" s="134"/>
      <c r="D54" s="139"/>
      <c r="F54" s="140"/>
      <c r="G54" s="141"/>
      <c r="H54" s="140"/>
      <c r="I54" s="141"/>
      <c r="J54" s="140"/>
      <c r="K54" s="141"/>
      <c r="L54" s="140"/>
      <c r="M54" s="141"/>
      <c r="N54" s="140"/>
      <c r="O54" s="141"/>
      <c r="P54" s="138">
        <f t="shared" si="0"/>
        <v>0</v>
      </c>
    </row>
    <row r="55" spans="1:16" x14ac:dyDescent="0.25">
      <c r="A55" s="138">
        <v>1000436</v>
      </c>
      <c r="B55" s="12" t="s">
        <v>276</v>
      </c>
      <c r="C55" s="134"/>
      <c r="D55" s="139"/>
      <c r="F55" s="140"/>
      <c r="G55" s="141"/>
      <c r="H55" s="140"/>
      <c r="I55" s="141"/>
      <c r="J55" s="140"/>
      <c r="K55" s="141"/>
      <c r="L55" s="140"/>
      <c r="M55" s="141"/>
      <c r="N55" s="140"/>
      <c r="O55" s="141"/>
      <c r="P55" s="138">
        <f t="shared" si="0"/>
        <v>0</v>
      </c>
    </row>
    <row r="56" spans="1:16" x14ac:dyDescent="0.25">
      <c r="A56" s="138">
        <v>1000550</v>
      </c>
      <c r="B56" s="12" t="s">
        <v>277</v>
      </c>
      <c r="C56" s="134"/>
      <c r="D56" s="139"/>
      <c r="F56" s="140"/>
      <c r="G56" s="141"/>
      <c r="H56" s="140"/>
      <c r="I56" s="141"/>
      <c r="J56" s="140"/>
      <c r="K56" s="141"/>
      <c r="L56" s="140"/>
      <c r="M56" s="141"/>
      <c r="N56" s="140"/>
      <c r="O56" s="141"/>
      <c r="P56" s="138">
        <f t="shared" si="0"/>
        <v>0</v>
      </c>
    </row>
    <row r="57" spans="1:16" ht="15.75" x14ac:dyDescent="0.25">
      <c r="A57" s="36">
        <v>1000551</v>
      </c>
      <c r="B57" s="12" t="s">
        <v>278</v>
      </c>
      <c r="C57"/>
      <c r="D57" s="35"/>
      <c r="E57" s="215"/>
      <c r="F57" s="33"/>
      <c r="G57" s="34"/>
      <c r="H57" s="33"/>
      <c r="I57" s="34"/>
      <c r="J57" s="33"/>
      <c r="K57" s="34"/>
      <c r="L57" s="33"/>
      <c r="M57" s="34"/>
      <c r="N57" s="33"/>
      <c r="O57" s="34"/>
      <c r="P57" s="44">
        <f t="shared" si="0"/>
        <v>0</v>
      </c>
    </row>
    <row r="58" spans="1:16" ht="16.5" thickBot="1" x14ac:dyDescent="0.3">
      <c r="A58" s="207">
        <v>1000552</v>
      </c>
      <c r="B58" s="246" t="s">
        <v>279</v>
      </c>
      <c r="C58"/>
      <c r="D58" s="38"/>
      <c r="E58" s="215"/>
      <c r="F58" s="39"/>
      <c r="G58" s="40"/>
      <c r="H58" s="39"/>
      <c r="I58" s="40"/>
      <c r="J58" s="39"/>
      <c r="K58" s="40"/>
      <c r="L58" s="39"/>
      <c r="M58" s="40"/>
      <c r="N58" s="39"/>
      <c r="O58" s="40"/>
      <c r="P58" s="38">
        <f t="shared" si="0"/>
        <v>0</v>
      </c>
    </row>
  </sheetData>
  <mergeCells count="2">
    <mergeCell ref="A1:B2"/>
    <mergeCell ref="F1:J2"/>
  </mergeCells>
  <pageMargins left="0.7" right="0.7" top="0.75" bottom="0.75" header="0.3" footer="0.3"/>
  <pageSetup paperSize="9" scale="55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5318-BD41-404D-8DD6-B4A483EE1DAE}">
  <sheetPr>
    <tabColor rgb="FFFF0000"/>
    <pageSetUpPr fitToPage="1"/>
  </sheetPr>
  <dimension ref="A1:P45"/>
  <sheetViews>
    <sheetView topLeftCell="A10" zoomScale="85" zoomScaleNormal="85" workbookViewId="0">
      <selection activeCell="A33" sqref="A33:B33"/>
    </sheetView>
  </sheetViews>
  <sheetFormatPr baseColWidth="10" defaultColWidth="10.875" defaultRowHeight="15" x14ac:dyDescent="0.25"/>
  <cols>
    <col min="1" max="1" width="10.375" style="27" customWidth="1"/>
    <col min="2" max="2" width="39.375" style="27" customWidth="1"/>
    <col min="3" max="3" width="1.375" style="27" customWidth="1"/>
    <col min="4" max="4" width="8.5" style="27" bestFit="1" customWidth="1"/>
    <col min="5" max="5" width="2.375" style="27" customWidth="1"/>
    <col min="6" max="6" width="9.375" style="27" bestFit="1" customWidth="1"/>
    <col min="7" max="7" width="6.75" style="27" customWidth="1"/>
    <col min="8" max="8" width="9.375" style="27" bestFit="1" customWidth="1"/>
    <col min="9" max="9" width="6.875" style="27" customWidth="1"/>
    <col min="10" max="10" width="9.375" style="27" bestFit="1" customWidth="1"/>
    <col min="11" max="11" width="6" style="27" customWidth="1"/>
    <col min="12" max="12" width="9.375" style="27" bestFit="1" customWidth="1"/>
    <col min="13" max="13" width="5.5" style="27" customWidth="1"/>
    <col min="14" max="14" width="9.375" style="27" bestFit="1" customWidth="1"/>
    <col min="15" max="15" width="5.625" style="27" customWidth="1"/>
    <col min="16" max="16" width="9.875" style="27" customWidth="1"/>
    <col min="17" max="16384" width="10.875" style="27"/>
  </cols>
  <sheetData>
    <row r="1" spans="1:16" ht="15" customHeight="1" x14ac:dyDescent="0.45">
      <c r="A1" s="686" t="s">
        <v>179</v>
      </c>
      <c r="B1" s="687"/>
      <c r="C1" s="18"/>
      <c r="F1" s="751" t="s">
        <v>474</v>
      </c>
      <c r="G1" s="752"/>
      <c r="H1" s="752"/>
      <c r="I1" s="752"/>
      <c r="J1" s="753"/>
      <c r="K1" s="2"/>
      <c r="L1"/>
      <c r="M1"/>
      <c r="N1"/>
    </row>
    <row r="2" spans="1:16" s="3" customFormat="1" ht="16.5" customHeight="1" thickBot="1" x14ac:dyDescent="0.5">
      <c r="A2" s="688"/>
      <c r="B2" s="689"/>
      <c r="C2" s="18"/>
      <c r="D2" s="428" t="s">
        <v>305</v>
      </c>
      <c r="F2" s="754"/>
      <c r="G2" s="755"/>
      <c r="H2" s="755"/>
      <c r="I2" s="755"/>
      <c r="J2" s="756"/>
      <c r="K2" s="2"/>
      <c r="L2"/>
      <c r="M2"/>
      <c r="N2"/>
    </row>
    <row r="3" spans="1:16" s="3" customFormat="1" ht="24.75" customHeight="1" thickBot="1" x14ac:dyDescent="0.3">
      <c r="A3" s="5"/>
      <c r="B3" s="340" t="s">
        <v>341</v>
      </c>
      <c r="C3" s="18"/>
      <c r="D3" s="4"/>
      <c r="L3"/>
      <c r="M3"/>
      <c r="N3"/>
    </row>
    <row r="4" spans="1:16" s="3" customFormat="1" ht="16.5" customHeight="1" thickBot="1" x14ac:dyDescent="0.3">
      <c r="A4" s="6" t="s">
        <v>0</v>
      </c>
      <c r="B4" s="6" t="s">
        <v>178</v>
      </c>
      <c r="C4" s="4"/>
      <c r="D4" s="7" t="s">
        <v>106</v>
      </c>
      <c r="E4" s="27"/>
      <c r="F4" s="19" t="s">
        <v>327</v>
      </c>
      <c r="G4" s="20" t="s">
        <v>325</v>
      </c>
      <c r="H4" s="19" t="s">
        <v>310</v>
      </c>
      <c r="I4" s="20" t="s">
        <v>325</v>
      </c>
      <c r="J4" s="19" t="s">
        <v>311</v>
      </c>
      <c r="K4" s="20" t="s">
        <v>325</v>
      </c>
      <c r="L4" s="19" t="s">
        <v>312</v>
      </c>
      <c r="M4" s="20" t="s">
        <v>325</v>
      </c>
      <c r="N4" s="19" t="s">
        <v>313</v>
      </c>
      <c r="O4" s="20" t="s">
        <v>325</v>
      </c>
      <c r="P4" s="21" t="s">
        <v>98</v>
      </c>
    </row>
    <row r="5" spans="1:16" ht="15.75" thickBot="1" x14ac:dyDescent="0.3">
      <c r="A5" s="30">
        <v>10000015</v>
      </c>
      <c r="B5" s="11" t="s">
        <v>1</v>
      </c>
      <c r="C5" s="41"/>
      <c r="D5" s="42">
        <v>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418">
        <f t="shared" ref="P5:P45" si="0">SUM(F5:O5)</f>
        <v>0</v>
      </c>
    </row>
    <row r="6" spans="1:16" ht="15.75" thickBot="1" x14ac:dyDescent="0.3">
      <c r="A6" s="35">
        <v>1000006</v>
      </c>
      <c r="B6" s="12" t="s">
        <v>4</v>
      </c>
      <c r="C6" s="41"/>
      <c r="D6" s="43">
        <v>100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418">
        <f t="shared" si="0"/>
        <v>0</v>
      </c>
    </row>
    <row r="7" spans="1:16" ht="15.75" thickBot="1" x14ac:dyDescent="0.3">
      <c r="A7" s="35">
        <v>1000007</v>
      </c>
      <c r="B7" s="12" t="s">
        <v>5</v>
      </c>
      <c r="C7" s="41"/>
      <c r="D7" s="43">
        <v>50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418">
        <f t="shared" si="0"/>
        <v>0</v>
      </c>
    </row>
    <row r="8" spans="1:16" ht="15.75" thickBot="1" x14ac:dyDescent="0.3">
      <c r="A8" s="35">
        <v>1000008</v>
      </c>
      <c r="B8" s="12" t="s">
        <v>7</v>
      </c>
      <c r="C8" s="41"/>
      <c r="D8" s="43">
        <v>10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30">
        <f t="shared" si="0"/>
        <v>0</v>
      </c>
    </row>
    <row r="9" spans="1:16" ht="15.75" thickBot="1" x14ac:dyDescent="0.3">
      <c r="A9" s="35">
        <v>1000001</v>
      </c>
      <c r="B9" s="12" t="s">
        <v>8</v>
      </c>
      <c r="C9" s="41"/>
      <c r="D9" s="43">
        <v>4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418">
        <f t="shared" si="0"/>
        <v>0</v>
      </c>
    </row>
    <row r="10" spans="1:16" ht="15.75" thickBot="1" x14ac:dyDescent="0.3">
      <c r="A10" s="35">
        <v>1000002</v>
      </c>
      <c r="B10" s="12" t="s">
        <v>9</v>
      </c>
      <c r="C10" s="41"/>
      <c r="D10" s="43">
        <v>2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418">
        <f t="shared" si="0"/>
        <v>0</v>
      </c>
    </row>
    <row r="11" spans="1:16" ht="15.75" thickBot="1" x14ac:dyDescent="0.3">
      <c r="A11" s="35">
        <v>1000067</v>
      </c>
      <c r="B11" s="12" t="s">
        <v>11</v>
      </c>
      <c r="C11" s="41"/>
      <c r="D11" s="43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418">
        <f t="shared" si="0"/>
        <v>0</v>
      </c>
    </row>
    <row r="12" spans="1:16" ht="15.75" thickBot="1" x14ac:dyDescent="0.3">
      <c r="A12" s="35">
        <v>1000054</v>
      </c>
      <c r="B12" s="12" t="s">
        <v>12</v>
      </c>
      <c r="C12" s="41"/>
      <c r="D12" s="43">
        <v>5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18">
        <f t="shared" si="0"/>
        <v>0</v>
      </c>
    </row>
    <row r="13" spans="1:16" ht="15.75" thickBot="1" x14ac:dyDescent="0.3">
      <c r="A13" s="35">
        <v>1000017</v>
      </c>
      <c r="B13" s="12" t="s">
        <v>14</v>
      </c>
      <c r="C13" s="41"/>
      <c r="D13" s="43">
        <v>5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418">
        <f t="shared" si="0"/>
        <v>0</v>
      </c>
    </row>
    <row r="14" spans="1:16" ht="15.75" thickBot="1" x14ac:dyDescent="0.3">
      <c r="A14" s="35">
        <v>1000146</v>
      </c>
      <c r="B14" s="12" t="s">
        <v>39</v>
      </c>
      <c r="C14" s="41"/>
      <c r="D14" s="43">
        <v>10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418">
        <f t="shared" si="0"/>
        <v>0</v>
      </c>
    </row>
    <row r="15" spans="1:16" ht="15.75" thickBot="1" x14ac:dyDescent="0.3">
      <c r="A15" s="35">
        <v>1000090</v>
      </c>
      <c r="B15" s="12" t="s">
        <v>40</v>
      </c>
      <c r="C15" s="41"/>
      <c r="D15" s="43">
        <v>6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>
        <f t="shared" si="0"/>
        <v>0</v>
      </c>
    </row>
    <row r="16" spans="1:16" ht="15.75" thickBot="1" x14ac:dyDescent="0.3">
      <c r="A16" s="35">
        <v>1000052</v>
      </c>
      <c r="B16" s="12" t="s">
        <v>41</v>
      </c>
      <c r="C16" s="41"/>
      <c r="D16" s="43">
        <v>6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418">
        <f t="shared" si="0"/>
        <v>0</v>
      </c>
    </row>
    <row r="17" spans="1:16" ht="15.75" thickBot="1" x14ac:dyDescent="0.3">
      <c r="A17" s="35">
        <v>1000089</v>
      </c>
      <c r="B17" s="12" t="s">
        <v>42</v>
      </c>
      <c r="C17" s="41"/>
      <c r="D17" s="43">
        <v>2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418">
        <f t="shared" si="0"/>
        <v>0</v>
      </c>
    </row>
    <row r="18" spans="1:16" ht="32.25" thickBot="1" x14ac:dyDescent="0.55000000000000004">
      <c r="A18" s="35">
        <v>1000051</v>
      </c>
      <c r="B18" s="12" t="s">
        <v>43</v>
      </c>
      <c r="C18" s="41"/>
      <c r="D18" s="43">
        <v>2</v>
      </c>
      <c r="F18" s="28"/>
      <c r="G18" s="28"/>
      <c r="H18" s="649" t="s">
        <v>476</v>
      </c>
      <c r="I18" s="28"/>
      <c r="J18" s="28"/>
      <c r="K18" s="28"/>
      <c r="L18" s="28"/>
      <c r="M18" s="28"/>
      <c r="N18" s="28"/>
      <c r="O18" s="28"/>
      <c r="P18" s="418">
        <f t="shared" si="0"/>
        <v>0</v>
      </c>
    </row>
    <row r="19" spans="1:16" ht="15.75" thickBot="1" x14ac:dyDescent="0.3">
      <c r="A19" s="35">
        <v>1000048</v>
      </c>
      <c r="B19" s="12" t="s">
        <v>45</v>
      </c>
      <c r="C19" s="41"/>
      <c r="D19" s="43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>
        <f t="shared" si="0"/>
        <v>0</v>
      </c>
    </row>
    <row r="20" spans="1:16" ht="15.75" thickBot="1" x14ac:dyDescent="0.3">
      <c r="A20" s="35">
        <v>1000092</v>
      </c>
      <c r="B20" s="12" t="s">
        <v>51</v>
      </c>
      <c r="C20" s="41"/>
      <c r="D20" s="43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0">
        <f t="shared" si="0"/>
        <v>0</v>
      </c>
    </row>
    <row r="21" spans="1:16" ht="15.75" thickBot="1" x14ac:dyDescent="0.3">
      <c r="A21" s="35">
        <v>1000030</v>
      </c>
      <c r="B21" s="12" t="s">
        <v>24</v>
      </c>
      <c r="C21" s="41"/>
      <c r="D21" s="4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0">
        <f t="shared" si="0"/>
        <v>0</v>
      </c>
    </row>
    <row r="22" spans="1:16" ht="15.75" thickBot="1" x14ac:dyDescent="0.3">
      <c r="A22" s="35">
        <v>1000087</v>
      </c>
      <c r="B22" s="12" t="s">
        <v>69</v>
      </c>
      <c r="C22" s="41"/>
      <c r="D22" s="4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0">
        <f t="shared" si="0"/>
        <v>0</v>
      </c>
    </row>
    <row r="23" spans="1:16" ht="15.75" thickBot="1" x14ac:dyDescent="0.3">
      <c r="A23" s="35">
        <v>1000025</v>
      </c>
      <c r="B23" s="12" t="s">
        <v>32</v>
      </c>
      <c r="C23" s="41"/>
      <c r="D23" s="4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0">
        <f t="shared" si="0"/>
        <v>0</v>
      </c>
    </row>
    <row r="24" spans="1:16" ht="15.75" thickBot="1" x14ac:dyDescent="0.3">
      <c r="A24" s="35">
        <v>1000084</v>
      </c>
      <c r="B24" s="12" t="s">
        <v>38</v>
      </c>
      <c r="C24" s="41"/>
      <c r="D24" s="4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418">
        <f t="shared" si="0"/>
        <v>0</v>
      </c>
    </row>
    <row r="25" spans="1:16" ht="15.75" thickBot="1" x14ac:dyDescent="0.3">
      <c r="A25" s="35">
        <v>1000070</v>
      </c>
      <c r="B25" s="12" t="s">
        <v>13</v>
      </c>
      <c r="C25" s="41"/>
      <c r="D25" s="43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418">
        <f t="shared" si="0"/>
        <v>0</v>
      </c>
    </row>
    <row r="26" spans="1:16" ht="15.75" thickBot="1" x14ac:dyDescent="0.3">
      <c r="A26" s="35">
        <v>1000004</v>
      </c>
      <c r="B26" s="12" t="s">
        <v>10</v>
      </c>
      <c r="C26" s="41"/>
      <c r="D26" s="4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0">
        <f t="shared" si="0"/>
        <v>0</v>
      </c>
    </row>
    <row r="27" spans="1:16" ht="15.75" thickBot="1" x14ac:dyDescent="0.3">
      <c r="A27" s="35">
        <v>1000075</v>
      </c>
      <c r="B27" s="12" t="s">
        <v>47</v>
      </c>
      <c r="C27" s="41"/>
      <c r="D27" s="4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0">
        <f t="shared" si="0"/>
        <v>0</v>
      </c>
    </row>
    <row r="28" spans="1:16" ht="15.75" thickBot="1" x14ac:dyDescent="0.3">
      <c r="A28" s="35">
        <v>1000050</v>
      </c>
      <c r="B28" s="12" t="s">
        <v>22</v>
      </c>
      <c r="C28" s="41"/>
      <c r="D28" s="4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418">
        <f t="shared" si="0"/>
        <v>0</v>
      </c>
    </row>
    <row r="29" spans="1:16" ht="15.75" thickBot="1" x14ac:dyDescent="0.3">
      <c r="A29" s="35">
        <v>1000016</v>
      </c>
      <c r="B29" s="12" t="s">
        <v>15</v>
      </c>
      <c r="C29" s="41"/>
      <c r="D29" s="4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418">
        <f t="shared" si="0"/>
        <v>0</v>
      </c>
    </row>
    <row r="30" spans="1:16" ht="15.75" thickBot="1" x14ac:dyDescent="0.3">
      <c r="A30" s="35">
        <v>1000033</v>
      </c>
      <c r="B30" s="12" t="s">
        <v>27</v>
      </c>
      <c r="C30" s="41"/>
      <c r="D30" s="4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0">
        <f t="shared" si="0"/>
        <v>0</v>
      </c>
    </row>
    <row r="31" spans="1:16" ht="15.75" thickBot="1" x14ac:dyDescent="0.3">
      <c r="A31" s="35">
        <v>1000029</v>
      </c>
      <c r="B31" s="12" t="s">
        <v>30</v>
      </c>
      <c r="C31" s="41"/>
      <c r="D31" s="4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0">
        <f t="shared" si="0"/>
        <v>0</v>
      </c>
    </row>
    <row r="32" spans="1:16" ht="15.75" thickBot="1" x14ac:dyDescent="0.3">
      <c r="A32" s="35">
        <v>1000049</v>
      </c>
      <c r="B32" s="12" t="s">
        <v>21</v>
      </c>
      <c r="C32" s="41"/>
      <c r="D32" s="4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418">
        <f t="shared" si="0"/>
        <v>0</v>
      </c>
    </row>
    <row r="33" spans="1:16" ht="15.75" thickBot="1" x14ac:dyDescent="0.3">
      <c r="A33" s="35">
        <v>1000384</v>
      </c>
      <c r="B33" s="12" t="s">
        <v>189</v>
      </c>
      <c r="C33" s="41"/>
      <c r="D33" s="4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0">
        <f t="shared" si="0"/>
        <v>0</v>
      </c>
    </row>
    <row r="34" spans="1:16" ht="15.75" thickBot="1" x14ac:dyDescent="0.3">
      <c r="A34" s="35">
        <v>1000025</v>
      </c>
      <c r="B34" s="12" t="s">
        <v>32</v>
      </c>
      <c r="C34" s="41"/>
      <c r="D34" s="4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30">
        <f t="shared" si="0"/>
        <v>0</v>
      </c>
    </row>
    <row r="35" spans="1:16" ht="15.75" thickBot="1" x14ac:dyDescent="0.3">
      <c r="A35" s="35">
        <v>1000100</v>
      </c>
      <c r="B35" s="12" t="s">
        <v>34</v>
      </c>
      <c r="C35" s="41"/>
      <c r="D35" s="4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30">
        <f t="shared" si="0"/>
        <v>0</v>
      </c>
    </row>
    <row r="36" spans="1:16" ht="15.75" thickBot="1" x14ac:dyDescent="0.3">
      <c r="A36" s="35">
        <v>1000383</v>
      </c>
      <c r="B36" s="12" t="s">
        <v>264</v>
      </c>
      <c r="C36" s="41"/>
      <c r="D36" s="4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0">
        <f t="shared" si="0"/>
        <v>0</v>
      </c>
    </row>
    <row r="37" spans="1:16" ht="15.75" thickBot="1" x14ac:dyDescent="0.3">
      <c r="A37" s="35">
        <v>1000147</v>
      </c>
      <c r="B37" s="12" t="s">
        <v>236</v>
      </c>
      <c r="C37" s="41"/>
      <c r="D37" s="4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0">
        <f t="shared" si="0"/>
        <v>0</v>
      </c>
    </row>
    <row r="38" spans="1:16" ht="15.75" thickBot="1" x14ac:dyDescent="0.3">
      <c r="A38" s="35">
        <v>1000034</v>
      </c>
      <c r="B38" s="12" t="s">
        <v>28</v>
      </c>
      <c r="C38" s="41"/>
      <c r="D38" s="4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0">
        <f t="shared" si="0"/>
        <v>0</v>
      </c>
    </row>
    <row r="39" spans="1:16" ht="15.75" thickBot="1" x14ac:dyDescent="0.3">
      <c r="A39" s="35">
        <v>1000080</v>
      </c>
      <c r="B39" s="12" t="s">
        <v>275</v>
      </c>
      <c r="C39" s="41"/>
      <c r="D39" s="4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418">
        <f t="shared" si="0"/>
        <v>0</v>
      </c>
    </row>
    <row r="40" spans="1:16" ht="15.75" thickBot="1" x14ac:dyDescent="0.3">
      <c r="A40" s="35">
        <v>1000436</v>
      </c>
      <c r="B40" s="12" t="s">
        <v>276</v>
      </c>
      <c r="C40" s="41"/>
      <c r="D40" s="4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0">
        <f t="shared" si="0"/>
        <v>0</v>
      </c>
    </row>
    <row r="41" spans="1:16" ht="15.75" thickBot="1" x14ac:dyDescent="0.3">
      <c r="A41" s="35">
        <v>1000550</v>
      </c>
      <c r="B41" s="12" t="s">
        <v>277</v>
      </c>
      <c r="C41" s="41"/>
      <c r="D41" s="4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0">
        <f t="shared" si="0"/>
        <v>0</v>
      </c>
    </row>
    <row r="42" spans="1:16" ht="15.75" thickBot="1" x14ac:dyDescent="0.3">
      <c r="A42" s="35">
        <v>1000551</v>
      </c>
      <c r="B42" s="12" t="s">
        <v>278</v>
      </c>
      <c r="C42" s="41"/>
      <c r="D42" s="4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30">
        <f t="shared" si="0"/>
        <v>0</v>
      </c>
    </row>
    <row r="43" spans="1:16" ht="16.5" thickBot="1" x14ac:dyDescent="0.3">
      <c r="A43" s="207">
        <v>1000552</v>
      </c>
      <c r="B43" s="246" t="s">
        <v>279</v>
      </c>
      <c r="C43"/>
      <c r="D43" s="38"/>
      <c r="E43" s="215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30">
        <f t="shared" si="0"/>
        <v>0</v>
      </c>
    </row>
    <row r="44" spans="1:16" ht="15.75" thickBot="1" x14ac:dyDescent="0.3">
      <c r="A44" s="35">
        <v>1000205</v>
      </c>
      <c r="B44" s="12" t="s">
        <v>82</v>
      </c>
      <c r="D44" s="3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30">
        <f t="shared" si="0"/>
        <v>0</v>
      </c>
    </row>
    <row r="45" spans="1:16" ht="15.75" thickBot="1" x14ac:dyDescent="0.3">
      <c r="A45" s="207"/>
      <c r="B45" s="246" t="s">
        <v>462</v>
      </c>
      <c r="D45" s="3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0">
        <f t="shared" si="0"/>
        <v>0</v>
      </c>
    </row>
  </sheetData>
  <mergeCells count="2">
    <mergeCell ref="A1:B2"/>
    <mergeCell ref="F1:J2"/>
  </mergeCells>
  <phoneticPr fontId="108" type="noConversion"/>
  <pageMargins left="0.25" right="0.25" top="0.75" bottom="0.75" header="0.3" footer="0.3"/>
  <pageSetup paperSize="9" scale="76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9CE7-A6F1-4F5B-A47E-B0423C8805B4}">
  <sheetPr>
    <pageSetUpPr fitToPage="1"/>
  </sheetPr>
  <dimension ref="A1:P62"/>
  <sheetViews>
    <sheetView workbookViewId="0">
      <selection activeCell="U25" sqref="U25"/>
    </sheetView>
  </sheetViews>
  <sheetFormatPr baseColWidth="10" defaultRowHeight="15.75" x14ac:dyDescent="0.25"/>
  <cols>
    <col min="2" max="2" width="34.625" customWidth="1"/>
    <col min="3" max="3" width="1" customWidth="1"/>
    <col min="5" max="5" width="0.875" customWidth="1"/>
  </cols>
  <sheetData>
    <row r="1" spans="1:16" ht="28.5" x14ac:dyDescent="0.45">
      <c r="A1" s="686" t="s">
        <v>253</v>
      </c>
      <c r="B1" s="687"/>
      <c r="C1" s="18"/>
      <c r="D1" s="802"/>
      <c r="E1" s="188"/>
      <c r="F1" s="796" t="s">
        <v>267</v>
      </c>
      <c r="G1" s="797"/>
      <c r="H1" s="797"/>
      <c r="I1" s="797"/>
      <c r="J1" s="798"/>
      <c r="K1" s="2"/>
      <c r="L1" s="188"/>
      <c r="M1" s="188"/>
      <c r="N1" s="188"/>
      <c r="O1" s="188"/>
      <c r="P1" s="188"/>
    </row>
    <row r="2" spans="1:16" ht="30.75" customHeight="1" thickBot="1" x14ac:dyDescent="0.5">
      <c r="A2" s="688"/>
      <c r="B2" s="689"/>
      <c r="C2" s="18"/>
      <c r="D2" s="802"/>
      <c r="E2" s="3"/>
      <c r="F2" s="799"/>
      <c r="G2" s="800"/>
      <c r="H2" s="800"/>
      <c r="I2" s="800"/>
      <c r="J2" s="801"/>
      <c r="K2" s="2"/>
      <c r="L2" s="3"/>
      <c r="M2" s="3"/>
      <c r="N2" s="3"/>
      <c r="O2" s="3"/>
      <c r="P2" s="3"/>
    </row>
    <row r="3" spans="1:16" ht="5.25" customHeight="1" thickBot="1" x14ac:dyDescent="0.3">
      <c r="A3" s="5"/>
      <c r="B3" s="5"/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thickBot="1" x14ac:dyDescent="0.3">
      <c r="A4" s="6" t="s">
        <v>0</v>
      </c>
      <c r="B4" s="6" t="s">
        <v>105</v>
      </c>
      <c r="C4" s="4"/>
      <c r="D4" s="21" t="s">
        <v>106</v>
      </c>
      <c r="E4" s="188"/>
      <c r="F4" s="19" t="s">
        <v>107</v>
      </c>
      <c r="G4" s="20" t="s">
        <v>113</v>
      </c>
      <c r="H4" s="19" t="s">
        <v>108</v>
      </c>
      <c r="I4" s="20" t="s">
        <v>114</v>
      </c>
      <c r="J4" s="19" t="s">
        <v>109</v>
      </c>
      <c r="K4" s="20" t="s">
        <v>115</v>
      </c>
      <c r="L4" s="19" t="s">
        <v>110</v>
      </c>
      <c r="M4" s="20" t="s">
        <v>116</v>
      </c>
      <c r="N4" s="19" t="s">
        <v>111</v>
      </c>
      <c r="O4" s="20" t="s">
        <v>117</v>
      </c>
      <c r="P4" s="21" t="s">
        <v>98</v>
      </c>
    </row>
    <row r="5" spans="1:16" x14ac:dyDescent="0.25">
      <c r="A5" s="189">
        <v>10000102</v>
      </c>
      <c r="B5" s="11" t="s">
        <v>2</v>
      </c>
      <c r="C5" s="190"/>
      <c r="D5" s="198">
        <v>0</v>
      </c>
      <c r="E5" s="188"/>
      <c r="F5" s="191"/>
      <c r="G5" s="192"/>
      <c r="H5" s="194"/>
      <c r="I5" s="192"/>
      <c r="J5" s="191"/>
      <c r="K5" s="192"/>
      <c r="L5" s="191"/>
      <c r="M5" s="192"/>
      <c r="N5" s="191"/>
      <c r="O5" s="192"/>
      <c r="P5" s="189">
        <f t="shared" ref="P5:P62" si="0">SUM(F5:O5)</f>
        <v>0</v>
      </c>
    </row>
    <row r="6" spans="1:16" x14ac:dyDescent="0.25">
      <c r="A6" s="193">
        <v>1000006</v>
      </c>
      <c r="B6" s="12" t="s">
        <v>4</v>
      </c>
      <c r="C6" s="190"/>
      <c r="D6" s="199">
        <v>85</v>
      </c>
      <c r="E6" s="188"/>
      <c r="F6" s="194"/>
      <c r="G6" s="195"/>
      <c r="H6" s="194"/>
      <c r="I6" s="195"/>
      <c r="J6" s="194"/>
      <c r="K6" s="195"/>
      <c r="L6" s="194"/>
      <c r="M6" s="195"/>
      <c r="N6" s="194"/>
      <c r="O6" s="195"/>
      <c r="P6" s="193">
        <f t="shared" si="0"/>
        <v>0</v>
      </c>
    </row>
    <row r="7" spans="1:16" x14ac:dyDescent="0.25">
      <c r="A7" s="193">
        <v>1000007</v>
      </c>
      <c r="B7" s="12" t="s">
        <v>5</v>
      </c>
      <c r="C7" s="190"/>
      <c r="D7" s="199">
        <v>90</v>
      </c>
      <c r="E7" s="188"/>
      <c r="F7" s="194"/>
      <c r="G7" s="195"/>
      <c r="H7" s="194"/>
      <c r="I7" s="195"/>
      <c r="J7" s="194"/>
      <c r="K7" s="195"/>
      <c r="L7" s="194"/>
      <c r="M7" s="195"/>
      <c r="N7" s="194"/>
      <c r="O7" s="195"/>
      <c r="P7" s="193">
        <f t="shared" si="0"/>
        <v>0</v>
      </c>
    </row>
    <row r="8" spans="1:16" x14ac:dyDescent="0.25">
      <c r="A8" s="193">
        <v>1000008</v>
      </c>
      <c r="B8" s="12" t="s">
        <v>7</v>
      </c>
      <c r="C8" s="190"/>
      <c r="D8" s="199">
        <v>75</v>
      </c>
      <c r="E8" s="188"/>
      <c r="F8" s="194"/>
      <c r="G8" s="195"/>
      <c r="H8" s="194"/>
      <c r="I8" s="195"/>
      <c r="J8" s="194"/>
      <c r="K8" s="195"/>
      <c r="L8" s="194"/>
      <c r="M8" s="195"/>
      <c r="N8" s="194"/>
      <c r="O8" s="195"/>
      <c r="P8" s="193">
        <f t="shared" si="0"/>
        <v>0</v>
      </c>
    </row>
    <row r="9" spans="1:16" x14ac:dyDescent="0.25">
      <c r="A9" s="193">
        <v>1000001</v>
      </c>
      <c r="B9" s="12" t="s">
        <v>8</v>
      </c>
      <c r="C9" s="190"/>
      <c r="D9" s="199">
        <v>2</v>
      </c>
      <c r="E9" s="188"/>
      <c r="F9" s="194"/>
      <c r="G9" s="195"/>
      <c r="H9" s="194"/>
      <c r="I9" s="195"/>
      <c r="J9" s="194"/>
      <c r="K9" s="195"/>
      <c r="L9" s="194"/>
      <c r="M9" s="195"/>
      <c r="N9" s="194"/>
      <c r="O9" s="195"/>
      <c r="P9" s="193">
        <f t="shared" si="0"/>
        <v>0</v>
      </c>
    </row>
    <row r="10" spans="1:16" x14ac:dyDescent="0.25">
      <c r="A10" s="193">
        <v>1000002</v>
      </c>
      <c r="B10" s="12" t="s">
        <v>9</v>
      </c>
      <c r="C10" s="190"/>
      <c r="D10" s="199">
        <v>1</v>
      </c>
      <c r="E10" s="188"/>
      <c r="F10" s="194"/>
      <c r="G10" s="195"/>
      <c r="H10" s="194"/>
      <c r="I10" s="195"/>
      <c r="J10" s="194"/>
      <c r="K10" s="195"/>
      <c r="L10" s="194"/>
      <c r="M10" s="195"/>
      <c r="N10" s="194"/>
      <c r="O10" s="195"/>
      <c r="P10" s="193">
        <f t="shared" si="0"/>
        <v>0</v>
      </c>
    </row>
    <row r="11" spans="1:16" x14ac:dyDescent="0.25">
      <c r="A11" s="193">
        <v>1000067</v>
      </c>
      <c r="B11" s="12" t="s">
        <v>11</v>
      </c>
      <c r="C11" s="190"/>
      <c r="D11" s="199">
        <v>0</v>
      </c>
      <c r="E11" s="188"/>
      <c r="F11" s="194"/>
      <c r="G11" s="195"/>
      <c r="H11" s="194"/>
      <c r="I11" s="195"/>
      <c r="J11" s="194"/>
      <c r="K11" s="195"/>
      <c r="L11" s="194"/>
      <c r="M11" s="195"/>
      <c r="N11" s="194"/>
      <c r="O11" s="195"/>
      <c r="P11" s="193">
        <f t="shared" si="0"/>
        <v>0</v>
      </c>
    </row>
    <row r="12" spans="1:16" x14ac:dyDescent="0.25">
      <c r="A12" s="193">
        <v>1000054</v>
      </c>
      <c r="B12" s="12" t="s">
        <v>12</v>
      </c>
      <c r="C12" s="190"/>
      <c r="D12" s="199">
        <v>8</v>
      </c>
      <c r="E12" s="188"/>
      <c r="F12" s="194"/>
      <c r="G12" s="195"/>
      <c r="H12" s="194"/>
      <c r="I12" s="195"/>
      <c r="J12" s="194"/>
      <c r="K12" s="195"/>
      <c r="L12" s="194"/>
      <c r="M12" s="195"/>
      <c r="N12" s="194"/>
      <c r="O12" s="195"/>
      <c r="P12" s="193">
        <f t="shared" si="0"/>
        <v>0</v>
      </c>
    </row>
    <row r="13" spans="1:16" x14ac:dyDescent="0.25">
      <c r="A13" s="193">
        <v>1000070</v>
      </c>
      <c r="B13" s="12" t="s">
        <v>13</v>
      </c>
      <c r="C13" s="190"/>
      <c r="D13" s="199">
        <v>0</v>
      </c>
      <c r="E13" s="188"/>
      <c r="F13" s="194"/>
      <c r="G13" s="195"/>
      <c r="H13" s="194"/>
      <c r="I13" s="195"/>
      <c r="J13" s="194"/>
      <c r="K13" s="195"/>
      <c r="L13" s="194"/>
      <c r="M13" s="195"/>
      <c r="N13" s="194"/>
      <c r="O13" s="195"/>
      <c r="P13" s="193">
        <f t="shared" si="0"/>
        <v>0</v>
      </c>
    </row>
    <row r="14" spans="1:16" x14ac:dyDescent="0.25">
      <c r="A14" s="193">
        <v>1000017</v>
      </c>
      <c r="B14" s="12" t="s">
        <v>14</v>
      </c>
      <c r="C14" s="190"/>
      <c r="D14" s="199">
        <v>40</v>
      </c>
      <c r="E14" s="188"/>
      <c r="F14" s="194"/>
      <c r="G14" s="195"/>
      <c r="H14" s="194"/>
      <c r="I14" s="195"/>
      <c r="J14" s="194"/>
      <c r="K14" s="195"/>
      <c r="L14" s="194"/>
      <c r="M14" s="195"/>
      <c r="N14" s="194"/>
      <c r="O14" s="195"/>
      <c r="P14" s="193">
        <f t="shared" si="0"/>
        <v>0</v>
      </c>
    </row>
    <row r="15" spans="1:16" ht="16.5" thickBot="1" x14ac:dyDescent="0.3">
      <c r="A15" s="193">
        <v>1000016</v>
      </c>
      <c r="B15" s="13" t="s">
        <v>15</v>
      </c>
      <c r="C15" s="190"/>
      <c r="D15" s="199">
        <v>5</v>
      </c>
      <c r="E15" s="188"/>
      <c r="F15" s="194"/>
      <c r="G15" s="195"/>
      <c r="H15" s="194"/>
      <c r="I15" s="195"/>
      <c r="J15" s="194"/>
      <c r="K15" s="195"/>
      <c r="L15" s="194"/>
      <c r="M15" s="195"/>
      <c r="N15" s="194"/>
      <c r="O15" s="195"/>
      <c r="P15" s="193">
        <f t="shared" si="0"/>
        <v>0</v>
      </c>
    </row>
    <row r="16" spans="1:16" ht="16.5" thickBot="1" x14ac:dyDescent="0.3">
      <c r="A16" s="193">
        <v>1000041</v>
      </c>
      <c r="B16" s="64" t="s">
        <v>16</v>
      </c>
      <c r="C16" s="190"/>
      <c r="D16" s="199">
        <v>5</v>
      </c>
      <c r="E16" s="188"/>
      <c r="F16" s="194"/>
      <c r="G16" s="195"/>
      <c r="H16" s="194"/>
      <c r="I16" s="195"/>
      <c r="J16" s="194"/>
      <c r="K16" s="195"/>
      <c r="L16" s="194"/>
      <c r="M16" s="195"/>
      <c r="N16" s="194"/>
      <c r="O16" s="195"/>
      <c r="P16" s="193">
        <f t="shared" si="0"/>
        <v>0</v>
      </c>
    </row>
    <row r="17" spans="1:16" x14ac:dyDescent="0.25">
      <c r="A17" s="193">
        <v>1000009</v>
      </c>
      <c r="B17" s="14" t="s">
        <v>19</v>
      </c>
      <c r="C17" s="190"/>
      <c r="D17" s="199">
        <v>1</v>
      </c>
      <c r="E17" s="188"/>
      <c r="F17" s="194"/>
      <c r="G17" s="195"/>
      <c r="H17" s="194"/>
      <c r="I17" s="195"/>
      <c r="J17" s="194"/>
      <c r="K17" s="195"/>
      <c r="L17" s="194"/>
      <c r="M17" s="195"/>
      <c r="N17" s="194"/>
      <c r="O17" s="195"/>
      <c r="P17" s="193">
        <f t="shared" si="0"/>
        <v>0</v>
      </c>
    </row>
    <row r="18" spans="1:16" x14ac:dyDescent="0.25">
      <c r="A18" s="193">
        <v>1000049</v>
      </c>
      <c r="B18" s="14" t="s">
        <v>21</v>
      </c>
      <c r="C18" s="190"/>
      <c r="D18" s="199">
        <v>1</v>
      </c>
      <c r="E18" s="188"/>
      <c r="F18" s="194"/>
      <c r="G18" s="195"/>
      <c r="H18" s="194"/>
      <c r="I18" s="195"/>
      <c r="J18" s="194"/>
      <c r="K18" s="195"/>
      <c r="L18" s="194"/>
      <c r="M18" s="195"/>
      <c r="N18" s="194"/>
      <c r="O18" s="195"/>
      <c r="P18" s="193">
        <f t="shared" si="0"/>
        <v>0</v>
      </c>
    </row>
    <row r="19" spans="1:16" x14ac:dyDescent="0.25">
      <c r="A19" s="193">
        <v>1000050</v>
      </c>
      <c r="B19" s="12" t="s">
        <v>22</v>
      </c>
      <c r="C19" s="190"/>
      <c r="D19" s="199">
        <v>0</v>
      </c>
      <c r="E19" s="188"/>
      <c r="F19" s="194"/>
      <c r="G19" s="195"/>
      <c r="H19" s="194"/>
      <c r="I19" s="195"/>
      <c r="J19" s="194"/>
      <c r="K19" s="195"/>
      <c r="L19" s="194"/>
      <c r="M19" s="195"/>
      <c r="N19" s="194"/>
      <c r="O19" s="195"/>
      <c r="P19" s="193">
        <f t="shared" si="0"/>
        <v>0</v>
      </c>
    </row>
    <row r="20" spans="1:16" x14ac:dyDescent="0.25">
      <c r="A20" s="193">
        <v>1000045</v>
      </c>
      <c r="B20" s="12" t="s">
        <v>23</v>
      </c>
      <c r="C20" s="190"/>
      <c r="D20" s="199">
        <v>0</v>
      </c>
      <c r="E20" s="188"/>
      <c r="F20" s="194"/>
      <c r="G20" s="195"/>
      <c r="H20" s="194"/>
      <c r="I20" s="195"/>
      <c r="J20" s="194"/>
      <c r="K20" s="195"/>
      <c r="L20" s="194"/>
      <c r="M20" s="195"/>
      <c r="N20" s="194"/>
      <c r="O20" s="195"/>
      <c r="P20" s="193">
        <f t="shared" si="0"/>
        <v>0</v>
      </c>
    </row>
    <row r="21" spans="1:16" x14ac:dyDescent="0.25">
      <c r="A21" s="193">
        <v>1000031</v>
      </c>
      <c r="B21" s="12" t="s">
        <v>25</v>
      </c>
      <c r="C21" s="190"/>
      <c r="D21" s="199">
        <v>2</v>
      </c>
      <c r="E21" s="188"/>
      <c r="F21" s="194"/>
      <c r="G21" s="195"/>
      <c r="H21" s="194"/>
      <c r="I21" s="195"/>
      <c r="J21" s="194"/>
      <c r="K21" s="195"/>
      <c r="L21" s="194"/>
      <c r="M21" s="195"/>
      <c r="N21" s="194"/>
      <c r="O21" s="195"/>
      <c r="P21" s="193">
        <f t="shared" si="0"/>
        <v>0</v>
      </c>
    </row>
    <row r="22" spans="1:16" x14ac:dyDescent="0.25">
      <c r="A22" s="193">
        <v>1000032</v>
      </c>
      <c r="B22" s="12" t="s">
        <v>26</v>
      </c>
      <c r="C22" s="190"/>
      <c r="D22" s="199">
        <v>1</v>
      </c>
      <c r="E22" s="188"/>
      <c r="F22" s="194"/>
      <c r="G22" s="195"/>
      <c r="H22" s="194"/>
      <c r="I22" s="195"/>
      <c r="J22" s="194"/>
      <c r="K22" s="195"/>
      <c r="L22" s="194"/>
      <c r="M22" s="195"/>
      <c r="N22" s="194"/>
      <c r="O22" s="195"/>
      <c r="P22" s="193">
        <f t="shared" si="0"/>
        <v>0</v>
      </c>
    </row>
    <row r="23" spans="1:16" x14ac:dyDescent="0.25">
      <c r="A23" s="193">
        <v>1000027</v>
      </c>
      <c r="B23" s="12" t="s">
        <v>33</v>
      </c>
      <c r="C23" s="190"/>
      <c r="D23" s="199">
        <v>2</v>
      </c>
      <c r="E23" s="188"/>
      <c r="F23" s="194"/>
      <c r="G23" s="195"/>
      <c r="H23" s="194"/>
      <c r="I23" s="195"/>
      <c r="J23" s="194"/>
      <c r="K23" s="195"/>
      <c r="L23" s="194"/>
      <c r="M23" s="195"/>
      <c r="N23" s="194"/>
      <c r="O23" s="195"/>
      <c r="P23" s="193">
        <f t="shared" si="0"/>
        <v>0</v>
      </c>
    </row>
    <row r="24" spans="1:16" x14ac:dyDescent="0.25">
      <c r="A24" s="193">
        <v>1000100</v>
      </c>
      <c r="B24" s="12" t="s">
        <v>34</v>
      </c>
      <c r="C24" s="190"/>
      <c r="D24" s="199">
        <v>0</v>
      </c>
      <c r="E24" s="188"/>
      <c r="F24" s="194"/>
      <c r="G24" s="195"/>
      <c r="H24" s="194"/>
      <c r="I24" s="195"/>
      <c r="J24" s="194"/>
      <c r="K24" s="195"/>
      <c r="L24" s="194"/>
      <c r="M24" s="195"/>
      <c r="N24" s="194"/>
      <c r="O24" s="195"/>
      <c r="P24" s="193">
        <f t="shared" si="0"/>
        <v>0</v>
      </c>
    </row>
    <row r="25" spans="1:16" x14ac:dyDescent="0.25">
      <c r="A25" s="193">
        <v>1000101</v>
      </c>
      <c r="B25" s="12" t="s">
        <v>35</v>
      </c>
      <c r="C25" s="190"/>
      <c r="D25" s="199">
        <v>0</v>
      </c>
      <c r="E25" s="15"/>
      <c r="F25" s="194"/>
      <c r="G25" s="195"/>
      <c r="H25" s="194"/>
      <c r="I25" s="195"/>
      <c r="J25" s="194"/>
      <c r="K25" s="195"/>
      <c r="L25" s="194"/>
      <c r="M25" s="195"/>
      <c r="N25" s="194"/>
      <c r="O25" s="196"/>
      <c r="P25" s="197">
        <f t="shared" si="0"/>
        <v>0</v>
      </c>
    </row>
    <row r="26" spans="1:16" x14ac:dyDescent="0.25">
      <c r="A26" s="197">
        <v>1000073</v>
      </c>
      <c r="B26" s="13" t="s">
        <v>36</v>
      </c>
      <c r="C26" s="190"/>
      <c r="D26" s="199">
        <v>0</v>
      </c>
      <c r="E26" s="188"/>
      <c r="F26" s="194"/>
      <c r="G26" s="195"/>
      <c r="H26" s="194"/>
      <c r="I26" s="195"/>
      <c r="J26" s="194"/>
      <c r="K26" s="195"/>
      <c r="L26" s="194"/>
      <c r="M26" s="195"/>
      <c r="N26" s="194"/>
      <c r="O26" s="196"/>
      <c r="P26" s="197">
        <f t="shared" si="0"/>
        <v>0</v>
      </c>
    </row>
    <row r="27" spans="1:16" x14ac:dyDescent="0.25">
      <c r="A27" s="197">
        <v>1000082</v>
      </c>
      <c r="B27" s="13" t="s">
        <v>37</v>
      </c>
      <c r="C27" s="190"/>
      <c r="D27" s="199">
        <v>50</v>
      </c>
      <c r="E27" s="188"/>
      <c r="F27" s="194"/>
      <c r="G27" s="195"/>
      <c r="H27" s="194"/>
      <c r="I27" s="195"/>
      <c r="J27" s="194"/>
      <c r="K27" s="195"/>
      <c r="L27" s="194"/>
      <c r="M27" s="195"/>
      <c r="N27" s="194"/>
      <c r="O27" s="196"/>
      <c r="P27" s="197">
        <f t="shared" si="0"/>
        <v>0</v>
      </c>
    </row>
    <row r="28" spans="1:16" x14ac:dyDescent="0.25">
      <c r="A28" s="193">
        <v>1000084</v>
      </c>
      <c r="B28" s="12" t="s">
        <v>38</v>
      </c>
      <c r="C28" s="190"/>
      <c r="D28" s="199">
        <v>10</v>
      </c>
      <c r="E28" s="15"/>
      <c r="F28" s="194"/>
      <c r="G28" s="195"/>
      <c r="H28" s="194"/>
      <c r="I28" s="195"/>
      <c r="J28" s="194"/>
      <c r="K28" s="195"/>
      <c r="L28" s="194"/>
      <c r="M28" s="195"/>
      <c r="N28" s="194"/>
      <c r="O28" s="196"/>
      <c r="P28" s="197">
        <f t="shared" si="0"/>
        <v>0</v>
      </c>
    </row>
    <row r="29" spans="1:16" x14ac:dyDescent="0.25">
      <c r="A29" s="193">
        <v>1000146</v>
      </c>
      <c r="B29" s="12" t="s">
        <v>39</v>
      </c>
      <c r="C29" s="190"/>
      <c r="D29" s="199">
        <v>8</v>
      </c>
      <c r="E29" s="15"/>
      <c r="F29" s="194"/>
      <c r="G29" s="195"/>
      <c r="H29" s="194"/>
      <c r="I29" s="195"/>
      <c r="J29" s="194"/>
      <c r="K29" s="195"/>
      <c r="L29" s="194"/>
      <c r="M29" s="195"/>
      <c r="N29" s="194"/>
      <c r="O29" s="196"/>
      <c r="P29" s="197">
        <f t="shared" si="0"/>
        <v>0</v>
      </c>
    </row>
    <row r="30" spans="1:16" x14ac:dyDescent="0.25">
      <c r="A30" s="193">
        <v>10248</v>
      </c>
      <c r="B30" s="12" t="s">
        <v>183</v>
      </c>
      <c r="C30" s="190"/>
      <c r="D30" s="199">
        <v>0</v>
      </c>
      <c r="E30" s="15"/>
      <c r="F30" s="194"/>
      <c r="G30" s="195"/>
      <c r="H30" s="194"/>
      <c r="I30" s="195"/>
      <c r="J30" s="194"/>
      <c r="K30" s="195"/>
      <c r="L30" s="194"/>
      <c r="M30" s="195"/>
      <c r="N30" s="194"/>
      <c r="O30" s="196"/>
      <c r="P30" s="197">
        <f t="shared" si="0"/>
        <v>0</v>
      </c>
    </row>
    <row r="31" spans="1:16" x14ac:dyDescent="0.25">
      <c r="A31" s="193">
        <v>1000090</v>
      </c>
      <c r="B31" s="12" t="s">
        <v>40</v>
      </c>
      <c r="C31" s="190"/>
      <c r="D31" s="199">
        <v>3</v>
      </c>
      <c r="E31" s="15"/>
      <c r="F31" s="194"/>
      <c r="G31" s="195"/>
      <c r="H31" s="194"/>
      <c r="I31" s="195"/>
      <c r="J31" s="194"/>
      <c r="K31" s="195"/>
      <c r="L31" s="194"/>
      <c r="M31" s="195"/>
      <c r="N31" s="194"/>
      <c r="O31" s="196"/>
      <c r="P31" s="197">
        <f t="shared" si="0"/>
        <v>0</v>
      </c>
    </row>
    <row r="32" spans="1:16" x14ac:dyDescent="0.25">
      <c r="A32" s="193">
        <v>1000052</v>
      </c>
      <c r="B32" s="12" t="s">
        <v>41</v>
      </c>
      <c r="C32" s="190"/>
      <c r="D32" s="199">
        <v>2</v>
      </c>
      <c r="E32" s="15"/>
      <c r="F32" s="194"/>
      <c r="G32" s="195"/>
      <c r="H32" s="194"/>
      <c r="I32" s="195"/>
      <c r="J32" s="194"/>
      <c r="K32" s="195"/>
      <c r="L32" s="194"/>
      <c r="M32" s="195"/>
      <c r="N32" s="194"/>
      <c r="O32" s="196"/>
      <c r="P32" s="197">
        <f t="shared" si="0"/>
        <v>0</v>
      </c>
    </row>
    <row r="33" spans="1:16" x14ac:dyDescent="0.25">
      <c r="A33" s="193">
        <v>1000089</v>
      </c>
      <c r="B33" s="12" t="s">
        <v>42</v>
      </c>
      <c r="C33" s="190"/>
      <c r="D33" s="199">
        <v>2</v>
      </c>
      <c r="E33" s="15"/>
      <c r="F33" s="194"/>
      <c r="G33" s="195"/>
      <c r="H33" s="194"/>
      <c r="I33" s="195"/>
      <c r="J33" s="194"/>
      <c r="K33" s="195"/>
      <c r="L33" s="194"/>
      <c r="M33" s="195"/>
      <c r="N33" s="194"/>
      <c r="O33" s="196"/>
      <c r="P33" s="197">
        <f t="shared" si="0"/>
        <v>0</v>
      </c>
    </row>
    <row r="34" spans="1:16" x14ac:dyDescent="0.25">
      <c r="A34" s="193">
        <v>1000051</v>
      </c>
      <c r="B34" s="12" t="s">
        <v>43</v>
      </c>
      <c r="C34" s="190"/>
      <c r="D34" s="199">
        <v>1</v>
      </c>
      <c r="E34" s="15"/>
      <c r="F34" s="194"/>
      <c r="G34" s="195"/>
      <c r="H34" s="194"/>
      <c r="I34" s="195"/>
      <c r="J34" s="194"/>
      <c r="K34" s="195"/>
      <c r="L34" s="194"/>
      <c r="M34" s="195"/>
      <c r="N34" s="194"/>
      <c r="O34" s="196"/>
      <c r="P34" s="197">
        <f t="shared" si="0"/>
        <v>0</v>
      </c>
    </row>
    <row r="35" spans="1:16" x14ac:dyDescent="0.25">
      <c r="A35" s="193">
        <v>1000048</v>
      </c>
      <c r="B35" s="12" t="s">
        <v>45</v>
      </c>
      <c r="C35" s="190"/>
      <c r="D35" s="199">
        <v>0</v>
      </c>
      <c r="E35" s="15"/>
      <c r="F35" s="194"/>
      <c r="G35" s="195"/>
      <c r="H35" s="194"/>
      <c r="I35" s="195"/>
      <c r="J35" s="194"/>
      <c r="K35" s="195"/>
      <c r="L35" s="194"/>
      <c r="M35" s="195"/>
      <c r="N35" s="194"/>
      <c r="O35" s="196"/>
      <c r="P35" s="197">
        <f t="shared" si="0"/>
        <v>0</v>
      </c>
    </row>
    <row r="36" spans="1:16" x14ac:dyDescent="0.25">
      <c r="A36" s="193">
        <v>1000076</v>
      </c>
      <c r="B36" s="12" t="s">
        <v>46</v>
      </c>
      <c r="C36" s="190"/>
      <c r="D36" s="199">
        <v>0</v>
      </c>
      <c r="E36" s="15"/>
      <c r="F36" s="194"/>
      <c r="G36" s="195"/>
      <c r="H36" s="194"/>
      <c r="I36" s="195"/>
      <c r="J36" s="194"/>
      <c r="K36" s="195"/>
      <c r="L36" s="194"/>
      <c r="M36" s="195"/>
      <c r="N36" s="194"/>
      <c r="O36" s="196"/>
      <c r="P36" s="197">
        <f t="shared" si="0"/>
        <v>0</v>
      </c>
    </row>
    <row r="37" spans="1:16" x14ac:dyDescent="0.25">
      <c r="A37" s="193">
        <v>1000085</v>
      </c>
      <c r="B37" s="12" t="s">
        <v>50</v>
      </c>
      <c r="C37" s="190"/>
      <c r="D37" s="199">
        <v>0</v>
      </c>
      <c r="E37" s="15"/>
      <c r="F37" s="194"/>
      <c r="G37" s="195"/>
      <c r="H37" s="194"/>
      <c r="I37" s="195"/>
      <c r="J37" s="194"/>
      <c r="K37" s="195"/>
      <c r="L37" s="194"/>
      <c r="M37" s="195"/>
      <c r="N37" s="194"/>
      <c r="O37" s="196"/>
      <c r="P37" s="197">
        <f t="shared" si="0"/>
        <v>0</v>
      </c>
    </row>
    <row r="38" spans="1:16" x14ac:dyDescent="0.25">
      <c r="A38" s="193">
        <v>1000147</v>
      </c>
      <c r="B38" s="12" t="s">
        <v>52</v>
      </c>
      <c r="C38" s="190"/>
      <c r="D38" s="199">
        <v>0</v>
      </c>
      <c r="E38" s="15"/>
      <c r="F38" s="194"/>
      <c r="G38" s="195"/>
      <c r="H38" s="194"/>
      <c r="I38" s="195"/>
      <c r="J38" s="194"/>
      <c r="K38" s="195"/>
      <c r="L38" s="194"/>
      <c r="M38" s="195"/>
      <c r="N38" s="194"/>
      <c r="O38" s="196"/>
      <c r="P38" s="197">
        <f t="shared" si="0"/>
        <v>0</v>
      </c>
    </row>
    <row r="39" spans="1:16" x14ac:dyDescent="0.25">
      <c r="A39" s="193">
        <v>1000142</v>
      </c>
      <c r="B39" s="12" t="s">
        <v>54</v>
      </c>
      <c r="C39" s="190"/>
      <c r="D39" s="199">
        <v>0</v>
      </c>
      <c r="E39" s="15"/>
      <c r="F39" s="194"/>
      <c r="G39" s="195"/>
      <c r="H39" s="194"/>
      <c r="I39" s="195"/>
      <c r="J39" s="194"/>
      <c r="K39" s="195"/>
      <c r="L39" s="194"/>
      <c r="M39" s="195"/>
      <c r="N39" s="194"/>
      <c r="O39" s="196"/>
      <c r="P39" s="197">
        <f t="shared" si="0"/>
        <v>0</v>
      </c>
    </row>
    <row r="40" spans="1:16" x14ac:dyDescent="0.25">
      <c r="A40" s="193">
        <v>1000087</v>
      </c>
      <c r="B40" s="12" t="s">
        <v>69</v>
      </c>
      <c r="C40" s="190"/>
      <c r="D40" s="199">
        <v>0</v>
      </c>
      <c r="E40" s="15"/>
      <c r="F40" s="194"/>
      <c r="G40" s="195"/>
      <c r="H40" s="194"/>
      <c r="I40" s="195"/>
      <c r="J40" s="194"/>
      <c r="K40" s="195"/>
      <c r="L40" s="194"/>
      <c r="M40" s="195"/>
      <c r="N40" s="194"/>
      <c r="O40" s="196"/>
      <c r="P40" s="197">
        <f t="shared" si="0"/>
        <v>0</v>
      </c>
    </row>
    <row r="41" spans="1:16" x14ac:dyDescent="0.25">
      <c r="A41" s="193">
        <v>1000057</v>
      </c>
      <c r="B41" s="12" t="s">
        <v>70</v>
      </c>
      <c r="C41" s="190"/>
      <c r="D41" s="199">
        <v>0</v>
      </c>
      <c r="E41" s="15"/>
      <c r="F41" s="194"/>
      <c r="G41" s="195"/>
      <c r="H41" s="194"/>
      <c r="I41" s="195"/>
      <c r="J41" s="194"/>
      <c r="K41" s="195"/>
      <c r="L41" s="194"/>
      <c r="M41" s="195"/>
      <c r="N41" s="194"/>
      <c r="O41" s="196"/>
      <c r="P41" s="197">
        <f t="shared" si="0"/>
        <v>0</v>
      </c>
    </row>
    <row r="42" spans="1:16" x14ac:dyDescent="0.25">
      <c r="A42" s="193">
        <v>1000073</v>
      </c>
      <c r="B42" s="12" t="s">
        <v>36</v>
      </c>
      <c r="C42" s="190"/>
      <c r="D42" s="199">
        <v>0</v>
      </c>
      <c r="E42" s="15"/>
      <c r="F42" s="194"/>
      <c r="G42" s="195"/>
      <c r="H42" s="194"/>
      <c r="I42" s="195"/>
      <c r="J42" s="194"/>
      <c r="K42" s="195"/>
      <c r="L42" s="194"/>
      <c r="M42" s="195"/>
      <c r="N42" s="194"/>
      <c r="O42" s="196"/>
      <c r="P42" s="197">
        <f t="shared" si="0"/>
        <v>0</v>
      </c>
    </row>
    <row r="43" spans="1:16" x14ac:dyDescent="0.25">
      <c r="A43" s="193">
        <v>1000004</v>
      </c>
      <c r="B43" s="12" t="s">
        <v>10</v>
      </c>
      <c r="C43" s="190"/>
      <c r="D43" s="199"/>
      <c r="E43" s="15"/>
      <c r="F43" s="194"/>
      <c r="G43" s="195"/>
      <c r="H43" s="194"/>
      <c r="I43" s="195"/>
      <c r="J43" s="194"/>
      <c r="K43" s="195"/>
      <c r="L43" s="194"/>
      <c r="M43" s="195"/>
      <c r="N43" s="194"/>
      <c r="O43" s="196"/>
      <c r="P43" s="197">
        <f t="shared" si="0"/>
        <v>0</v>
      </c>
    </row>
    <row r="44" spans="1:16" x14ac:dyDescent="0.25">
      <c r="A44" s="193">
        <v>1000214</v>
      </c>
      <c r="B44" s="12" t="s">
        <v>49</v>
      </c>
      <c r="C44" s="190"/>
      <c r="D44" s="199"/>
      <c r="E44" s="15"/>
      <c r="F44" s="194"/>
      <c r="G44" s="195"/>
      <c r="H44" s="194"/>
      <c r="I44" s="195"/>
      <c r="J44" s="194"/>
      <c r="K44" s="195"/>
      <c r="L44" s="194"/>
      <c r="M44" s="195"/>
      <c r="N44" s="194"/>
      <c r="O44" s="196"/>
      <c r="P44" s="197">
        <f t="shared" si="0"/>
        <v>0</v>
      </c>
    </row>
    <row r="45" spans="1:16" x14ac:dyDescent="0.25">
      <c r="A45" s="193">
        <v>1000030</v>
      </c>
      <c r="B45" s="12" t="s">
        <v>24</v>
      </c>
      <c r="C45" s="190"/>
      <c r="D45" s="199"/>
      <c r="E45" s="15"/>
      <c r="F45" s="194"/>
      <c r="G45" s="195"/>
      <c r="H45" s="194"/>
      <c r="I45" s="195"/>
      <c r="J45" s="194"/>
      <c r="K45" s="195"/>
      <c r="L45" s="194"/>
      <c r="M45" s="195"/>
      <c r="N45" s="194"/>
      <c r="O45" s="196"/>
      <c r="P45" s="197">
        <f t="shared" si="0"/>
        <v>0</v>
      </c>
    </row>
    <row r="46" spans="1:16" x14ac:dyDescent="0.25">
      <c r="A46" s="193">
        <v>1000033</v>
      </c>
      <c r="B46" s="12" t="s">
        <v>27</v>
      </c>
      <c r="C46" s="190"/>
      <c r="D46" s="199"/>
      <c r="E46" s="15"/>
      <c r="F46" s="194"/>
      <c r="G46" s="195"/>
      <c r="H46" s="194"/>
      <c r="I46" s="195"/>
      <c r="J46" s="194"/>
      <c r="K46" s="195"/>
      <c r="L46" s="194"/>
      <c r="M46" s="195"/>
      <c r="N46" s="194"/>
      <c r="O46" s="196"/>
      <c r="P46" s="197">
        <f t="shared" si="0"/>
        <v>0</v>
      </c>
    </row>
    <row r="47" spans="1:16" x14ac:dyDescent="0.25">
      <c r="A47" s="193">
        <v>1000029</v>
      </c>
      <c r="B47" s="12" t="s">
        <v>30</v>
      </c>
      <c r="C47" s="190"/>
      <c r="D47" s="199"/>
      <c r="E47" s="15"/>
      <c r="F47" s="194"/>
      <c r="G47" s="195"/>
      <c r="H47" s="194"/>
      <c r="I47" s="195"/>
      <c r="J47" s="194"/>
      <c r="K47" s="195"/>
      <c r="L47" s="194"/>
      <c r="M47" s="195"/>
      <c r="N47" s="194"/>
      <c r="O47" s="196"/>
      <c r="P47" s="197">
        <f t="shared" si="0"/>
        <v>0</v>
      </c>
    </row>
    <row r="48" spans="1:16" x14ac:dyDescent="0.25">
      <c r="A48" s="193">
        <v>1000092</v>
      </c>
      <c r="B48" s="12" t="s">
        <v>51</v>
      </c>
      <c r="C48" s="190"/>
      <c r="D48" s="199"/>
      <c r="E48" s="15"/>
      <c r="F48" s="194"/>
      <c r="G48" s="195"/>
      <c r="H48" s="194"/>
      <c r="I48" s="195"/>
      <c r="J48" s="194"/>
      <c r="K48" s="195"/>
      <c r="L48" s="194"/>
      <c r="M48" s="195"/>
      <c r="N48" s="194"/>
      <c r="O48" s="196"/>
      <c r="P48" s="197">
        <f t="shared" si="0"/>
        <v>0</v>
      </c>
    </row>
    <row r="49" spans="1:16" x14ac:dyDescent="0.25">
      <c r="A49" s="193">
        <v>1000117</v>
      </c>
      <c r="B49" s="12" t="s">
        <v>80</v>
      </c>
      <c r="C49" s="190"/>
      <c r="D49" s="199"/>
      <c r="E49" s="15"/>
      <c r="F49" s="194"/>
      <c r="G49" s="195"/>
      <c r="H49" s="194"/>
      <c r="I49" s="195"/>
      <c r="J49" s="194"/>
      <c r="K49" s="195"/>
      <c r="L49" s="194"/>
      <c r="M49" s="195"/>
      <c r="N49" s="194"/>
      <c r="O49" s="196"/>
      <c r="P49" s="197">
        <f t="shared" si="0"/>
        <v>0</v>
      </c>
    </row>
    <row r="50" spans="1:16" x14ac:dyDescent="0.25">
      <c r="A50" s="193">
        <v>1000034</v>
      </c>
      <c r="B50" s="12" t="s">
        <v>28</v>
      </c>
      <c r="C50" s="190"/>
      <c r="D50" s="199"/>
      <c r="E50" s="15"/>
      <c r="F50" s="194"/>
      <c r="G50" s="195"/>
      <c r="H50" s="194"/>
      <c r="I50" s="195"/>
      <c r="J50" s="194"/>
      <c r="K50" s="195"/>
      <c r="L50" s="194"/>
      <c r="M50" s="195"/>
      <c r="N50" s="194"/>
      <c r="O50" s="196"/>
      <c r="P50" s="197">
        <f t="shared" si="0"/>
        <v>0</v>
      </c>
    </row>
    <row r="51" spans="1:16" x14ac:dyDescent="0.25">
      <c r="A51" s="193">
        <v>1000062</v>
      </c>
      <c r="B51" s="12" t="s">
        <v>66</v>
      </c>
      <c r="C51" s="190"/>
      <c r="D51" s="199"/>
      <c r="E51" s="15"/>
      <c r="F51" s="194"/>
      <c r="G51" s="195"/>
      <c r="H51" s="194"/>
      <c r="I51" s="195"/>
      <c r="J51" s="194"/>
      <c r="K51" s="195"/>
      <c r="L51" s="194"/>
      <c r="M51" s="195"/>
      <c r="N51" s="194"/>
      <c r="O51" s="196"/>
      <c r="P51" s="197">
        <f t="shared" si="0"/>
        <v>0</v>
      </c>
    </row>
    <row r="52" spans="1:16" x14ac:dyDescent="0.25">
      <c r="A52" s="193">
        <v>1000075</v>
      </c>
      <c r="B52" s="12" t="s">
        <v>47</v>
      </c>
      <c r="C52" s="190"/>
      <c r="D52" s="199"/>
      <c r="E52" s="15"/>
      <c r="F52" s="194"/>
      <c r="G52" s="195"/>
      <c r="H52" s="194"/>
      <c r="I52" s="195"/>
      <c r="J52" s="194"/>
      <c r="K52" s="195"/>
      <c r="L52" s="194"/>
      <c r="M52" s="195"/>
      <c r="N52" s="194"/>
      <c r="O52" s="196"/>
      <c r="P52" s="197">
        <f t="shared" si="0"/>
        <v>0</v>
      </c>
    </row>
    <row r="53" spans="1:16" x14ac:dyDescent="0.25">
      <c r="A53" s="193">
        <v>1000472</v>
      </c>
      <c r="B53" s="12" t="s">
        <v>222</v>
      </c>
      <c r="C53" s="190"/>
      <c r="D53" s="199"/>
      <c r="E53" s="15"/>
      <c r="F53" s="194"/>
      <c r="G53" s="195"/>
      <c r="H53" s="194"/>
      <c r="I53" s="195"/>
      <c r="J53" s="194"/>
      <c r="K53" s="195"/>
      <c r="L53" s="194"/>
      <c r="M53" s="195"/>
      <c r="N53" s="194"/>
      <c r="O53" s="196"/>
      <c r="P53" s="197">
        <f t="shared" si="0"/>
        <v>0</v>
      </c>
    </row>
    <row r="54" spans="1:16" x14ac:dyDescent="0.25">
      <c r="A54" s="193">
        <v>1000025</v>
      </c>
      <c r="B54" s="12" t="s">
        <v>32</v>
      </c>
      <c r="C54" s="190"/>
      <c r="D54" s="199"/>
      <c r="E54" s="15"/>
      <c r="F54" s="194"/>
      <c r="G54" s="195"/>
      <c r="H54" s="194"/>
      <c r="I54" s="195"/>
      <c r="J54" s="194"/>
      <c r="K54" s="195"/>
      <c r="L54" s="194"/>
      <c r="M54" s="195"/>
      <c r="N54" s="194"/>
      <c r="O54" s="196"/>
      <c r="P54" s="197">
        <f t="shared" si="0"/>
        <v>0</v>
      </c>
    </row>
    <row r="55" spans="1:16" x14ac:dyDescent="0.25">
      <c r="A55" s="193">
        <v>1000301</v>
      </c>
      <c r="B55" s="12" t="s">
        <v>61</v>
      </c>
      <c r="C55" s="190"/>
      <c r="D55" s="199"/>
      <c r="E55" s="15"/>
      <c r="F55" s="194"/>
      <c r="G55" s="195"/>
      <c r="H55" s="194"/>
      <c r="I55" s="195"/>
      <c r="J55" s="194"/>
      <c r="K55" s="195"/>
      <c r="L55" s="194"/>
      <c r="M55" s="195"/>
      <c r="N55" s="194"/>
      <c r="O55" s="196"/>
      <c r="P55" s="197">
        <f t="shared" si="0"/>
        <v>0</v>
      </c>
    </row>
    <row r="56" spans="1:16" x14ac:dyDescent="0.25">
      <c r="A56" s="193">
        <v>1000302</v>
      </c>
      <c r="B56" s="12" t="s">
        <v>67</v>
      </c>
      <c r="C56" s="190"/>
      <c r="D56" s="199"/>
      <c r="E56" s="15"/>
      <c r="F56" s="194"/>
      <c r="G56" s="195"/>
      <c r="H56" s="194"/>
      <c r="I56" s="195"/>
      <c r="J56" s="194"/>
      <c r="K56" s="195"/>
      <c r="L56" s="194"/>
      <c r="M56" s="195"/>
      <c r="N56" s="194"/>
      <c r="O56" s="196"/>
      <c r="P56" s="197">
        <f t="shared" si="0"/>
        <v>0</v>
      </c>
    </row>
    <row r="57" spans="1:16" x14ac:dyDescent="0.25">
      <c r="A57" s="193">
        <v>1000205</v>
      </c>
      <c r="B57" s="12" t="s">
        <v>82</v>
      </c>
      <c r="C57" s="190"/>
      <c r="D57" s="199"/>
      <c r="E57" s="15"/>
      <c r="F57" s="194"/>
      <c r="G57" s="195"/>
      <c r="H57" s="194"/>
      <c r="I57" s="195"/>
      <c r="J57" s="194"/>
      <c r="K57" s="195"/>
      <c r="L57" s="194"/>
      <c r="M57" s="195"/>
      <c r="N57" s="194"/>
      <c r="O57" s="196"/>
      <c r="P57" s="197">
        <f t="shared" si="0"/>
        <v>0</v>
      </c>
    </row>
    <row r="58" spans="1:16" x14ac:dyDescent="0.25">
      <c r="A58" s="193">
        <v>1000080</v>
      </c>
      <c r="B58" s="12" t="s">
        <v>275</v>
      </c>
      <c r="C58" s="190"/>
      <c r="D58" s="199"/>
      <c r="E58" s="15"/>
      <c r="F58" s="194"/>
      <c r="G58" s="195"/>
      <c r="H58" s="194"/>
      <c r="I58" s="195"/>
      <c r="J58" s="194"/>
      <c r="K58" s="195"/>
      <c r="L58" s="194"/>
      <c r="M58" s="195"/>
      <c r="N58" s="194"/>
      <c r="O58" s="196"/>
      <c r="P58" s="197">
        <f t="shared" si="0"/>
        <v>0</v>
      </c>
    </row>
    <row r="59" spans="1:16" x14ac:dyDescent="0.25">
      <c r="A59" s="193">
        <v>1000436</v>
      </c>
      <c r="B59" s="12" t="s">
        <v>276</v>
      </c>
      <c r="C59" s="190"/>
      <c r="D59" s="199"/>
      <c r="E59" s="15"/>
      <c r="F59" s="194"/>
      <c r="G59" s="195"/>
      <c r="H59" s="194"/>
      <c r="I59" s="195"/>
      <c r="J59" s="194"/>
      <c r="K59" s="195"/>
      <c r="L59" s="194"/>
      <c r="M59" s="195"/>
      <c r="N59" s="194"/>
      <c r="O59" s="196"/>
      <c r="P59" s="197">
        <f t="shared" si="0"/>
        <v>0</v>
      </c>
    </row>
    <row r="60" spans="1:16" x14ac:dyDescent="0.25">
      <c r="A60" s="193">
        <v>1000550</v>
      </c>
      <c r="B60" s="12" t="s">
        <v>277</v>
      </c>
      <c r="C60" s="190"/>
      <c r="D60" s="199"/>
      <c r="E60" s="15"/>
      <c r="F60" s="194"/>
      <c r="G60" s="195"/>
      <c r="H60" s="194"/>
      <c r="I60" s="195"/>
      <c r="J60" s="194"/>
      <c r="K60" s="195"/>
      <c r="L60" s="194"/>
      <c r="M60" s="195"/>
      <c r="N60" s="194"/>
      <c r="O60" s="196"/>
      <c r="P60" s="197">
        <f t="shared" si="0"/>
        <v>0</v>
      </c>
    </row>
    <row r="61" spans="1:16" x14ac:dyDescent="0.25">
      <c r="A61" s="36">
        <v>1000551</v>
      </c>
      <c r="B61" s="12" t="s">
        <v>278</v>
      </c>
      <c r="D61" s="35"/>
      <c r="E61" s="215"/>
      <c r="F61" s="33"/>
      <c r="G61" s="34"/>
      <c r="H61" s="33"/>
      <c r="I61" s="34"/>
      <c r="J61" s="33"/>
      <c r="K61" s="34"/>
      <c r="L61" s="33"/>
      <c r="M61" s="34"/>
      <c r="N61" s="33"/>
      <c r="O61" s="34"/>
      <c r="P61" s="44">
        <f t="shared" si="0"/>
        <v>0</v>
      </c>
    </row>
    <row r="62" spans="1:16" ht="16.5" thickBot="1" x14ac:dyDescent="0.3">
      <c r="A62" s="207">
        <v>1000552</v>
      </c>
      <c r="B62" s="246" t="s">
        <v>279</v>
      </c>
      <c r="D62" s="38"/>
      <c r="E62" s="215"/>
      <c r="F62" s="39"/>
      <c r="G62" s="40"/>
      <c r="H62" s="39"/>
      <c r="I62" s="40"/>
      <c r="J62" s="39"/>
      <c r="K62" s="40"/>
      <c r="L62" s="39"/>
      <c r="M62" s="40"/>
      <c r="N62" s="39"/>
      <c r="O62" s="40"/>
      <c r="P62" s="38">
        <f t="shared" si="0"/>
        <v>0</v>
      </c>
    </row>
  </sheetData>
  <mergeCells count="3">
    <mergeCell ref="A1:B2"/>
    <mergeCell ref="D1:D2"/>
    <mergeCell ref="F1:J2"/>
  </mergeCells>
  <pageMargins left="0.7" right="0.7" top="0.75" bottom="0.75" header="0.3" footer="0.3"/>
  <pageSetup paperSize="9" scale="49" fitToWidth="0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F826-EAFD-4FC7-9202-4852C4AB7BC3}">
  <sheetPr>
    <pageSetUpPr fitToPage="1"/>
  </sheetPr>
  <dimension ref="A1:P45"/>
  <sheetViews>
    <sheetView zoomScale="70" zoomScaleNormal="70" workbookViewId="0">
      <selection activeCell="R43" sqref="R42:R43"/>
    </sheetView>
  </sheetViews>
  <sheetFormatPr baseColWidth="10" defaultColWidth="10.875" defaultRowHeight="15" x14ac:dyDescent="0.25"/>
  <cols>
    <col min="1" max="1" width="10.125" style="277" customWidth="1"/>
    <col min="2" max="2" width="34.625" style="277" customWidth="1"/>
    <col min="3" max="3" width="0.875" style="277" customWidth="1"/>
    <col min="4" max="4" width="8.125" style="277" bestFit="1" customWidth="1"/>
    <col min="5" max="5" width="1" style="277" customWidth="1"/>
    <col min="6" max="6" width="9.125" style="277" bestFit="1" customWidth="1"/>
    <col min="7" max="7" width="8.625" style="277" bestFit="1" customWidth="1"/>
    <col min="8" max="8" width="9.125" style="277" bestFit="1" customWidth="1"/>
    <col min="9" max="9" width="8.625" style="277" bestFit="1" customWidth="1"/>
    <col min="10" max="10" width="9.125" style="277" bestFit="1" customWidth="1"/>
    <col min="11" max="11" width="8.625" style="277" bestFit="1" customWidth="1"/>
    <col min="12" max="12" width="9.125" style="277" bestFit="1" customWidth="1"/>
    <col min="13" max="13" width="9" style="277" bestFit="1" customWidth="1"/>
    <col min="14" max="14" width="9.125" style="277" bestFit="1" customWidth="1"/>
    <col min="15" max="15" width="8.625" style="277" bestFit="1" customWidth="1"/>
    <col min="16" max="16384" width="10.875" style="277"/>
  </cols>
  <sheetData>
    <row r="1" spans="1:16" ht="15" customHeight="1" x14ac:dyDescent="0.45">
      <c r="A1" s="686" t="s">
        <v>281</v>
      </c>
      <c r="B1" s="687"/>
      <c r="C1" s="18"/>
      <c r="D1" s="18"/>
      <c r="F1" s="751" t="s">
        <v>472</v>
      </c>
      <c r="G1" s="752"/>
      <c r="H1" s="752"/>
      <c r="I1" s="752"/>
      <c r="J1" s="753"/>
      <c r="K1" s="2"/>
      <c r="L1" s="747" t="s">
        <v>170</v>
      </c>
      <c r="M1" s="749" t="s">
        <v>172</v>
      </c>
    </row>
    <row r="2" spans="1:16" s="3" customFormat="1" ht="16.5" customHeight="1" thickBot="1" x14ac:dyDescent="0.5">
      <c r="A2" s="688"/>
      <c r="B2" s="689"/>
      <c r="C2" s="18"/>
      <c r="D2" s="18"/>
      <c r="F2" s="754"/>
      <c r="G2" s="755"/>
      <c r="H2" s="755"/>
      <c r="I2" s="755"/>
      <c r="J2" s="756"/>
      <c r="K2" s="2"/>
      <c r="L2" s="748"/>
      <c r="M2" s="750"/>
    </row>
    <row r="3" spans="1:16" s="3" customFormat="1" ht="7.5" customHeight="1" thickBot="1" x14ac:dyDescent="0.3">
      <c r="A3" s="5"/>
      <c r="B3" s="5"/>
      <c r="C3" s="18"/>
      <c r="D3" s="18"/>
    </row>
    <row r="4" spans="1:16" s="3" customFormat="1" ht="16.5" thickBot="1" x14ac:dyDescent="0.3">
      <c r="A4" s="6" t="s">
        <v>0</v>
      </c>
      <c r="B4" s="6" t="s">
        <v>105</v>
      </c>
      <c r="C4" s="4"/>
      <c r="D4" s="21" t="s">
        <v>106</v>
      </c>
      <c r="E4" s="277"/>
      <c r="F4" s="19" t="s">
        <v>107</v>
      </c>
      <c r="G4" s="20" t="s">
        <v>113</v>
      </c>
      <c r="H4" s="19" t="s">
        <v>108</v>
      </c>
      <c r="I4" s="20" t="s">
        <v>114</v>
      </c>
      <c r="J4" s="19" t="s">
        <v>109</v>
      </c>
      <c r="K4" s="20" t="s">
        <v>115</v>
      </c>
      <c r="L4" s="19" t="s">
        <v>110</v>
      </c>
      <c r="M4" s="20" t="s">
        <v>116</v>
      </c>
      <c r="N4" s="19" t="s">
        <v>111</v>
      </c>
      <c r="O4" s="20" t="s">
        <v>117</v>
      </c>
      <c r="P4" s="21" t="s">
        <v>98</v>
      </c>
    </row>
    <row r="5" spans="1:16" ht="15.75" thickBot="1" x14ac:dyDescent="0.3">
      <c r="A5" s="278">
        <v>10000015</v>
      </c>
      <c r="B5" s="11" t="s">
        <v>1</v>
      </c>
      <c r="C5" s="279"/>
      <c r="D5" s="301">
        <v>1</v>
      </c>
      <c r="F5" s="280">
        <v>15</v>
      </c>
      <c r="G5" s="281"/>
      <c r="H5" s="280"/>
      <c r="I5" s="281"/>
      <c r="J5" s="280"/>
      <c r="K5" s="281"/>
      <c r="L5" s="280"/>
      <c r="M5" s="281"/>
      <c r="N5" s="280"/>
      <c r="O5" s="281"/>
      <c r="P5" s="641">
        <f t="shared" ref="P5:P45" si="0">SUM(F5:O5)</f>
        <v>15</v>
      </c>
    </row>
    <row r="6" spans="1:16" ht="15.75" thickBot="1" x14ac:dyDescent="0.3">
      <c r="A6" s="282">
        <v>1000006</v>
      </c>
      <c r="B6" s="12" t="s">
        <v>4</v>
      </c>
      <c r="C6" s="279"/>
      <c r="D6" s="302">
        <v>150</v>
      </c>
      <c r="F6" s="283">
        <v>150</v>
      </c>
      <c r="G6" s="284"/>
      <c r="H6" s="283"/>
      <c r="I6" s="284"/>
      <c r="J6" s="283"/>
      <c r="K6" s="284"/>
      <c r="L6" s="283"/>
      <c r="M6" s="284"/>
      <c r="N6" s="283"/>
      <c r="O6" s="284"/>
      <c r="P6" s="641">
        <f t="shared" si="0"/>
        <v>150</v>
      </c>
    </row>
    <row r="7" spans="1:16" ht="15.75" thickBot="1" x14ac:dyDescent="0.3">
      <c r="A7" s="282">
        <v>1000007</v>
      </c>
      <c r="B7" s="12" t="s">
        <v>5</v>
      </c>
      <c r="C7" s="279"/>
      <c r="D7" s="302">
        <v>100</v>
      </c>
      <c r="F7" s="283">
        <v>150</v>
      </c>
      <c r="G7" s="284"/>
      <c r="H7" s="283"/>
      <c r="I7" s="284"/>
      <c r="J7" s="283"/>
      <c r="K7" s="284"/>
      <c r="L7" s="283"/>
      <c r="M7" s="284"/>
      <c r="N7" s="283"/>
      <c r="O7" s="284"/>
      <c r="P7" s="641">
        <f t="shared" si="0"/>
        <v>150</v>
      </c>
    </row>
    <row r="8" spans="1:16" ht="15.75" thickBot="1" x14ac:dyDescent="0.3">
      <c r="A8" s="282">
        <v>1000001</v>
      </c>
      <c r="B8" s="12" t="s">
        <v>8</v>
      </c>
      <c r="C8" s="279"/>
      <c r="D8" s="302">
        <v>3</v>
      </c>
      <c r="F8" s="283">
        <v>18</v>
      </c>
      <c r="G8" s="284"/>
      <c r="H8" s="283"/>
      <c r="I8" s="284"/>
      <c r="J8" s="283"/>
      <c r="K8" s="284"/>
      <c r="L8" s="283"/>
      <c r="M8" s="284"/>
      <c r="N8" s="283"/>
      <c r="O8" s="284"/>
      <c r="P8" s="641">
        <f t="shared" si="0"/>
        <v>18</v>
      </c>
    </row>
    <row r="9" spans="1:16" ht="15.75" thickBot="1" x14ac:dyDescent="0.3">
      <c r="A9" s="282">
        <v>1000002</v>
      </c>
      <c r="B9" s="12" t="s">
        <v>9</v>
      </c>
      <c r="C9" s="279"/>
      <c r="D9" s="302">
        <v>1</v>
      </c>
      <c r="F9" s="283">
        <v>6</v>
      </c>
      <c r="G9" s="284"/>
      <c r="H9" s="283"/>
      <c r="I9" s="284"/>
      <c r="J9" s="283"/>
      <c r="K9" s="284"/>
      <c r="L9" s="283"/>
      <c r="M9" s="284"/>
      <c r="N9" s="283"/>
      <c r="O9" s="284"/>
      <c r="P9" s="641">
        <f t="shared" si="0"/>
        <v>6</v>
      </c>
    </row>
    <row r="10" spans="1:16" ht="15.75" thickBot="1" x14ac:dyDescent="0.3">
      <c r="A10" s="282">
        <v>1000004</v>
      </c>
      <c r="B10" s="12" t="s">
        <v>10</v>
      </c>
      <c r="C10" s="279"/>
      <c r="D10" s="302">
        <v>0</v>
      </c>
      <c r="F10" s="283">
        <v>24</v>
      </c>
      <c r="G10" s="284"/>
      <c r="H10" s="283"/>
      <c r="I10" s="284"/>
      <c r="J10" s="283"/>
      <c r="K10" s="284"/>
      <c r="L10" s="283"/>
      <c r="M10" s="284"/>
      <c r="N10" s="283"/>
      <c r="O10" s="284"/>
      <c r="P10" s="641">
        <f t="shared" si="0"/>
        <v>24</v>
      </c>
    </row>
    <row r="11" spans="1:16" ht="15.75" thickBot="1" x14ac:dyDescent="0.3">
      <c r="A11" s="282">
        <v>1000067</v>
      </c>
      <c r="B11" s="12" t="s">
        <v>11</v>
      </c>
      <c r="C11" s="279"/>
      <c r="D11" s="302">
        <v>0</v>
      </c>
      <c r="F11" s="283">
        <v>8</v>
      </c>
      <c r="G11" s="284"/>
      <c r="H11" s="283"/>
      <c r="I11" s="284"/>
      <c r="J11" s="283"/>
      <c r="K11" s="284"/>
      <c r="L11" s="283"/>
      <c r="M11" s="284"/>
      <c r="N11" s="283"/>
      <c r="O11" s="284"/>
      <c r="P11" s="641">
        <f t="shared" si="0"/>
        <v>8</v>
      </c>
    </row>
    <row r="12" spans="1:16" ht="15.75" thickBot="1" x14ac:dyDescent="0.3">
      <c r="A12" s="282">
        <v>1000054</v>
      </c>
      <c r="B12" s="12" t="s">
        <v>12</v>
      </c>
      <c r="C12" s="279"/>
      <c r="D12" s="302">
        <v>10</v>
      </c>
      <c r="F12" s="283">
        <v>20</v>
      </c>
      <c r="G12" s="284"/>
      <c r="H12" s="283"/>
      <c r="I12" s="284"/>
      <c r="J12" s="283"/>
      <c r="K12" s="284"/>
      <c r="L12" s="283"/>
      <c r="M12" s="284"/>
      <c r="N12" s="283"/>
      <c r="O12" s="284"/>
      <c r="P12" s="641">
        <f t="shared" si="0"/>
        <v>20</v>
      </c>
    </row>
    <row r="13" spans="1:16" ht="15.75" thickBot="1" x14ac:dyDescent="0.3">
      <c r="A13" s="282">
        <v>1000070</v>
      </c>
      <c r="B13" s="12" t="s">
        <v>13</v>
      </c>
      <c r="C13" s="279"/>
      <c r="D13" s="302">
        <v>0</v>
      </c>
      <c r="F13" s="283">
        <v>10</v>
      </c>
      <c r="G13" s="284"/>
      <c r="H13" s="283"/>
      <c r="I13" s="284"/>
      <c r="J13" s="283"/>
      <c r="K13" s="284"/>
      <c r="L13" s="283"/>
      <c r="M13" s="284"/>
      <c r="N13" s="283"/>
      <c r="O13" s="284"/>
      <c r="P13" s="641">
        <f t="shared" si="0"/>
        <v>10</v>
      </c>
    </row>
    <row r="14" spans="1:16" ht="15.75" thickBot="1" x14ac:dyDescent="0.3">
      <c r="A14" s="282">
        <v>1000017</v>
      </c>
      <c r="B14" s="12" t="s">
        <v>14</v>
      </c>
      <c r="C14" s="279"/>
      <c r="D14" s="302">
        <v>10</v>
      </c>
      <c r="F14" s="283">
        <v>40</v>
      </c>
      <c r="G14" s="284"/>
      <c r="H14" s="283"/>
      <c r="I14" s="284"/>
      <c r="J14" s="283"/>
      <c r="K14" s="284"/>
      <c r="L14" s="283"/>
      <c r="M14" s="284"/>
      <c r="N14" s="283"/>
      <c r="O14" s="284"/>
      <c r="P14" s="641">
        <f t="shared" si="0"/>
        <v>40</v>
      </c>
    </row>
    <row r="15" spans="1:16" x14ac:dyDescent="0.25">
      <c r="A15" s="282">
        <v>1000016</v>
      </c>
      <c r="B15" s="12" t="s">
        <v>15</v>
      </c>
      <c r="C15" s="279"/>
      <c r="D15" s="302">
        <v>2</v>
      </c>
      <c r="F15" s="283">
        <v>15</v>
      </c>
      <c r="G15" s="284"/>
      <c r="H15" s="283"/>
      <c r="I15" s="284"/>
      <c r="J15" s="283"/>
      <c r="K15" s="284"/>
      <c r="L15" s="283"/>
      <c r="M15" s="284"/>
      <c r="N15" s="283"/>
      <c r="O15" s="284"/>
      <c r="P15" s="641">
        <f t="shared" si="0"/>
        <v>15</v>
      </c>
    </row>
    <row r="16" spans="1:16" x14ac:dyDescent="0.25">
      <c r="A16" s="282">
        <v>1000041</v>
      </c>
      <c r="B16" s="13" t="s">
        <v>16</v>
      </c>
      <c r="C16" s="279"/>
      <c r="D16" s="302">
        <v>1</v>
      </c>
      <c r="F16" s="283"/>
      <c r="G16" s="284"/>
      <c r="H16" s="283"/>
      <c r="I16" s="284"/>
      <c r="J16" s="283"/>
      <c r="K16" s="284"/>
      <c r="L16" s="283"/>
      <c r="M16" s="284"/>
      <c r="N16" s="283"/>
      <c r="O16" s="284"/>
      <c r="P16" s="282">
        <f t="shared" si="0"/>
        <v>0</v>
      </c>
    </row>
    <row r="17" spans="1:16" x14ac:dyDescent="0.25">
      <c r="A17" s="282">
        <v>1000009</v>
      </c>
      <c r="B17" s="12" t="s">
        <v>19</v>
      </c>
      <c r="C17" s="279"/>
      <c r="D17" s="302">
        <v>0</v>
      </c>
      <c r="F17" s="283"/>
      <c r="G17" s="284"/>
      <c r="H17" s="283"/>
      <c r="I17" s="284"/>
      <c r="J17" s="283"/>
      <c r="K17" s="284"/>
      <c r="L17" s="283"/>
      <c r="M17" s="284"/>
      <c r="N17" s="283"/>
      <c r="O17" s="284"/>
      <c r="P17" s="282">
        <f t="shared" si="0"/>
        <v>0</v>
      </c>
    </row>
    <row r="18" spans="1:16" x14ac:dyDescent="0.25">
      <c r="A18" s="282">
        <v>1000012</v>
      </c>
      <c r="B18" s="14" t="s">
        <v>20</v>
      </c>
      <c r="C18" s="279"/>
      <c r="D18" s="302">
        <v>0</v>
      </c>
      <c r="F18" s="283"/>
      <c r="G18" s="284"/>
      <c r="H18" s="283"/>
      <c r="I18" s="284"/>
      <c r="J18" s="283"/>
      <c r="K18" s="284"/>
      <c r="L18" s="283"/>
      <c r="M18" s="284"/>
      <c r="N18" s="283"/>
      <c r="O18" s="284"/>
      <c r="P18" s="282">
        <f t="shared" si="0"/>
        <v>0</v>
      </c>
    </row>
    <row r="19" spans="1:16" x14ac:dyDescent="0.25">
      <c r="A19" s="282">
        <v>1000050</v>
      </c>
      <c r="B19" s="12" t="s">
        <v>22</v>
      </c>
      <c r="C19" s="279"/>
      <c r="D19" s="302">
        <v>1</v>
      </c>
      <c r="F19" s="283">
        <v>4</v>
      </c>
      <c r="G19" s="284"/>
      <c r="H19" s="283"/>
      <c r="I19" s="284"/>
      <c r="J19" s="283"/>
      <c r="K19" s="284"/>
      <c r="L19" s="283"/>
      <c r="M19" s="284"/>
      <c r="N19" s="283"/>
      <c r="O19" s="284"/>
      <c r="P19" s="642">
        <f t="shared" si="0"/>
        <v>4</v>
      </c>
    </row>
    <row r="20" spans="1:16" x14ac:dyDescent="0.25">
      <c r="A20" s="282">
        <v>1000045</v>
      </c>
      <c r="B20" s="12" t="s">
        <v>23</v>
      </c>
      <c r="C20" s="279"/>
      <c r="D20" s="302">
        <v>0</v>
      </c>
      <c r="F20" s="283"/>
      <c r="G20" s="284"/>
      <c r="H20" s="283"/>
      <c r="I20" s="284"/>
      <c r="J20" s="283"/>
      <c r="K20" s="284"/>
      <c r="L20" s="283"/>
      <c r="M20" s="284"/>
      <c r="N20" s="283"/>
      <c r="O20" s="284"/>
      <c r="P20" s="282">
        <f t="shared" si="0"/>
        <v>0</v>
      </c>
    </row>
    <row r="21" spans="1:16" x14ac:dyDescent="0.25">
      <c r="A21" s="282">
        <v>1000030</v>
      </c>
      <c r="B21" s="12" t="s">
        <v>24</v>
      </c>
      <c r="C21" s="279"/>
      <c r="D21" s="302">
        <v>1</v>
      </c>
      <c r="F21" s="283"/>
      <c r="G21" s="284"/>
      <c r="H21" s="283"/>
      <c r="I21" s="284"/>
      <c r="J21" s="283"/>
      <c r="K21" s="284"/>
      <c r="L21" s="283"/>
      <c r="M21" s="284"/>
      <c r="N21" s="283"/>
      <c r="O21" s="284"/>
      <c r="P21" s="282">
        <f t="shared" si="0"/>
        <v>0</v>
      </c>
    </row>
    <row r="22" spans="1:16" x14ac:dyDescent="0.25">
      <c r="A22" s="282">
        <v>1000031</v>
      </c>
      <c r="B22" s="12" t="s">
        <v>25</v>
      </c>
      <c r="C22" s="279"/>
      <c r="D22" s="302">
        <v>0</v>
      </c>
      <c r="F22" s="283">
        <v>2</v>
      </c>
      <c r="G22" s="284"/>
      <c r="H22" s="283"/>
      <c r="I22" s="284"/>
      <c r="J22" s="283"/>
      <c r="K22" s="284"/>
      <c r="L22" s="283"/>
      <c r="M22" s="284"/>
      <c r="N22" s="283"/>
      <c r="O22" s="284"/>
      <c r="P22" s="642">
        <f t="shared" si="0"/>
        <v>2</v>
      </c>
    </row>
    <row r="23" spans="1:16" x14ac:dyDescent="0.25">
      <c r="A23" s="282">
        <v>1000029</v>
      </c>
      <c r="B23" s="12" t="s">
        <v>30</v>
      </c>
      <c r="C23" s="279"/>
      <c r="D23" s="302">
        <v>0</v>
      </c>
      <c r="F23" s="283">
        <v>2</v>
      </c>
      <c r="G23" s="284"/>
      <c r="H23" s="283"/>
      <c r="I23" s="284"/>
      <c r="J23" s="283"/>
      <c r="K23" s="284"/>
      <c r="L23" s="283"/>
      <c r="M23" s="284"/>
      <c r="N23" s="283"/>
      <c r="O23" s="284"/>
      <c r="P23" s="642">
        <f t="shared" si="0"/>
        <v>2</v>
      </c>
    </row>
    <row r="24" spans="1:16" x14ac:dyDescent="0.25">
      <c r="A24" s="282">
        <v>1000025</v>
      </c>
      <c r="B24" s="12" t="s">
        <v>32</v>
      </c>
      <c r="C24" s="279"/>
      <c r="D24" s="302">
        <v>3</v>
      </c>
      <c r="F24" s="283">
        <v>15</v>
      </c>
      <c r="G24" s="284"/>
      <c r="H24" s="283"/>
      <c r="I24" s="284"/>
      <c r="J24" s="283"/>
      <c r="K24" s="284"/>
      <c r="L24" s="283"/>
      <c r="M24" s="284"/>
      <c r="N24" s="283"/>
      <c r="O24" s="284"/>
      <c r="P24" s="642">
        <f t="shared" si="0"/>
        <v>15</v>
      </c>
    </row>
    <row r="25" spans="1:16" x14ac:dyDescent="0.25">
      <c r="A25" s="282">
        <v>1000100</v>
      </c>
      <c r="B25" s="12" t="s">
        <v>34</v>
      </c>
      <c r="C25" s="279"/>
      <c r="D25" s="302">
        <v>0</v>
      </c>
      <c r="E25" s="15"/>
      <c r="F25" s="283">
        <v>2</v>
      </c>
      <c r="G25" s="284"/>
      <c r="H25" s="283"/>
      <c r="I25" s="284"/>
      <c r="J25" s="283"/>
      <c r="K25" s="284"/>
      <c r="L25" s="283"/>
      <c r="M25" s="284"/>
      <c r="N25" s="283"/>
      <c r="O25" s="287"/>
      <c r="P25" s="642">
        <f t="shared" si="0"/>
        <v>2</v>
      </c>
    </row>
    <row r="26" spans="1:16" ht="25.5" customHeight="1" thickBot="1" x14ac:dyDescent="0.3">
      <c r="A26" s="293">
        <v>1000535</v>
      </c>
      <c r="B26" s="307" t="s">
        <v>266</v>
      </c>
      <c r="C26" s="279"/>
      <c r="D26" s="302">
        <v>7</v>
      </c>
      <c r="F26" s="283">
        <v>16</v>
      </c>
      <c r="G26" s="284"/>
      <c r="H26" s="283"/>
      <c r="I26" s="284"/>
      <c r="J26" s="283"/>
      <c r="K26" s="284"/>
      <c r="L26" s="283"/>
      <c r="M26" s="284"/>
      <c r="N26" s="283"/>
      <c r="O26" s="287"/>
      <c r="P26" s="642">
        <f t="shared" si="0"/>
        <v>16</v>
      </c>
    </row>
    <row r="27" spans="1:16" x14ac:dyDescent="0.25">
      <c r="A27" s="288">
        <v>1000146</v>
      </c>
      <c r="B27" s="13" t="s">
        <v>39</v>
      </c>
      <c r="C27" s="279"/>
      <c r="D27" s="302">
        <v>5</v>
      </c>
      <c r="F27" s="283"/>
      <c r="G27" s="284"/>
      <c r="H27" s="283"/>
      <c r="I27" s="284"/>
      <c r="J27" s="283"/>
      <c r="K27" s="284"/>
      <c r="L27" s="283"/>
      <c r="M27" s="284"/>
      <c r="N27" s="283"/>
      <c r="O27" s="287"/>
      <c r="P27" s="288">
        <f t="shared" si="0"/>
        <v>0</v>
      </c>
    </row>
    <row r="28" spans="1:16" ht="15.75" thickBot="1" x14ac:dyDescent="0.3">
      <c r="A28" s="293">
        <v>10248</v>
      </c>
      <c r="B28" s="303" t="s">
        <v>183</v>
      </c>
      <c r="C28" s="279"/>
      <c r="D28" s="302">
        <v>0</v>
      </c>
      <c r="F28" s="283">
        <v>24</v>
      </c>
      <c r="G28" s="284"/>
      <c r="H28" s="283"/>
      <c r="I28" s="284"/>
      <c r="J28" s="283"/>
      <c r="K28" s="284"/>
      <c r="L28" s="283"/>
      <c r="M28" s="284"/>
      <c r="N28" s="283"/>
      <c r="O28" s="287"/>
      <c r="P28" s="643">
        <f t="shared" si="0"/>
        <v>24</v>
      </c>
    </row>
    <row r="29" spans="1:16" x14ac:dyDescent="0.25">
      <c r="A29" s="288">
        <v>1000052</v>
      </c>
      <c r="B29" s="13" t="s">
        <v>41</v>
      </c>
      <c r="C29" s="279"/>
      <c r="D29" s="302">
        <v>2</v>
      </c>
      <c r="F29" s="283">
        <v>6</v>
      </c>
      <c r="G29" s="284"/>
      <c r="H29" s="283"/>
      <c r="I29" s="284"/>
      <c r="J29" s="283"/>
      <c r="K29" s="284"/>
      <c r="L29" s="283"/>
      <c r="M29" s="284"/>
      <c r="N29" s="283"/>
      <c r="O29" s="287"/>
      <c r="P29" s="643">
        <f t="shared" si="0"/>
        <v>6</v>
      </c>
    </row>
    <row r="30" spans="1:16" x14ac:dyDescent="0.25">
      <c r="A30" s="288">
        <v>1000089</v>
      </c>
      <c r="B30" s="13" t="s">
        <v>42</v>
      </c>
      <c r="C30" s="279"/>
      <c r="D30" s="302">
        <v>2</v>
      </c>
      <c r="F30" s="283">
        <v>6</v>
      </c>
      <c r="G30" s="284"/>
      <c r="H30" s="283"/>
      <c r="I30" s="284"/>
      <c r="J30" s="283"/>
      <c r="K30" s="284"/>
      <c r="L30" s="283"/>
      <c r="M30" s="284"/>
      <c r="N30" s="283"/>
      <c r="O30" s="287"/>
      <c r="P30" s="643">
        <f t="shared" si="0"/>
        <v>6</v>
      </c>
    </row>
    <row r="31" spans="1:16" x14ac:dyDescent="0.25">
      <c r="A31" s="288">
        <v>1000051</v>
      </c>
      <c r="B31" s="13" t="s">
        <v>43</v>
      </c>
      <c r="C31" s="279"/>
      <c r="D31" s="302">
        <v>1</v>
      </c>
      <c r="F31" s="283">
        <v>4</v>
      </c>
      <c r="G31" s="284"/>
      <c r="H31" s="283"/>
      <c r="I31" s="284"/>
      <c r="J31" s="283"/>
      <c r="K31" s="284"/>
      <c r="L31" s="283"/>
      <c r="M31" s="284"/>
      <c r="N31" s="283"/>
      <c r="O31" s="287"/>
      <c r="P31" s="643">
        <f t="shared" si="0"/>
        <v>4</v>
      </c>
    </row>
    <row r="32" spans="1:16" x14ac:dyDescent="0.25">
      <c r="A32" s="282">
        <v>1000048</v>
      </c>
      <c r="B32" s="12" t="s">
        <v>45</v>
      </c>
      <c r="C32" s="279"/>
      <c r="D32" s="302">
        <v>0</v>
      </c>
      <c r="E32" s="15"/>
      <c r="F32" s="283">
        <v>2</v>
      </c>
      <c r="G32" s="284"/>
      <c r="H32" s="283"/>
      <c r="I32" s="284"/>
      <c r="J32" s="283"/>
      <c r="K32" s="284"/>
      <c r="L32" s="283"/>
      <c r="M32" s="284"/>
      <c r="N32" s="283"/>
      <c r="O32" s="287"/>
      <c r="P32" s="643">
        <f t="shared" si="0"/>
        <v>2</v>
      </c>
    </row>
    <row r="33" spans="1:16" x14ac:dyDescent="0.25">
      <c r="A33" s="288">
        <v>1000147</v>
      </c>
      <c r="B33" s="13" t="s">
        <v>52</v>
      </c>
      <c r="C33" s="279"/>
      <c r="D33" s="302">
        <v>0</v>
      </c>
      <c r="F33" s="283"/>
      <c r="G33" s="284"/>
      <c r="H33" s="283"/>
      <c r="I33" s="284"/>
      <c r="J33" s="283"/>
      <c r="K33" s="284"/>
      <c r="L33" s="283"/>
      <c r="M33" s="284"/>
      <c r="N33" s="283"/>
      <c r="O33" s="287"/>
      <c r="P33" s="288">
        <f t="shared" si="0"/>
        <v>0</v>
      </c>
    </row>
    <row r="34" spans="1:16" x14ac:dyDescent="0.25">
      <c r="A34" s="288">
        <v>1000142</v>
      </c>
      <c r="B34" s="13" t="s">
        <v>54</v>
      </c>
      <c r="C34" s="279"/>
      <c r="D34" s="302">
        <v>0</v>
      </c>
      <c r="F34" s="283"/>
      <c r="G34" s="284"/>
      <c r="H34" s="283"/>
      <c r="I34" s="284"/>
      <c r="J34" s="283"/>
      <c r="K34" s="284"/>
      <c r="L34" s="283"/>
      <c r="M34" s="284"/>
      <c r="N34" s="283"/>
      <c r="O34" s="287"/>
      <c r="P34" s="288">
        <f t="shared" si="0"/>
        <v>0</v>
      </c>
    </row>
    <row r="35" spans="1:16" x14ac:dyDescent="0.25">
      <c r="A35" s="285">
        <v>1000049</v>
      </c>
      <c r="B35" s="1" t="s">
        <v>21</v>
      </c>
      <c r="C35" s="279"/>
      <c r="D35" s="302"/>
      <c r="F35" s="283"/>
      <c r="G35" s="284"/>
      <c r="H35" s="283"/>
      <c r="I35" s="284"/>
      <c r="J35" s="283"/>
      <c r="K35" s="284"/>
      <c r="L35" s="283"/>
      <c r="M35" s="284"/>
      <c r="N35" s="283"/>
      <c r="O35" s="287"/>
      <c r="P35" s="304">
        <f t="shared" si="0"/>
        <v>0</v>
      </c>
    </row>
    <row r="36" spans="1:16" x14ac:dyDescent="0.25">
      <c r="A36" s="285">
        <v>1000076</v>
      </c>
      <c r="B36" s="1" t="s">
        <v>46</v>
      </c>
      <c r="C36" s="279"/>
      <c r="D36" s="302"/>
      <c r="F36" s="283"/>
      <c r="G36" s="284"/>
      <c r="H36" s="283"/>
      <c r="I36" s="284"/>
      <c r="J36" s="283"/>
      <c r="K36" s="284"/>
      <c r="L36" s="283"/>
      <c r="M36" s="284"/>
      <c r="N36" s="283"/>
      <c r="O36" s="284"/>
      <c r="P36" s="284">
        <f t="shared" si="0"/>
        <v>0</v>
      </c>
    </row>
    <row r="37" spans="1:16" s="15" customFormat="1" ht="15.95" customHeight="1" x14ac:dyDescent="0.25">
      <c r="A37" s="291">
        <v>1000033</v>
      </c>
      <c r="B37" s="292" t="s">
        <v>27</v>
      </c>
      <c r="C37" s="279"/>
      <c r="D37" s="289"/>
      <c r="E37" s="277"/>
      <c r="F37" s="286"/>
      <c r="G37" s="287"/>
      <c r="H37" s="286"/>
      <c r="I37" s="287"/>
      <c r="J37" s="286"/>
      <c r="K37" s="287"/>
      <c r="L37" s="286"/>
      <c r="M37" s="287"/>
      <c r="N37" s="286"/>
      <c r="O37" s="287"/>
      <c r="P37" s="287">
        <f t="shared" si="0"/>
        <v>0</v>
      </c>
    </row>
    <row r="38" spans="1:16" x14ac:dyDescent="0.25">
      <c r="A38" s="305">
        <v>1000472</v>
      </c>
      <c r="B38" s="306" t="s">
        <v>222</v>
      </c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87">
        <f t="shared" si="0"/>
        <v>0</v>
      </c>
    </row>
    <row r="39" spans="1:16" ht="15.75" thickBot="1" x14ac:dyDescent="0.3">
      <c r="A39" s="293">
        <v>1000383</v>
      </c>
      <c r="B39" s="294" t="s">
        <v>264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87">
        <f t="shared" si="0"/>
        <v>0</v>
      </c>
    </row>
    <row r="40" spans="1:16" x14ac:dyDescent="0.25">
      <c r="A40" s="298">
        <v>1000073</v>
      </c>
      <c r="B40" s="295" t="s">
        <v>36</v>
      </c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87">
        <f t="shared" si="0"/>
        <v>0</v>
      </c>
    </row>
    <row r="41" spans="1:16" x14ac:dyDescent="0.25">
      <c r="A41" s="297">
        <v>1000075</v>
      </c>
      <c r="B41" s="306" t="s">
        <v>47</v>
      </c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87">
        <f t="shared" si="0"/>
        <v>0</v>
      </c>
    </row>
    <row r="42" spans="1:16" x14ac:dyDescent="0.25">
      <c r="A42" s="297">
        <v>1000008</v>
      </c>
      <c r="B42" s="306" t="s">
        <v>7</v>
      </c>
      <c r="C42" s="290"/>
      <c r="D42" s="290"/>
      <c r="E42" s="290"/>
      <c r="F42" s="290">
        <v>200</v>
      </c>
      <c r="G42" s="290"/>
      <c r="H42" s="290"/>
      <c r="I42" s="290"/>
      <c r="J42" s="290"/>
      <c r="K42" s="290"/>
      <c r="L42" s="290"/>
      <c r="M42" s="290"/>
      <c r="N42" s="290"/>
      <c r="O42" s="290"/>
      <c r="P42" s="644">
        <f t="shared" si="0"/>
        <v>200</v>
      </c>
    </row>
    <row r="43" spans="1:16" x14ac:dyDescent="0.25">
      <c r="A43" s="297">
        <v>1000010</v>
      </c>
      <c r="B43" s="306" t="s">
        <v>17</v>
      </c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87">
        <f t="shared" si="0"/>
        <v>0</v>
      </c>
    </row>
    <row r="44" spans="1:16" x14ac:dyDescent="0.25">
      <c r="A44" s="298">
        <v>1000090</v>
      </c>
      <c r="B44" s="295" t="s">
        <v>40</v>
      </c>
      <c r="C44" s="296"/>
      <c r="D44" s="296"/>
      <c r="E44" s="296"/>
      <c r="F44" s="296">
        <v>10</v>
      </c>
      <c r="G44" s="296"/>
      <c r="H44" s="296"/>
      <c r="I44" s="296"/>
      <c r="J44" s="296"/>
      <c r="K44" s="296"/>
      <c r="L44" s="296"/>
      <c r="M44" s="296"/>
      <c r="N44" s="296"/>
      <c r="O44" s="296"/>
      <c r="P44" s="644">
        <f t="shared" si="0"/>
        <v>10</v>
      </c>
    </row>
    <row r="45" spans="1:16" x14ac:dyDescent="0.25">
      <c r="A45" s="298"/>
      <c r="B45" s="295" t="s">
        <v>473</v>
      </c>
      <c r="D45" s="296"/>
      <c r="F45" s="296">
        <v>24</v>
      </c>
      <c r="G45" s="296"/>
      <c r="H45" s="296"/>
      <c r="I45" s="296"/>
      <c r="J45" s="296"/>
      <c r="K45" s="296"/>
      <c r="L45" s="296"/>
      <c r="M45" s="296"/>
      <c r="N45" s="296"/>
      <c r="O45" s="296"/>
      <c r="P45" s="644">
        <f t="shared" si="0"/>
        <v>24</v>
      </c>
    </row>
  </sheetData>
  <mergeCells count="4">
    <mergeCell ref="A1:B2"/>
    <mergeCell ref="F1:J2"/>
    <mergeCell ref="L1:L2"/>
    <mergeCell ref="M1:M2"/>
  </mergeCells>
  <pageMargins left="0.25" right="0.25" top="0.75" bottom="0.75" header="0.3" footer="0.3"/>
  <pageSetup paperSize="9" scale="73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D512-2B24-46F8-B02E-8EA95A7A381E}">
  <sheetPr>
    <tabColor theme="9" tint="-0.249977111117893"/>
  </sheetPr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130</vt:i4>
      </vt:variant>
      <vt:variant>
        <vt:lpstr>Rangos con nombre</vt:lpstr>
      </vt:variant>
      <vt:variant>
        <vt:i4>3</vt:i4>
      </vt:variant>
    </vt:vector>
  </HeadingPairs>
  <TitlesOfParts>
    <vt:vector size="133" baseType="lpstr">
      <vt:lpstr>Hoja1</vt:lpstr>
      <vt:lpstr>Catamaran SET - MARTES</vt:lpstr>
      <vt:lpstr>Adm Puerto de Frutos - MARTES </vt:lpstr>
      <vt:lpstr>Turismo - MARTES</vt:lpstr>
      <vt:lpstr>Biblioteca Tigre - MARTES</vt:lpstr>
      <vt:lpstr>Casa de las Culturas - MARTES</vt:lpstr>
      <vt:lpstr>CS Río Carapachay - MARTES</vt:lpstr>
      <vt:lpstr>Ed Azul P2 - MARTES</vt:lpstr>
      <vt:lpstr>Ed Azul P11 - MARTES</vt:lpstr>
      <vt:lpstr>Ed Azul P13 - MARTES</vt:lpstr>
      <vt:lpstr>Estación Fluvial - MARTES</vt:lpstr>
      <vt:lpstr>Hispano - MARTES</vt:lpstr>
      <vt:lpstr>Nutrición - IMANS -MARTES</vt:lpstr>
      <vt:lpstr>Poli Dique Lujan - MARTES</vt:lpstr>
      <vt:lpstr>Puerto Ambiental - MARTES</vt:lpstr>
      <vt:lpstr>ECOSOL- MARTES</vt:lpstr>
      <vt:lpstr>Biblioteca Rincon - MARTES</vt:lpstr>
      <vt:lpstr>C. S.  Dique Luján - MARTES</vt:lpstr>
      <vt:lpstr>Del.Nuevo Delta - MARTES</vt:lpstr>
      <vt:lpstr>C.S. Juana Manzo - MARTES</vt:lpstr>
      <vt:lpstr>POLID RINCON - MARTES</vt:lpstr>
      <vt:lpstr>Desarrollo Economico - MARTES</vt:lpstr>
      <vt:lpstr>CAP Carupa - MARTES</vt:lpstr>
      <vt:lpstr>SET CARUPÁ - MARTES</vt:lpstr>
      <vt:lpstr>Fundación Crecer - MARTES</vt:lpstr>
      <vt:lpstr>CORRALON - MARTES</vt:lpstr>
      <vt:lpstr>Cs.Canal - MARTES</vt:lpstr>
      <vt:lpstr>C.U.T. - MARTES</vt:lpstr>
      <vt:lpstr>C.S. Río Capitán - MARTES</vt:lpstr>
      <vt:lpstr>C. S.  Calcuta - MARTES</vt:lpstr>
      <vt:lpstr> PRENSA - MARTES</vt:lpstr>
      <vt:lpstr>Fiscalía Rincón - MARTES</vt:lpstr>
      <vt:lpstr>Area Hombres - MARTES</vt:lpstr>
      <vt:lpstr> SET PUERTO - MARTES</vt:lpstr>
      <vt:lpstr>HDI - Benavidez - LUNES</vt:lpstr>
      <vt:lpstr>Poli La Mascota - LUNES </vt:lpstr>
      <vt:lpstr>Cafys El Arco - LUNES</vt:lpstr>
      <vt:lpstr>Delegacion Benavidez - LUNES</vt:lpstr>
      <vt:lpstr>Teatro Benavidez - LUNES</vt:lpstr>
      <vt:lpstr>Poli Güemes Benav. - LUNES</vt:lpstr>
      <vt:lpstr>C.S. Benavidez - LUNES</vt:lpstr>
      <vt:lpstr>Poli Benavidez- Zabala - LUNES</vt:lpstr>
      <vt:lpstr>Poli General Pacheco - LUNES</vt:lpstr>
      <vt:lpstr>C.S. Las Tunas - LUNES</vt:lpstr>
      <vt:lpstr>Automotores - LUNES</vt:lpstr>
      <vt:lpstr>C.S  Ricardo Rojas - LUNES</vt:lpstr>
      <vt:lpstr>Poli Ricardo Rojas - LUNES</vt:lpstr>
      <vt:lpstr>CASA EVA PERON FONDO - LUNES</vt:lpstr>
      <vt:lpstr>C.S. Alte Brown - LUNES </vt:lpstr>
      <vt:lpstr>Poli Almte Brown - LUNES</vt:lpstr>
      <vt:lpstr>Polid. Gutierrez - LUNES</vt:lpstr>
      <vt:lpstr>C. S. Belgrano - LUNES</vt:lpstr>
      <vt:lpstr>Comando Torcuato - LUNES</vt:lpstr>
      <vt:lpstr>CS Don Torcuato - LUNES</vt:lpstr>
      <vt:lpstr>Poli San Martin TORC. - LUNES</vt:lpstr>
      <vt:lpstr>Micro Est. Torcuato -LUNES</vt:lpstr>
      <vt:lpstr>C. S.  Baires - LUNES</vt:lpstr>
      <vt:lpstr>Poli Zanon - LUNES</vt:lpstr>
      <vt:lpstr>Fiscalía Talar - LUNES</vt:lpstr>
      <vt:lpstr>C. S.Mental - LUNES</vt:lpstr>
      <vt:lpstr>Fiscalía Benavidez - LUNES</vt:lpstr>
      <vt:lpstr>Comisaría Benavidez - LUNES</vt:lpstr>
      <vt:lpstr>Higiene Urbana - LUNES</vt:lpstr>
      <vt:lpstr>Posta Cement Benav - LUNES</vt:lpstr>
      <vt:lpstr>Posta Esperanza Benav. - LUNES</vt:lpstr>
      <vt:lpstr>CEPAN - LUNES</vt:lpstr>
      <vt:lpstr>Casa Eva Peron A - LUNES</vt:lpstr>
      <vt:lpstr>Fiscalía Don Torcuato - LUNES</vt:lpstr>
      <vt:lpstr>CIDI Bancalari - LUNES</vt:lpstr>
      <vt:lpstr>Poli Talar - LUNES</vt:lpstr>
      <vt:lpstr>MICRO ESTADIO POLI BENAV -LUNES</vt:lpstr>
      <vt:lpstr>UTN - JUEVES</vt:lpstr>
      <vt:lpstr>Poli Sarmiento central - JUEVES</vt:lpstr>
      <vt:lpstr> Transito adelante - JUEVES </vt:lpstr>
      <vt:lpstr>Faltas De Transito JUEVES</vt:lpstr>
      <vt:lpstr>Hospital Oftalmologico - JUEVES</vt:lpstr>
      <vt:lpstr>S.E.T - JUEVES</vt:lpstr>
      <vt:lpstr>Poli  Moreno Los Troncos - JUEV</vt:lpstr>
      <vt:lpstr>Fiscalia Los Troncos - JUEVES</vt:lpstr>
      <vt:lpstr>C. S. Troncos - JUEVES</vt:lpstr>
      <vt:lpstr>Fiscalía Pacheco - JUEVES</vt:lpstr>
      <vt:lpstr>C. S. Pacheco - JUEVES</vt:lpstr>
      <vt:lpstr>Delegacion Pacheco - JUEVES</vt:lpstr>
      <vt:lpstr>Poli Zorzal - JUEVES</vt:lpstr>
      <vt:lpstr>Poli M. Bel. La Paloma - JUEVES</vt:lpstr>
      <vt:lpstr> C. S. La Paloma - JUEVES</vt:lpstr>
      <vt:lpstr>Centro Reh. Frida K - JUEVES</vt:lpstr>
      <vt:lpstr>Hospital Odontológico - JUEVES</vt:lpstr>
      <vt:lpstr>Cafys Eva Perón - JUEVES</vt:lpstr>
      <vt:lpstr>Zoonosis  - JUEVES</vt:lpstr>
      <vt:lpstr>Hosp Odonto Coordinac - JUEVES</vt:lpstr>
      <vt:lpstr>NATATORIO - JUEVES</vt:lpstr>
      <vt:lpstr>C.S. Juan Urio Tabanos -JUEVES</vt:lpstr>
      <vt:lpstr>Fort. Familiar - JUEVES</vt:lpstr>
      <vt:lpstr>HCD - VIERNES</vt:lpstr>
      <vt:lpstr>MOVIL SANITARIO - VIERNES</vt:lpstr>
      <vt:lpstr>Secretaria Operativa - VIERNES</vt:lpstr>
      <vt:lpstr>Protec. Ciudadana -COT -VIERNES</vt:lpstr>
      <vt:lpstr>At. al vecino - VIERNES</vt:lpstr>
      <vt:lpstr>OMIC - VIERNES</vt:lpstr>
      <vt:lpstr>COT CHICO - VIERNES</vt:lpstr>
      <vt:lpstr>Comisaria Tigre - VIERNES</vt:lpstr>
      <vt:lpstr>Obras Particulares - VIERNES</vt:lpstr>
      <vt:lpstr>Obras Públicas - VIERNES</vt:lpstr>
      <vt:lpstr>Museo Reconquista - VIERNES</vt:lpstr>
      <vt:lpstr>C.S. Nores - VIERNES</vt:lpstr>
      <vt:lpstr>Farmacia Nores - VIERNES</vt:lpstr>
      <vt:lpstr>F. Kahlo Nores - VIERNES</vt:lpstr>
      <vt:lpstr>M.A.T. - VIERNES</vt:lpstr>
      <vt:lpstr>Cardiologia - VIERNES</vt:lpstr>
      <vt:lpstr>HDI - Don Torcuato - VIERNES</vt:lpstr>
      <vt:lpstr>HDI TORCU RESO - VIERNES </vt:lpstr>
      <vt:lpstr>Control Urbana - VIERNES</vt:lpstr>
      <vt:lpstr>A. C. A.  </vt:lpstr>
      <vt:lpstr>Edificio Ciro</vt:lpstr>
      <vt:lpstr>Oficina - CABA</vt:lpstr>
      <vt:lpstr>Edificio 0800</vt:lpstr>
      <vt:lpstr>Palacio Municipal</vt:lpstr>
      <vt:lpstr>Hospital Materno Infantil </vt:lpstr>
      <vt:lpstr>SET 197</vt:lpstr>
      <vt:lpstr>Set Benavidez</vt:lpstr>
      <vt:lpstr>Depósito de Promoción Social</vt:lpstr>
      <vt:lpstr>POLID. R. ROJAS</vt:lpstr>
      <vt:lpstr>C.S. BAIRES</vt:lpstr>
      <vt:lpstr>NATATORIO P</vt:lpstr>
      <vt:lpstr>Hispano Club</vt:lpstr>
      <vt:lpstr> - VENICE OFICINAS - MARTES</vt:lpstr>
      <vt:lpstr>Estadio Benavidez</vt:lpstr>
      <vt:lpstr>Huergo</vt:lpstr>
      <vt:lpstr>Hoja2</vt:lpstr>
      <vt:lpstr>'Adm Puerto de Frutos - MARTES '!Área_de_impresión</vt:lpstr>
      <vt:lpstr>'Cs.Canal - MARTES'!Área_de_impresión</vt:lpstr>
      <vt:lpstr>'Oficina - CABA'!Área_de_impresión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Vilche</dc:creator>
  <cp:lastModifiedBy>Administracion</cp:lastModifiedBy>
  <cp:lastPrinted>2026-05-04T19:27:01Z</cp:lastPrinted>
  <dcterms:created xsi:type="dcterms:W3CDTF">2019-03-13T16:45:32Z</dcterms:created>
  <dcterms:modified xsi:type="dcterms:W3CDTF">2026-05-13T19:34:08Z</dcterms:modified>
</cp:coreProperties>
</file>